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kyliejudy/Downloads/"/>
    </mc:Choice>
  </mc:AlternateContent>
  <xr:revisionPtr revIDLastSave="0" documentId="8_{FF9ADDAC-F14B-B94A-A3AD-9F5DD43ED709}" xr6:coauthVersionLast="47" xr6:coauthVersionMax="47" xr10:uidLastSave="{00000000-0000-0000-0000-000000000000}"/>
  <bookViews>
    <workbookView xWindow="0" yWindow="740" windowWidth="21800" windowHeight="12980" firstSheet="1" activeTab="4" xr2:uid="{A5BF84E8-5E3B-ED47-A4D9-591C03C8C958}"/>
  </bookViews>
  <sheets>
    <sheet name="Data" sheetId="1" r:id="rId1"/>
    <sheet name="Sample Data" sheetId="5" r:id="rId2"/>
    <sheet name="One Sample Test" sheetId="6" r:id="rId3"/>
    <sheet name="Confidence Interval" sheetId="7" r:id="rId4"/>
    <sheet name="Inference Commentary" sheetId="9" r:id="rId5"/>
  </sheets>
  <externalReferences>
    <externalReference r:id="rId6"/>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7" i="6" l="1"/>
  <c r="H12" i="6"/>
  <c r="C11" i="7" l="1"/>
  <c r="C9" i="7"/>
  <c r="C6" i="7"/>
  <c r="C5" i="7"/>
  <c r="C12" i="7" l="1"/>
  <c r="C14" i="7" s="1"/>
  <c r="H13" i="6"/>
  <c r="B12" i="6"/>
  <c r="B13" i="6"/>
  <c r="C13" i="7" l="1"/>
  <c r="H18" i="6"/>
  <c r="B17" i="6"/>
  <c r="B18" i="6" s="1"/>
</calcChain>
</file>

<file path=xl/sharedStrings.xml><?xml version="1.0" encoding="utf-8"?>
<sst xmlns="http://schemas.openxmlformats.org/spreadsheetml/2006/main" count="11525" uniqueCount="1512">
  <si>
    <t>UNITID</t>
  </si>
  <si>
    <t>INSTNM</t>
  </si>
  <si>
    <t>STABBR</t>
  </si>
  <si>
    <t>admission_rate</t>
  </si>
  <si>
    <t>undergrad_enrollment</t>
  </si>
  <si>
    <t>tuition_out_of_state</t>
  </si>
  <si>
    <t>completion_rate</t>
  </si>
  <si>
    <t>retention_rate</t>
  </si>
  <si>
    <t>pct_pell</t>
  </si>
  <si>
    <t>median_earnings_10yr</t>
  </si>
  <si>
    <t>median_grad_debt</t>
  </si>
  <si>
    <t>avg_faculty_salary</t>
  </si>
  <si>
    <t>student_faculty_ratio</t>
  </si>
  <si>
    <t>control_type</t>
  </si>
  <si>
    <t>locale_type</t>
  </si>
  <si>
    <t>region_group</t>
  </si>
  <si>
    <t>high_earnings</t>
  </si>
  <si>
    <t>RS1</t>
  </si>
  <si>
    <t>Ohio Wesleyan University</t>
  </si>
  <si>
    <t>OH</t>
  </si>
  <si>
    <t>Private nonprofit</t>
  </si>
  <si>
    <t>Suburb</t>
  </si>
  <si>
    <t>Midwest or West</t>
  </si>
  <si>
    <t>yes</t>
  </si>
  <si>
    <t>Wheaton College</t>
  </si>
  <si>
    <t>IL</t>
  </si>
  <si>
    <t>Florida Agricultural and Mechanical University</t>
  </si>
  <si>
    <t>FL</t>
  </si>
  <si>
    <t>Public</t>
  </si>
  <si>
    <t>City</t>
  </si>
  <si>
    <t>South</t>
  </si>
  <si>
    <t>no</t>
  </si>
  <si>
    <t>Claremont McKenna College</t>
  </si>
  <si>
    <t>CA</t>
  </si>
  <si>
    <t>University of St Francis</t>
  </si>
  <si>
    <t>The University of Texas at El Paso</t>
  </si>
  <si>
    <t>TX</t>
  </si>
  <si>
    <t>University of New Hampshire at Manchester</t>
  </si>
  <si>
    <t>NH</t>
  </si>
  <si>
    <t>Northeast</t>
  </si>
  <si>
    <t>Dakota State University</t>
  </si>
  <si>
    <t>SD</t>
  </si>
  <si>
    <t>Town or Rural</t>
  </si>
  <si>
    <t>The Christ College of Nursing and Health Sciences</t>
  </si>
  <si>
    <t>Saint Mary's College of California</t>
  </si>
  <si>
    <t>Louisiana Tech University</t>
  </si>
  <si>
    <t>LA</t>
  </si>
  <si>
    <t>University of South Florida</t>
  </si>
  <si>
    <t>Augustana College</t>
  </si>
  <si>
    <t>Marian University</t>
  </si>
  <si>
    <t>WI</t>
  </si>
  <si>
    <t>Ferrum College</t>
  </si>
  <si>
    <t>VA</t>
  </si>
  <si>
    <t>Herzing University-Minneapolis</t>
  </si>
  <si>
    <t>MN</t>
  </si>
  <si>
    <t>Central Christian College of Kansas</t>
  </si>
  <si>
    <t>KS</t>
  </si>
  <si>
    <t>SUNY Buffalo State University</t>
  </si>
  <si>
    <t>NY</t>
  </si>
  <si>
    <t>Palm Beach Atlantic University</t>
  </si>
  <si>
    <t>McDaniel College</t>
  </si>
  <si>
    <t>MD</t>
  </si>
  <si>
    <t>Ohio Christian University</t>
  </si>
  <si>
    <t>Youngstown State University</t>
  </si>
  <si>
    <t>University of California-Santa Cruz</t>
  </si>
  <si>
    <t>Seton Hall University</t>
  </si>
  <si>
    <t>NJ</t>
  </si>
  <si>
    <t>West Texas A &amp; M University</t>
  </si>
  <si>
    <t>Binghamton University</t>
  </si>
  <si>
    <t>University of Arkansas</t>
  </si>
  <si>
    <t>AR</t>
  </si>
  <si>
    <t>New College of Florida</t>
  </si>
  <si>
    <t>Bethany College</t>
  </si>
  <si>
    <t>University of Maine at Fort Kent</t>
  </si>
  <si>
    <t>ME</t>
  </si>
  <si>
    <t>University of Minnesota-Morris</t>
  </si>
  <si>
    <t>Evangel University-College of Online Learning</t>
  </si>
  <si>
    <t>MO</t>
  </si>
  <si>
    <t>Lewis &amp; Clark College</t>
  </si>
  <si>
    <t>OR</t>
  </si>
  <si>
    <t>Grinnell College</t>
  </si>
  <si>
    <t>IA</t>
  </si>
  <si>
    <t>Ozark Christian College</t>
  </si>
  <si>
    <t>The Catholic University of America</t>
  </si>
  <si>
    <t>DC</t>
  </si>
  <si>
    <t>Mid-Atlantic Christian University</t>
  </si>
  <si>
    <t>NC</t>
  </si>
  <si>
    <t>Hampton University</t>
  </si>
  <si>
    <t>Upper Iowa University</t>
  </si>
  <si>
    <t>Saint Joseph's College of Maine</t>
  </si>
  <si>
    <t>Friends University</t>
  </si>
  <si>
    <t>Salve Regina University</t>
  </si>
  <si>
    <t>RI</t>
  </si>
  <si>
    <t>Eastern Illinois University</t>
  </si>
  <si>
    <t>University of Providence</t>
  </si>
  <si>
    <t>MT</t>
  </si>
  <si>
    <t>University of San Diego</t>
  </si>
  <si>
    <t>Wilkes University</t>
  </si>
  <si>
    <t>PA</t>
  </si>
  <si>
    <t>Chatham University</t>
  </si>
  <si>
    <t>Ohio Northern University</t>
  </si>
  <si>
    <t>Huntington University</t>
  </si>
  <si>
    <t>IN</t>
  </si>
  <si>
    <t>Kentucky State University</t>
  </si>
  <si>
    <t>KY</t>
  </si>
  <si>
    <t>Hilbert College</t>
  </si>
  <si>
    <t>St Bonaventure University</t>
  </si>
  <si>
    <t>Maryland Institute College of Art</t>
  </si>
  <si>
    <t>Cleary University</t>
  </si>
  <si>
    <t>MI</t>
  </si>
  <si>
    <t>Dordt University</t>
  </si>
  <si>
    <t>Radford University</t>
  </si>
  <si>
    <t>Pittsburg State University</t>
  </si>
  <si>
    <t>Hanover College</t>
  </si>
  <si>
    <t>Concordia University-Saint Paul</t>
  </si>
  <si>
    <t>Cornell College</t>
  </si>
  <si>
    <t>Pennsylvania State University-Penn State Hazleton</t>
  </si>
  <si>
    <t>Saint Elizabeth University</t>
  </si>
  <si>
    <t>Stephen F Austin State University</t>
  </si>
  <si>
    <t>Southwestern University</t>
  </si>
  <si>
    <t>Juniata College</t>
  </si>
  <si>
    <t>Manhattanville University</t>
  </si>
  <si>
    <t>Rose-Hulman Institute of Technology</t>
  </si>
  <si>
    <t>California State University-Channel Islands</t>
  </si>
  <si>
    <t>University of Mount Saint Vincent</t>
  </si>
  <si>
    <t>Morehouse College</t>
  </si>
  <si>
    <t>GA</t>
  </si>
  <si>
    <t>Westminster College</t>
  </si>
  <si>
    <t>Hampshire College</t>
  </si>
  <si>
    <t>MA</t>
  </si>
  <si>
    <t>Harrisburg University of Science and Technology</t>
  </si>
  <si>
    <t>St. Mary's University</t>
  </si>
  <si>
    <t>George Mason University</t>
  </si>
  <si>
    <t>McPherson College</t>
  </si>
  <si>
    <t>University of Health Sciences and Pharmacy in St. Louis</t>
  </si>
  <si>
    <t>Thomas Jefferson University</t>
  </si>
  <si>
    <t>Point Loma Nazarene University</t>
  </si>
  <si>
    <t>Clarkson University</t>
  </si>
  <si>
    <t>King's College</t>
  </si>
  <si>
    <t>James Madison University</t>
  </si>
  <si>
    <t>North Central University</t>
  </si>
  <si>
    <t>Chamberlain University-Texas</t>
  </si>
  <si>
    <t>Private for-profit</t>
  </si>
  <si>
    <t>Defiance College</t>
  </si>
  <si>
    <t>Northeastern Illinois University</t>
  </si>
  <si>
    <t>Union College</t>
  </si>
  <si>
    <t>Southern Connecticut State University</t>
  </si>
  <si>
    <t>CT</t>
  </si>
  <si>
    <t>Luther College</t>
  </si>
  <si>
    <t>Indiana University-Kokomo</t>
  </si>
  <si>
    <t>Emerson College</t>
  </si>
  <si>
    <t>Florida Institute of Technology</t>
  </si>
  <si>
    <t>University of Minnesota-Rochester</t>
  </si>
  <si>
    <t>Chapman University</t>
  </si>
  <si>
    <t>Allen University</t>
  </si>
  <si>
    <t>SC</t>
  </si>
  <si>
    <t>Chicago State University</t>
  </si>
  <si>
    <t>American International College</t>
  </si>
  <si>
    <t>Winona State University</t>
  </si>
  <si>
    <t>East Texas Baptist University</t>
  </si>
  <si>
    <t>University of Denver</t>
  </si>
  <si>
    <t>CO</t>
  </si>
  <si>
    <t>King University</t>
  </si>
  <si>
    <t>TN</t>
  </si>
  <si>
    <t>University of Georgia</t>
  </si>
  <si>
    <t>University of New Orleans</t>
  </si>
  <si>
    <t>Middle Tennessee State University</t>
  </si>
  <si>
    <t>California State University-East Bay</t>
  </si>
  <si>
    <t>Alcorn State University</t>
  </si>
  <si>
    <t>MS</t>
  </si>
  <si>
    <t>University of Washington-Tacoma Campus</t>
  </si>
  <si>
    <t>WA</t>
  </si>
  <si>
    <t>Pitzer College</t>
  </si>
  <si>
    <t>University of California-Santa Barbara</t>
  </si>
  <si>
    <t>Sul Ross State University</t>
  </si>
  <si>
    <t>Westmont College</t>
  </si>
  <si>
    <t>Faulkner University</t>
  </si>
  <si>
    <t>AL</t>
  </si>
  <si>
    <t>University of Pittsburgh-Pittsburgh Campus</t>
  </si>
  <si>
    <t>Indiana University-Indianapolis</t>
  </si>
  <si>
    <t>Manchester University</t>
  </si>
  <si>
    <t>University of Wisconsin-Madison</t>
  </si>
  <si>
    <t>Louisiana State University-Shreveport</t>
  </si>
  <si>
    <t>University of Akron Main Campus</t>
  </si>
  <si>
    <t>Rocky Mountain College</t>
  </si>
  <si>
    <t>Sarah Lawrence College</t>
  </si>
  <si>
    <t>Evangel University</t>
  </si>
  <si>
    <t>Millersville University of Pennsylvania</t>
  </si>
  <si>
    <t>Emmanuel University</t>
  </si>
  <si>
    <t>Shorter University</t>
  </si>
  <si>
    <t>Tennessee State University</t>
  </si>
  <si>
    <t>Illinois Wesleyan University</t>
  </si>
  <si>
    <t>Oberlin College</t>
  </si>
  <si>
    <t>SUNY College at Geneseo</t>
  </si>
  <si>
    <t>Point University</t>
  </si>
  <si>
    <t>Augsburg University</t>
  </si>
  <si>
    <t>Pacific Lutheran University</t>
  </si>
  <si>
    <t>Northwood University</t>
  </si>
  <si>
    <t>University of Michigan-Ann Arbor</t>
  </si>
  <si>
    <t>Cleveland State University</t>
  </si>
  <si>
    <t>Western New England University</t>
  </si>
  <si>
    <t>Oregon State University-Cascades Campus</t>
  </si>
  <si>
    <t>Spalding University</t>
  </si>
  <si>
    <t>Virginia Military Institute</t>
  </si>
  <si>
    <t>Dakota Wesleyan University</t>
  </si>
  <si>
    <t>Angelo State University</t>
  </si>
  <si>
    <t>Rockford University</t>
  </si>
  <si>
    <t>University of Colorado Denver/Anschutz Medical Campus</t>
  </si>
  <si>
    <t>St. Thomas University</t>
  </si>
  <si>
    <t>Cedar Crest College</t>
  </si>
  <si>
    <t>Fayetteville State University</t>
  </si>
  <si>
    <t>Ringling College of Art and Design</t>
  </si>
  <si>
    <t>Illinois College</t>
  </si>
  <si>
    <t>University of Alabama in Huntsville</t>
  </si>
  <si>
    <t>Transylvania University</t>
  </si>
  <si>
    <t>Arizona Christian University</t>
  </si>
  <si>
    <t>AZ</t>
  </si>
  <si>
    <t>University of Dallas</t>
  </si>
  <si>
    <t>University of Dayton</t>
  </si>
  <si>
    <t>Occidental College</t>
  </si>
  <si>
    <t>Bryan College of Health Sciences</t>
  </si>
  <si>
    <t>NE</t>
  </si>
  <si>
    <t>Marymount University</t>
  </si>
  <si>
    <t>Mid-America Christian University</t>
  </si>
  <si>
    <t>OK</t>
  </si>
  <si>
    <t>Davenport University</t>
  </si>
  <si>
    <t>Young Harris College</t>
  </si>
  <si>
    <t>Albany College of Pharmacy and Health Sciences</t>
  </si>
  <si>
    <t>Andrews University</t>
  </si>
  <si>
    <t>Lamar University</t>
  </si>
  <si>
    <t>Concordia University-Nebraska</t>
  </si>
  <si>
    <t>Montana Technological University</t>
  </si>
  <si>
    <t>Pennsylvania State University-Penn State Shenango</t>
  </si>
  <si>
    <t>Pennsylvania State University-Penn State Beaver</t>
  </si>
  <si>
    <t>North Park University</t>
  </si>
  <si>
    <t>University of California-San Diego</t>
  </si>
  <si>
    <t>Wesleyan University</t>
  </si>
  <si>
    <t>Bethune-Cookman University</t>
  </si>
  <si>
    <t>University of Notre Dame</t>
  </si>
  <si>
    <t>University of Hawaii-West Oahu</t>
  </si>
  <si>
    <t>HI</t>
  </si>
  <si>
    <t>Massachusetts College of Pharmacy and Health Sciences</t>
  </si>
  <si>
    <t>Pennsylvania State University-Penn State Mont Alto</t>
  </si>
  <si>
    <t>Arcadia University</t>
  </si>
  <si>
    <t>Thomas Aquinas College</t>
  </si>
  <si>
    <t>Wayland Baptist University</t>
  </si>
  <si>
    <t>Skidmore College</t>
  </si>
  <si>
    <t>Louisiana Christian University</t>
  </si>
  <si>
    <t>William Jessup University</t>
  </si>
  <si>
    <t>Nicholls State University</t>
  </si>
  <si>
    <t>Molloy University</t>
  </si>
  <si>
    <t>University of North Carolina at Charlotte</t>
  </si>
  <si>
    <t>University of Portland</t>
  </si>
  <si>
    <t>California State University-Dominguez Hills</t>
  </si>
  <si>
    <t>West Virginia Wesleyan College</t>
  </si>
  <si>
    <t>WV</t>
  </si>
  <si>
    <t>William Peace University</t>
  </si>
  <si>
    <t>North Carolina State University at Raleigh</t>
  </si>
  <si>
    <t>Earlham College</t>
  </si>
  <si>
    <t>Trinity Christian College</t>
  </si>
  <si>
    <t>Berklee College of Music</t>
  </si>
  <si>
    <t>Vassar College</t>
  </si>
  <si>
    <t>Cleveland University-Kansas City</t>
  </si>
  <si>
    <t>State University of New York at Cortland</t>
  </si>
  <si>
    <t>Fairleigh Dickinson University-Florham Campus</t>
  </si>
  <si>
    <t>Midland University</t>
  </si>
  <si>
    <t>Southern University at New Orleans</t>
  </si>
  <si>
    <t>Concordia University-Irvine</t>
  </si>
  <si>
    <t>Lander University</t>
  </si>
  <si>
    <t>Williams Baptist University</t>
  </si>
  <si>
    <t>Mount Mercy University</t>
  </si>
  <si>
    <t>Menlo College</t>
  </si>
  <si>
    <t>Thomas More University</t>
  </si>
  <si>
    <t>Gustavus Adolphus College</t>
  </si>
  <si>
    <t>Bellin College</t>
  </si>
  <si>
    <t>University of Maryland-Baltimore County</t>
  </si>
  <si>
    <t>Brandeis University</t>
  </si>
  <si>
    <t>University of South Alabama</t>
  </si>
  <si>
    <t>Bucknell University</t>
  </si>
  <si>
    <t>University of Holy Cross</t>
  </si>
  <si>
    <t>University of Virginia's College at Wise</t>
  </si>
  <si>
    <t>Niagara University</t>
  </si>
  <si>
    <t>Berry College</t>
  </si>
  <si>
    <t>Chamberlain University-Arizona</t>
  </si>
  <si>
    <t>Longwood University</t>
  </si>
  <si>
    <t>Brigham Young University</t>
  </si>
  <si>
    <t>UT</t>
  </si>
  <si>
    <t>Wilberforce University</t>
  </si>
  <si>
    <t>Methodist University</t>
  </si>
  <si>
    <t>Adelphi University</t>
  </si>
  <si>
    <t>Guilford College</t>
  </si>
  <si>
    <t>Eastern Michigan University</t>
  </si>
  <si>
    <t>University of Memphis</t>
  </si>
  <si>
    <t>Thiel College</t>
  </si>
  <si>
    <t>Central Michigan University</t>
  </si>
  <si>
    <t>Commonwealth University of Pennsylvania</t>
  </si>
  <si>
    <t>Southern Wesleyan University</t>
  </si>
  <si>
    <t>Brenau University</t>
  </si>
  <si>
    <t>Covenant College</t>
  </si>
  <si>
    <t>University of Colorado Boulder</t>
  </si>
  <si>
    <t>St. John's College</t>
  </si>
  <si>
    <t>Louisiana State University at Alexandria</t>
  </si>
  <si>
    <t>Warner Pacific University</t>
  </si>
  <si>
    <t>LeTourneau University</t>
  </si>
  <si>
    <t>Oakland University</t>
  </si>
  <si>
    <t>Flagler College</t>
  </si>
  <si>
    <t>Alverno College</t>
  </si>
  <si>
    <t>Duke University</t>
  </si>
  <si>
    <t>Texas A&amp;M University-College Station</t>
  </si>
  <si>
    <t>Husson University</t>
  </si>
  <si>
    <t>Pennsylvania State University-Penn State New Kensington</t>
  </si>
  <si>
    <t>Ouachita Baptist University</t>
  </si>
  <si>
    <t>University of California-Riverside</t>
  </si>
  <si>
    <t>La Roche University</t>
  </si>
  <si>
    <t>Laguna College of Art and Design</t>
  </si>
  <si>
    <t>Union Commonwealth University</t>
  </si>
  <si>
    <t>Concordia University Ann Arbor</t>
  </si>
  <si>
    <t>Bloomfield College of Montclair State University</t>
  </si>
  <si>
    <t>Trinity Washington University</t>
  </si>
  <si>
    <t>Chestnut Hill College</t>
  </si>
  <si>
    <t>Chamberlain University-Ohio</t>
  </si>
  <si>
    <t>South Carolina State University</t>
  </si>
  <si>
    <t>Franklin College</t>
  </si>
  <si>
    <t>Grand Valley State University</t>
  </si>
  <si>
    <t>Furman University</t>
  </si>
  <si>
    <t>Washington and Lee University</t>
  </si>
  <si>
    <t>Western Carolina University</t>
  </si>
  <si>
    <t>Webber International University</t>
  </si>
  <si>
    <t>Trevecca Nazarene University</t>
  </si>
  <si>
    <t>Johnson C Smith University</t>
  </si>
  <si>
    <t>Schreiner University</t>
  </si>
  <si>
    <t>Rice University</t>
  </si>
  <si>
    <t>Wayne State University</t>
  </si>
  <si>
    <t>Wofford College</t>
  </si>
  <si>
    <t>San Jose State University</t>
  </si>
  <si>
    <t>Chamberlain University-Nevada</t>
  </si>
  <si>
    <t>NV</t>
  </si>
  <si>
    <t>Oregon State University</t>
  </si>
  <si>
    <t>University of San Francisco</t>
  </si>
  <si>
    <t>University of Utah</t>
  </si>
  <si>
    <t>Daemen University</t>
  </si>
  <si>
    <t>Doane University</t>
  </si>
  <si>
    <t>University of South Carolina Beaufort</t>
  </si>
  <si>
    <t>Truett McConnell University</t>
  </si>
  <si>
    <t>The University of Texas at Dallas</t>
  </si>
  <si>
    <t>Neumann University</t>
  </si>
  <si>
    <t>Indiana Institute of Technology</t>
  </si>
  <si>
    <t>South Dakota State University</t>
  </si>
  <si>
    <t>Canisius University</t>
  </si>
  <si>
    <t>Carroll University</t>
  </si>
  <si>
    <t>Lenoir-Rhyne University</t>
  </si>
  <si>
    <t>University of Saint Joseph</t>
  </si>
  <si>
    <t>Belmont Abbey College</t>
  </si>
  <si>
    <t>Pennsylvania State University-Penn State Greater Allegheny</t>
  </si>
  <si>
    <t>The New School</t>
  </si>
  <si>
    <t>Colorado College</t>
  </si>
  <si>
    <t>Catawba College</t>
  </si>
  <si>
    <t>Carlow University</t>
  </si>
  <si>
    <t>University of Maryland Eastern Shore</t>
  </si>
  <si>
    <t>Merrimack College</t>
  </si>
  <si>
    <t>South Dakota School of Mines and Technology</t>
  </si>
  <si>
    <t>Purdue University-Main Campus</t>
  </si>
  <si>
    <t>University at Buffalo</t>
  </si>
  <si>
    <t>Saint Norbert College</t>
  </si>
  <si>
    <t>American University of Health Sciences</t>
  </si>
  <si>
    <t>Pennsylvania State University-Penn State Brandywine</t>
  </si>
  <si>
    <t>University of Iowa</t>
  </si>
  <si>
    <t>Indiana University-South Bend</t>
  </si>
  <si>
    <t>Meredith College</t>
  </si>
  <si>
    <t>Judson University</t>
  </si>
  <si>
    <t>Marywood University</t>
  </si>
  <si>
    <t>Colorado School of Mines</t>
  </si>
  <si>
    <t>Chamberlain University-Michigan</t>
  </si>
  <si>
    <t>Metropolitan State University of Denver</t>
  </si>
  <si>
    <t>Mount Holyoke College</t>
  </si>
  <si>
    <t>Hope International University</t>
  </si>
  <si>
    <t>Iona University</t>
  </si>
  <si>
    <t>Bethel University</t>
  </si>
  <si>
    <t>SUNY College at Potsdam</t>
  </si>
  <si>
    <t>Northern State University</t>
  </si>
  <si>
    <t>Springfield College</t>
  </si>
  <si>
    <t>Mercy College of Ohio</t>
  </si>
  <si>
    <t>University of Arizona</t>
  </si>
  <si>
    <t>University of Miami</t>
  </si>
  <si>
    <t>California Lutheran University</t>
  </si>
  <si>
    <t>Goldey-Beacom College</t>
  </si>
  <si>
    <t>DE</t>
  </si>
  <si>
    <t>Trinity College of Jacksonville</t>
  </si>
  <si>
    <t>Kutztown University of Pennsylvania</t>
  </si>
  <si>
    <t>Pennsylvania State University-Main Campus</t>
  </si>
  <si>
    <t>Lewis University</t>
  </si>
  <si>
    <t>University of Oklahoma-Norman Campus</t>
  </si>
  <si>
    <t>Lee University</t>
  </si>
  <si>
    <t>University of North Carolina at Pembroke</t>
  </si>
  <si>
    <t>Blue Mountain Christian University</t>
  </si>
  <si>
    <t>Gallaudet University</t>
  </si>
  <si>
    <t>Rhode Island School of Design</t>
  </si>
  <si>
    <t>Alma College</t>
  </si>
  <si>
    <t>Herzing University-Kenosha</t>
  </si>
  <si>
    <t>Yeshiva University</t>
  </si>
  <si>
    <t>University of Richmond</t>
  </si>
  <si>
    <t>Alice Lloyd College</t>
  </si>
  <si>
    <t>Maryville College</t>
  </si>
  <si>
    <t>Lake Forest College</t>
  </si>
  <si>
    <t>Missouri Valley College</t>
  </si>
  <si>
    <t>Herzing University-Atlanta</t>
  </si>
  <si>
    <t>The College of Idaho</t>
  </si>
  <si>
    <t>ID</t>
  </si>
  <si>
    <t>Lees-McRae College</t>
  </si>
  <si>
    <t>Rust College</t>
  </si>
  <si>
    <t>Greenville University</t>
  </si>
  <si>
    <t>Davidson College</t>
  </si>
  <si>
    <t>Minneapolis College of Art and Design</t>
  </si>
  <si>
    <t>Fairfield University</t>
  </si>
  <si>
    <t>Mississippi Valley State University</t>
  </si>
  <si>
    <t>Drexel University</t>
  </si>
  <si>
    <t>Mount Marty University</t>
  </si>
  <si>
    <t>Frostburg State University</t>
  </si>
  <si>
    <t>The University of Alabama</t>
  </si>
  <si>
    <t>University of Hartford</t>
  </si>
  <si>
    <t>University of Rochester</t>
  </si>
  <si>
    <t>Eastern Mennonite University</t>
  </si>
  <si>
    <t>The University of Olivet</t>
  </si>
  <si>
    <t>Southern Adventist University</t>
  </si>
  <si>
    <t>Southwest Minnesota State University</t>
  </si>
  <si>
    <t>University of Mary Hardin-Baylor</t>
  </si>
  <si>
    <t>Ramapo College of New Jersey</t>
  </si>
  <si>
    <t>Wilmington College</t>
  </si>
  <si>
    <t>Mount Saint Mary's University</t>
  </si>
  <si>
    <t>Boston University</t>
  </si>
  <si>
    <t>Duquesne University</t>
  </si>
  <si>
    <t>Gnomon</t>
  </si>
  <si>
    <t>Prairie View A &amp; M University</t>
  </si>
  <si>
    <t>St Olaf College</t>
  </si>
  <si>
    <t>Siena Heights University</t>
  </si>
  <si>
    <t>Eastern New Mexico University-Main Campus</t>
  </si>
  <si>
    <t>NM</t>
  </si>
  <si>
    <t>St. John Fisher University</t>
  </si>
  <si>
    <t>College of Saint Benedict</t>
  </si>
  <si>
    <t>Southeastern University</t>
  </si>
  <si>
    <t>Portland State University</t>
  </si>
  <si>
    <t>Citadel Military College of South Carolina</t>
  </si>
  <si>
    <t>University of California-Davis</t>
  </si>
  <si>
    <t>Fort Hays State University</t>
  </si>
  <si>
    <t>Stevenson University</t>
  </si>
  <si>
    <t>Aurora University</t>
  </si>
  <si>
    <t>Lincoln University</t>
  </si>
  <si>
    <t>University of Northern Colorado</t>
  </si>
  <si>
    <t>Eastern Washington University</t>
  </si>
  <si>
    <t>Johnson &amp; Wales University-Online</t>
  </si>
  <si>
    <t>Sterling College</t>
  </si>
  <si>
    <t>VT</t>
  </si>
  <si>
    <t>Bridgewater State University</t>
  </si>
  <si>
    <t>The College of Wooster</t>
  </si>
  <si>
    <t>Chaminade University of Honolulu</t>
  </si>
  <si>
    <t>Messiah University</t>
  </si>
  <si>
    <t>Oklahoma Wesleyan University</t>
  </si>
  <si>
    <t>Middle Georgia State University</t>
  </si>
  <si>
    <t>University of St Thomas</t>
  </si>
  <si>
    <t>California State University-Fullerton</t>
  </si>
  <si>
    <t>University of South Dakota</t>
  </si>
  <si>
    <t>University of Massachusetts-Boston</t>
  </si>
  <si>
    <t>Keene State College</t>
  </si>
  <si>
    <t>Kentucky Wesleyan College</t>
  </si>
  <si>
    <t>The College of Saint Scholastica</t>
  </si>
  <si>
    <t>Wingate University</t>
  </si>
  <si>
    <t>Endicott College</t>
  </si>
  <si>
    <t>The University of Texas at Arlington</t>
  </si>
  <si>
    <t>William Woods University</t>
  </si>
  <si>
    <t>Oklahoma Christian University</t>
  </si>
  <si>
    <t>Martin Luther College</t>
  </si>
  <si>
    <t>Rutgers University-Camden</t>
  </si>
  <si>
    <t>Olivet Nazarene University</t>
  </si>
  <si>
    <t>SUM Bible College and Theological Seminary</t>
  </si>
  <si>
    <t>Anderson University</t>
  </si>
  <si>
    <t>SUNY Old Westbury</t>
  </si>
  <si>
    <t>Truman State University</t>
  </si>
  <si>
    <t>University of Wisconsin-Whitewater</t>
  </si>
  <si>
    <t>Northwestern Oklahoma State University</t>
  </si>
  <si>
    <t>University of South Carolina-Upstate</t>
  </si>
  <si>
    <t>Southern Illinois University-Carbondale</t>
  </si>
  <si>
    <t>Siena University</t>
  </si>
  <si>
    <t>Massachusetts Maritime Academy</t>
  </si>
  <si>
    <t>Kenyon College</t>
  </si>
  <si>
    <t>CUNY John Jay College of Criminal Justice</t>
  </si>
  <si>
    <t>Santa Clara University</t>
  </si>
  <si>
    <t>California State University-Fresno</t>
  </si>
  <si>
    <t>Moravian University</t>
  </si>
  <si>
    <t>Regis College</t>
  </si>
  <si>
    <t>Haverford College</t>
  </si>
  <si>
    <t>University of Missouri-Columbia</t>
  </si>
  <si>
    <t>American University</t>
  </si>
  <si>
    <t>Jackson State University</t>
  </si>
  <si>
    <t>The University of Texas at Tyler</t>
  </si>
  <si>
    <t>Franklin Pierce University</t>
  </si>
  <si>
    <t>Texas Christian University</t>
  </si>
  <si>
    <t>Calvin University</t>
  </si>
  <si>
    <t>School of Visual Arts</t>
  </si>
  <si>
    <t>Hollins University</t>
  </si>
  <si>
    <t>Thomas College</t>
  </si>
  <si>
    <t>Franciscan Missionaries of Our Lady University</t>
  </si>
  <si>
    <t>Carroll College</t>
  </si>
  <si>
    <t>SUNY at Purchase College</t>
  </si>
  <si>
    <t>Oklahoma State University-Main Campus</t>
  </si>
  <si>
    <t>Tougaloo College</t>
  </si>
  <si>
    <t>Utica University</t>
  </si>
  <si>
    <t>West Virginia State University</t>
  </si>
  <si>
    <t>Wheeling University</t>
  </si>
  <si>
    <t>Pepperdine University</t>
  </si>
  <si>
    <t>Pennsylvania State University-Penn State Abington</t>
  </si>
  <si>
    <t>Washington &amp; Jefferson College</t>
  </si>
  <si>
    <t>Florida International University</t>
  </si>
  <si>
    <t>Clark University</t>
  </si>
  <si>
    <t>Tennessee Technological University</t>
  </si>
  <si>
    <t>Carleton College</t>
  </si>
  <si>
    <t>Washington University in St Louis</t>
  </si>
  <si>
    <t>Simpson University</t>
  </si>
  <si>
    <t>The Juilliard School</t>
  </si>
  <si>
    <t>California Institute of the Arts</t>
  </si>
  <si>
    <t>Ball State University</t>
  </si>
  <si>
    <t>Mississippi Christian University</t>
  </si>
  <si>
    <t>Roberts Wesleyan University</t>
  </si>
  <si>
    <t>University of Mary Washington</t>
  </si>
  <si>
    <t>University of Connecticut-Hartford Campus</t>
  </si>
  <si>
    <t>University of Northern Iowa</t>
  </si>
  <si>
    <t>University of North Alabama</t>
  </si>
  <si>
    <t>Kean University</t>
  </si>
  <si>
    <t>Central Methodist University-College of Liberal Arts and Sciences</t>
  </si>
  <si>
    <t>Fisk University</t>
  </si>
  <si>
    <t>Providence Christian College</t>
  </si>
  <si>
    <t>Columbia College Chicago</t>
  </si>
  <si>
    <t>Colgate University</t>
  </si>
  <si>
    <t>York College of Pennsylvania</t>
  </si>
  <si>
    <t>University of Mount Union</t>
  </si>
  <si>
    <t>Loyola Marymount University</t>
  </si>
  <si>
    <t>University of Arkansas at Little Rock</t>
  </si>
  <si>
    <t>Carolina University</t>
  </si>
  <si>
    <t>University of North Carolina at Greensboro</t>
  </si>
  <si>
    <t>Piedmont University</t>
  </si>
  <si>
    <t>University of Nebraska-Lincoln</t>
  </si>
  <si>
    <t>University of Wisconsin-Milwaukee</t>
  </si>
  <si>
    <t>Saginaw Valley State University</t>
  </si>
  <si>
    <t>University of Minnesota-Crookston</t>
  </si>
  <si>
    <t>Southeast Missouri State University</t>
  </si>
  <si>
    <t>Virginia Polytechnic Institute and State University</t>
  </si>
  <si>
    <t>Mount Saint Mary College</t>
  </si>
  <si>
    <t>University of Louisville</t>
  </si>
  <si>
    <t>West Liberty University</t>
  </si>
  <si>
    <t>Webster University</t>
  </si>
  <si>
    <t>University of California-Merced</t>
  </si>
  <si>
    <t>Holy Cross College</t>
  </si>
  <si>
    <t>University of North Carolina Wilmington</t>
  </si>
  <si>
    <t>California State University-San Bernardino</t>
  </si>
  <si>
    <t>Pennsylvania State University-Penn State Lehigh Valley</t>
  </si>
  <si>
    <t>Dartmouth College</t>
  </si>
  <si>
    <t>Clarke University</t>
  </si>
  <si>
    <t>Georgetown University</t>
  </si>
  <si>
    <t>Saint Louis University</t>
  </si>
  <si>
    <t>California State University-Sacramento</t>
  </si>
  <si>
    <t>Denison University</t>
  </si>
  <si>
    <t>Mercer University</t>
  </si>
  <si>
    <t>Eastern Kentucky University</t>
  </si>
  <si>
    <t>Pennsylvania Western University</t>
  </si>
  <si>
    <t>Macalester College</t>
  </si>
  <si>
    <t>Newman University</t>
  </si>
  <si>
    <t>Hamilton College</t>
  </si>
  <si>
    <t>Concordia University-Chicago</t>
  </si>
  <si>
    <t>Graceland University-Lamoni</t>
  </si>
  <si>
    <t>Florida State University</t>
  </si>
  <si>
    <t>Hampden-Sydney College</t>
  </si>
  <si>
    <t>Franklin W Olin College of Engineering</t>
  </si>
  <si>
    <t>Malone University</t>
  </si>
  <si>
    <t>San Diego Christian College</t>
  </si>
  <si>
    <t>Virginia Wesleyan University</t>
  </si>
  <si>
    <t>Southwestern College</t>
  </si>
  <si>
    <t>University of Saint Francis-Fort Wayne</t>
  </si>
  <si>
    <t>Averett University</t>
  </si>
  <si>
    <t>Oglethorpe University</t>
  </si>
  <si>
    <t>Western Illinois University</t>
  </si>
  <si>
    <t>Valparaiso University</t>
  </si>
  <si>
    <t>College of the Atlantic</t>
  </si>
  <si>
    <t>Gordon College</t>
  </si>
  <si>
    <t>SUNY Oneonta</t>
  </si>
  <si>
    <t>Dallas Christian College</t>
  </si>
  <si>
    <t>Midwestern Baptist Theological Seminary</t>
  </si>
  <si>
    <t>Iowa State University</t>
  </si>
  <si>
    <t>Princeton University</t>
  </si>
  <si>
    <t>Trinity International University-Illinois</t>
  </si>
  <si>
    <t>George Washington University</t>
  </si>
  <si>
    <t>Clemson University</t>
  </si>
  <si>
    <t>Manhattan Christian College</t>
  </si>
  <si>
    <t>Charles R Drew University of Medicine and Science</t>
  </si>
  <si>
    <t>Drury University</t>
  </si>
  <si>
    <t>Concord University</t>
  </si>
  <si>
    <t>Houston Christian University</t>
  </si>
  <si>
    <t>University of Washington-Seattle Campus</t>
  </si>
  <si>
    <t>Butler University</t>
  </si>
  <si>
    <t>McKendree University</t>
  </si>
  <si>
    <t>Florida College</t>
  </si>
  <si>
    <t>Emmanuel College</t>
  </si>
  <si>
    <t>Hamline University</t>
  </si>
  <si>
    <t>Art Academy of Cincinnati</t>
  </si>
  <si>
    <t>Clarkson College</t>
  </si>
  <si>
    <t>Morehead State University</t>
  </si>
  <si>
    <t>Kansas City Art Institute</t>
  </si>
  <si>
    <t>Western Oregon University</t>
  </si>
  <si>
    <t>Otis College of Art and Design</t>
  </si>
  <si>
    <t>Texas A&amp;M University-Victoria</t>
  </si>
  <si>
    <t>The Evergreen State College</t>
  </si>
  <si>
    <t>Jacksonville State University</t>
  </si>
  <si>
    <t>Lindenwood University</t>
  </si>
  <si>
    <t>Indiana University-Southeast</t>
  </si>
  <si>
    <t>North Carolina Wesleyan University</t>
  </si>
  <si>
    <t>Central Baptist College</t>
  </si>
  <si>
    <t>Rockhurst University</t>
  </si>
  <si>
    <t>Xavier University</t>
  </si>
  <si>
    <t>Trine University-Regional/Non-Traditional Campuses</t>
  </si>
  <si>
    <t>University of Redlands</t>
  </si>
  <si>
    <t>University of Rhode Island</t>
  </si>
  <si>
    <t>Lourdes University</t>
  </si>
  <si>
    <t>John Paul the Great Catholic University</t>
  </si>
  <si>
    <t>Central State University</t>
  </si>
  <si>
    <t>Cleveland Institute of Art</t>
  </si>
  <si>
    <t>University of North Georgia</t>
  </si>
  <si>
    <t>Kettering University</t>
  </si>
  <si>
    <t>The University of Texas Permian Basin</t>
  </si>
  <si>
    <t>Shippensburg University of Pennsylvania</t>
  </si>
  <si>
    <t>University of West Florida</t>
  </si>
  <si>
    <t>Westfield State University</t>
  </si>
  <si>
    <t>Bethany Lutheran College</t>
  </si>
  <si>
    <t>Widener University</t>
  </si>
  <si>
    <t>University of Maine</t>
  </si>
  <si>
    <t>DigiPen Institute of Technology</t>
  </si>
  <si>
    <t>College of Charleston</t>
  </si>
  <si>
    <t>Lebanon Valley College</t>
  </si>
  <si>
    <t>University of La Verne</t>
  </si>
  <si>
    <t>University of Alabama at Birmingham</t>
  </si>
  <si>
    <t>University of Nebraska at Kearney</t>
  </si>
  <si>
    <t>University at Albany</t>
  </si>
  <si>
    <t>University of Connecticut-Stamford</t>
  </si>
  <si>
    <t>Purdue University Fort Wayne</t>
  </si>
  <si>
    <t>Hiram College</t>
  </si>
  <si>
    <t>Worcester Polytechnic Institute</t>
  </si>
  <si>
    <t>University of Wisconsin-Parkside</t>
  </si>
  <si>
    <t>Louisiana State University and Agricultural &amp; Mechanical College</t>
  </si>
  <si>
    <t>State University of New York at New Paltz</t>
  </si>
  <si>
    <t>Saint Mary-of-the-Woods College</t>
  </si>
  <si>
    <t>Barclay College</t>
  </si>
  <si>
    <t>The University of Texas Rio Grande Valley</t>
  </si>
  <si>
    <t>Mercy College of Health Sciences</t>
  </si>
  <si>
    <t>Grand Canyon University</t>
  </si>
  <si>
    <t>Austin College</t>
  </si>
  <si>
    <t>Farmingdale State College</t>
  </si>
  <si>
    <t>The University of the South</t>
  </si>
  <si>
    <t>Carthage College</t>
  </si>
  <si>
    <t>University of Tulsa</t>
  </si>
  <si>
    <t>Belmont University</t>
  </si>
  <si>
    <t>Auburn University at Montgomery</t>
  </si>
  <si>
    <t>Carson-Newman University</t>
  </si>
  <si>
    <t>University of Southern Mississippi</t>
  </si>
  <si>
    <t>Mississippi State University</t>
  </si>
  <si>
    <t>Maine College of Art &amp; Design</t>
  </si>
  <si>
    <t>California State University-Northridge</t>
  </si>
  <si>
    <t>SUNY Brockport</t>
  </si>
  <si>
    <t>Villanova University</t>
  </si>
  <si>
    <t>Westminster University</t>
  </si>
  <si>
    <t>University of Wisconsin-Superior</t>
  </si>
  <si>
    <t>Florida Memorial University</t>
  </si>
  <si>
    <t>University of Michigan-Flint</t>
  </si>
  <si>
    <t>Coker University</t>
  </si>
  <si>
    <t>Biola University</t>
  </si>
  <si>
    <t>Saint Leo University</t>
  </si>
  <si>
    <t>CUNY Brooklyn College</t>
  </si>
  <si>
    <t>Rhode Island College</t>
  </si>
  <si>
    <t>Northwestern State University of Louisiana</t>
  </si>
  <si>
    <t>Bryant University</t>
  </si>
  <si>
    <t>Sam Houston State University</t>
  </si>
  <si>
    <t>California State University-Monterey Bay</t>
  </si>
  <si>
    <t>The University of Tennessee-Knoxville</t>
  </si>
  <si>
    <t>Warner University</t>
  </si>
  <si>
    <t>St. Mary's College of Maryland</t>
  </si>
  <si>
    <t>Cedarville University</t>
  </si>
  <si>
    <t>Kennesaw State University</t>
  </si>
  <si>
    <t>Texas A &amp; M University-Corpus Christi</t>
  </si>
  <si>
    <t>Midwestern State University</t>
  </si>
  <si>
    <t>Ripon College</t>
  </si>
  <si>
    <t>Marymount Manhattan College</t>
  </si>
  <si>
    <t>Tulane University of Louisiana</t>
  </si>
  <si>
    <t>Wilson College</t>
  </si>
  <si>
    <t>Baylor University</t>
  </si>
  <si>
    <t>University of Louisiana at Lafayette</t>
  </si>
  <si>
    <t>Nova Southeastern University</t>
  </si>
  <si>
    <t>University of Massachusetts-Dartmouth</t>
  </si>
  <si>
    <t>University of South Carolina-Columbia</t>
  </si>
  <si>
    <t>Ottawa University-Surprise</t>
  </si>
  <si>
    <t>University of Cincinnati-Main Campus</t>
  </si>
  <si>
    <t>Abraham Baldwin Agricultural College</t>
  </si>
  <si>
    <t>Liberty University</t>
  </si>
  <si>
    <t>University of Wisconsin-Stout</t>
  </si>
  <si>
    <t>Texas A &amp; M International University</t>
  </si>
  <si>
    <t>Misericordia University</t>
  </si>
  <si>
    <t>North Carolina Central University</t>
  </si>
  <si>
    <t>Midway University</t>
  </si>
  <si>
    <t>Kansas Wesleyan University</t>
  </si>
  <si>
    <t>Keystone College</t>
  </si>
  <si>
    <t>Benedict College</t>
  </si>
  <si>
    <t>University of Northwestern-St Paul</t>
  </si>
  <si>
    <t>Albright College</t>
  </si>
  <si>
    <t>Bard College</t>
  </si>
  <si>
    <t>New Mexico State University-Main Campus</t>
  </si>
  <si>
    <t>Grace College and Theological Seminary</t>
  </si>
  <si>
    <t>Shaw University</t>
  </si>
  <si>
    <t>Naropa University</t>
  </si>
  <si>
    <t>Stockton University</t>
  </si>
  <si>
    <t>University of Valley Forge</t>
  </si>
  <si>
    <t>National Louis University</t>
  </si>
  <si>
    <t>New Jersey City University</t>
  </si>
  <si>
    <t>Georgia Institute of Technology-Main Campus</t>
  </si>
  <si>
    <t>Mars Hill University</t>
  </si>
  <si>
    <t>Saint Anselm College</t>
  </si>
  <si>
    <t>DeVry College of New York</t>
  </si>
  <si>
    <t>Plymouth State University</t>
  </si>
  <si>
    <t>Otterbein University</t>
  </si>
  <si>
    <t>Northwest Missouri State University</t>
  </si>
  <si>
    <t>Indiana University of Pennsylvania</t>
  </si>
  <si>
    <t>University of the Cumberlands</t>
  </si>
  <si>
    <t>Northeastern University</t>
  </si>
  <si>
    <t>Gwynedd Mercy University</t>
  </si>
  <si>
    <t>Kent State University at Kent</t>
  </si>
  <si>
    <t>Cornerstone University</t>
  </si>
  <si>
    <t>Western Michigan University</t>
  </si>
  <si>
    <t>Culver-Stockton College</t>
  </si>
  <si>
    <t>Oklahoma City University</t>
  </si>
  <si>
    <t>Carnegie Mellon University</t>
  </si>
  <si>
    <t>The University of Montana</t>
  </si>
  <si>
    <t>Fairmont State University</t>
  </si>
  <si>
    <t>Union Adventist University</t>
  </si>
  <si>
    <t>Nevada State University</t>
  </si>
  <si>
    <t>Nebraska Methodist College of Nursing &amp; Allied Health</t>
  </si>
  <si>
    <t>George Fox University</t>
  </si>
  <si>
    <t>Loyola University New Orleans</t>
  </si>
  <si>
    <t>University of Central Florida</t>
  </si>
  <si>
    <t>Willamette University</t>
  </si>
  <si>
    <t>Grambling State University</t>
  </si>
  <si>
    <t>Cairn University-Langhorne</t>
  </si>
  <si>
    <t>Eureka College</t>
  </si>
  <si>
    <t>Rutgers University-New Brunswick</t>
  </si>
  <si>
    <t>Lancaster Bible College</t>
  </si>
  <si>
    <t>Avila University</t>
  </si>
  <si>
    <t>Missouri Baptist University</t>
  </si>
  <si>
    <t>University of Idaho</t>
  </si>
  <si>
    <t>Framingham State University</t>
  </si>
  <si>
    <t>Lafayette College</t>
  </si>
  <si>
    <t>Oakwood University</t>
  </si>
  <si>
    <t>Embry-Riddle Aeronautical University-Prescott</t>
  </si>
  <si>
    <t>Suffolk University</t>
  </si>
  <si>
    <t>Russell Sage College</t>
  </si>
  <si>
    <t>Vanguard University of Southern California</t>
  </si>
  <si>
    <t>Southeastern Oklahoma State University</t>
  </si>
  <si>
    <t>Five Towns College</t>
  </si>
  <si>
    <t>Stonehill College</t>
  </si>
  <si>
    <t>University of Puget Sound</t>
  </si>
  <si>
    <t>Montreat College</t>
  </si>
  <si>
    <t>Indiana Wesleyan University-Marion</t>
  </si>
  <si>
    <t>Moore College of Art and Design</t>
  </si>
  <si>
    <t>University of Mississippi</t>
  </si>
  <si>
    <t>Faith Baptist Bible College and Theological Seminary</t>
  </si>
  <si>
    <t>Northern Kentucky University</t>
  </si>
  <si>
    <t>Howard Payne University</t>
  </si>
  <si>
    <t>SUNY Polytechnic Institute</t>
  </si>
  <si>
    <t>West Chester University of Pennsylvania</t>
  </si>
  <si>
    <t>Lesley University</t>
  </si>
  <si>
    <t>Southern Utah University</t>
  </si>
  <si>
    <t>Chamberlain University-Virginia</t>
  </si>
  <si>
    <t>New Mexico Institute of Mining and Technology</t>
  </si>
  <si>
    <t>Buena Vista University</t>
  </si>
  <si>
    <t>Azusa Pacific University</t>
  </si>
  <si>
    <t>East Central University</t>
  </si>
  <si>
    <t>SUNY Maritime College</t>
  </si>
  <si>
    <t>Ithaca College</t>
  </si>
  <si>
    <t>Gettysburg College</t>
  </si>
  <si>
    <t>University of Mount Olive</t>
  </si>
  <si>
    <t>Hartwick College</t>
  </si>
  <si>
    <t>Muskingum University</t>
  </si>
  <si>
    <t>Berea College</t>
  </si>
  <si>
    <t>Hood College</t>
  </si>
  <si>
    <t>East Stroudsburg University of Pennsylvania</t>
  </si>
  <si>
    <t>Milligan University</t>
  </si>
  <si>
    <t>Stillman College</t>
  </si>
  <si>
    <t>Regent University</t>
  </si>
  <si>
    <t>Blackburn College</t>
  </si>
  <si>
    <t>Moody Bible Institute</t>
  </si>
  <si>
    <t>University of North Carolina Asheville</t>
  </si>
  <si>
    <t>The University of Tennessee-Chattanooga</t>
  </si>
  <si>
    <t>Viterbo University</t>
  </si>
  <si>
    <t>Ohio State University-Main Campus</t>
  </si>
  <si>
    <t>University of Central Oklahoma</t>
  </si>
  <si>
    <t>State University of New York at Oswego</t>
  </si>
  <si>
    <t>Mount St. Mary's University</t>
  </si>
  <si>
    <t>Georgian Court University</t>
  </si>
  <si>
    <t>San Diego State University</t>
  </si>
  <si>
    <t>Valdosta State University</t>
  </si>
  <si>
    <t>Monmouth University</t>
  </si>
  <si>
    <t>Nebraska Wesleyan University</t>
  </si>
  <si>
    <t>McNeese State University</t>
  </si>
  <si>
    <t>Gordon State College</t>
  </si>
  <si>
    <t>Arizona College of Nursing-Las Vegas</t>
  </si>
  <si>
    <t>University of Toledo</t>
  </si>
  <si>
    <t>Spring Hill College</t>
  </si>
  <si>
    <t>Brigham Young University-Hawaii</t>
  </si>
  <si>
    <t>East Tennessee State University</t>
  </si>
  <si>
    <t>Taylor University</t>
  </si>
  <si>
    <t>Bluefield University</t>
  </si>
  <si>
    <t>Scripps College</t>
  </si>
  <si>
    <t>University of Massachusetts-Amherst</t>
  </si>
  <si>
    <t>Franklin and Marshall College</t>
  </si>
  <si>
    <t>Bowie State University</t>
  </si>
  <si>
    <t>Dominican University New York</t>
  </si>
  <si>
    <t>University of Central Arkansas</t>
  </si>
  <si>
    <t>University of Missouri-Kansas City</t>
  </si>
  <si>
    <t>Bridgewater College</t>
  </si>
  <si>
    <t>Long Island University</t>
  </si>
  <si>
    <t>Wright State University-Main Campus</t>
  </si>
  <si>
    <t>Barton College</t>
  </si>
  <si>
    <t>Criswell College</t>
  </si>
  <si>
    <t>University of Pennsylvania</t>
  </si>
  <si>
    <t>Warren Wilson College</t>
  </si>
  <si>
    <t>Capitol Technology University</t>
  </si>
  <si>
    <t>Vermont State University</t>
  </si>
  <si>
    <t>Elizabeth City State University</t>
  </si>
  <si>
    <t>Clayton  State University</t>
  </si>
  <si>
    <t>New England College</t>
  </si>
  <si>
    <t>Everglades University</t>
  </si>
  <si>
    <t>Texas State University</t>
  </si>
  <si>
    <t>Northeastern State University</t>
  </si>
  <si>
    <t>Trinity Bible College and Graduate School</t>
  </si>
  <si>
    <t>ND</t>
  </si>
  <si>
    <t>Nichols College</t>
  </si>
  <si>
    <t>Slippery Rock University of Pennsylvania</t>
  </si>
  <si>
    <t>Nelson University</t>
  </si>
  <si>
    <t>Newberry College</t>
  </si>
  <si>
    <t>Manhattan University</t>
  </si>
  <si>
    <t>Elmira College</t>
  </si>
  <si>
    <t>William Jewell College</t>
  </si>
  <si>
    <t>Elizabethtown College</t>
  </si>
  <si>
    <t>High Point University</t>
  </si>
  <si>
    <t>Michigan State University</t>
  </si>
  <si>
    <t>DeVry University-New Jersey</t>
  </si>
  <si>
    <t>Corban University</t>
  </si>
  <si>
    <t>Mount Mary University</t>
  </si>
  <si>
    <t>University of West Alabama</t>
  </si>
  <si>
    <t>Massachusetts College of Art and Design</t>
  </si>
  <si>
    <t>Chamberlain University-Indiana</t>
  </si>
  <si>
    <t>Ashland University</t>
  </si>
  <si>
    <t>Randolph-Macon College</t>
  </si>
  <si>
    <t>Alabama State University</t>
  </si>
  <si>
    <t>Allegheny College</t>
  </si>
  <si>
    <t>Norfolk State University</t>
  </si>
  <si>
    <t>Saint Francis University</t>
  </si>
  <si>
    <t>Rivier University</t>
  </si>
  <si>
    <t>Saint Peter's University</t>
  </si>
  <si>
    <t>Benedictine University</t>
  </si>
  <si>
    <t>Kalamazoo College</t>
  </si>
  <si>
    <t>Michigan Technological University</t>
  </si>
  <si>
    <t>McMurry University</t>
  </si>
  <si>
    <t>Johnson &amp; Wales University-Providence</t>
  </si>
  <si>
    <t>Washington State University</t>
  </si>
  <si>
    <t>SUNY at Fredonia</t>
  </si>
  <si>
    <t>Charleston Southern University</t>
  </si>
  <si>
    <t>Whitman College</t>
  </si>
  <si>
    <t>Hobart William Smith Colleges</t>
  </si>
  <si>
    <t>Randall University</t>
  </si>
  <si>
    <t>Dickinson State University</t>
  </si>
  <si>
    <t>Austin Peay State University</t>
  </si>
  <si>
    <t>Samford University</t>
  </si>
  <si>
    <t>Maharishi International University</t>
  </si>
  <si>
    <t>Pennsylvania State University-Penn State Scranton</t>
  </si>
  <si>
    <t>Caldwell University</t>
  </si>
  <si>
    <t>Simpson College</t>
  </si>
  <si>
    <t>Seton Hill University</t>
  </si>
  <si>
    <t>Appalachian State University</t>
  </si>
  <si>
    <t>Tabor College</t>
  </si>
  <si>
    <t>Regis University</t>
  </si>
  <si>
    <t>Pacific University</t>
  </si>
  <si>
    <t>Salem State University</t>
  </si>
  <si>
    <t>Missouri State University-Springfield</t>
  </si>
  <si>
    <t>CUNY Medgar Evers College</t>
  </si>
  <si>
    <t>Texas A&amp;M University-Kingsville</t>
  </si>
  <si>
    <t>Monmouth College</t>
  </si>
  <si>
    <t>Western Washington University</t>
  </si>
  <si>
    <t>University of Illinois Urbana-Champaign</t>
  </si>
  <si>
    <t>Georgia College &amp; State University</t>
  </si>
  <si>
    <t>University of Bridgeport</t>
  </si>
  <si>
    <t>University of North Florida</t>
  </si>
  <si>
    <t>Quincy University</t>
  </si>
  <si>
    <t>William &amp; Mary</t>
  </si>
  <si>
    <t>VanderCook College of Music</t>
  </si>
  <si>
    <t>University of Washington-Bothell Campus</t>
  </si>
  <si>
    <t>Rochester Christian University</t>
  </si>
  <si>
    <t>University of Maryland-College Park</t>
  </si>
  <si>
    <t>University of Illinois Springfield</t>
  </si>
  <si>
    <t>The University of Tennessee-Martin</t>
  </si>
  <si>
    <t>Illinois State University</t>
  </si>
  <si>
    <t>New Jersey Institute of Technology</t>
  </si>
  <si>
    <t>Harvey Mudd College</t>
  </si>
  <si>
    <t>Bay Path University</t>
  </si>
  <si>
    <t>Coastal Carolina University</t>
  </si>
  <si>
    <t>University of Indianapolis</t>
  </si>
  <si>
    <t>Stanford University</t>
  </si>
  <si>
    <t>Marquette University</t>
  </si>
  <si>
    <t>Central College</t>
  </si>
  <si>
    <t>The College of New Jersey</t>
  </si>
  <si>
    <t>Rowan University</t>
  </si>
  <si>
    <t>University of the Incarnate Word</t>
  </si>
  <si>
    <t>University of Missouri-St Louis</t>
  </si>
  <si>
    <t>The University of Tampa</t>
  </si>
  <si>
    <t>Pace University</t>
  </si>
  <si>
    <t>Madonna University</t>
  </si>
  <si>
    <t>Ottawa University-Ottawa</t>
  </si>
  <si>
    <t>Syracuse University</t>
  </si>
  <si>
    <t>William Carey University</t>
  </si>
  <si>
    <t>Concordia University Texas</t>
  </si>
  <si>
    <t>Southwest Baptist University</t>
  </si>
  <si>
    <t>Wake Forest University</t>
  </si>
  <si>
    <t>Texas Wesleyan University</t>
  </si>
  <si>
    <t>Williams College</t>
  </si>
  <si>
    <t>Hawaii Pacific University</t>
  </si>
  <si>
    <t>University of Pittsburgh-Johnstown</t>
  </si>
  <si>
    <t>Soka University of America</t>
  </si>
  <si>
    <t>Maryville University of Saint Louis</t>
  </si>
  <si>
    <t>Sacred Heart University</t>
  </si>
  <si>
    <t>Augustana University</t>
  </si>
  <si>
    <t>California State University-Long Beach</t>
  </si>
  <si>
    <t>Delta State University</t>
  </si>
  <si>
    <t>Jacksonville University</t>
  </si>
  <si>
    <t>University of California-Irvine</t>
  </si>
  <si>
    <t>University of Wyoming</t>
  </si>
  <si>
    <t>WY</t>
  </si>
  <si>
    <t>Wagner College</t>
  </si>
  <si>
    <t>Campbell University</t>
  </si>
  <si>
    <t>Lawrence Technological University</t>
  </si>
  <si>
    <t>Baker College</t>
  </si>
  <si>
    <t>University of Wisconsin-Eau Claire</t>
  </si>
  <si>
    <t>Mississippi University for Women</t>
  </si>
  <si>
    <t>University of North Carolina at Chapel Hill</t>
  </si>
  <si>
    <t>University of Maine at Farmington</t>
  </si>
  <si>
    <t>Fort Lewis College</t>
  </si>
  <si>
    <t>Alfred University</t>
  </si>
  <si>
    <t>Washington Adventist University</t>
  </si>
  <si>
    <t>Brevard College</t>
  </si>
  <si>
    <t>Arizona College of Nursing-Tempe</t>
  </si>
  <si>
    <t>Dean College</t>
  </si>
  <si>
    <t>Wittenberg University</t>
  </si>
  <si>
    <t>Muhlenberg College</t>
  </si>
  <si>
    <t>Saint Xavier University</t>
  </si>
  <si>
    <t>University of Southern Maine</t>
  </si>
  <si>
    <t>Saint Cloud State University</t>
  </si>
  <si>
    <t>North Carolina A &amp; T State University</t>
  </si>
  <si>
    <t>Winthrop University</t>
  </si>
  <si>
    <t>Assumption University</t>
  </si>
  <si>
    <t>Alabama A &amp; M University</t>
  </si>
  <si>
    <t>University of Hawaii at Manoa</t>
  </si>
  <si>
    <t>Boise State University</t>
  </si>
  <si>
    <t>Hellenic College-Holy Cross Greek Orthodox School of Theology</t>
  </si>
  <si>
    <t>Chamberlain University-Illinois</t>
  </si>
  <si>
    <t>Western Connecticut State University</t>
  </si>
  <si>
    <t>University of Hawaii at Hilo</t>
  </si>
  <si>
    <t>Southern Arkansas University Main Campus</t>
  </si>
  <si>
    <t>University of Lynchburg</t>
  </si>
  <si>
    <t>Georgia State University</t>
  </si>
  <si>
    <t>Lipscomb University</t>
  </si>
  <si>
    <t>Converse University</t>
  </si>
  <si>
    <t>Claflin University</t>
  </si>
  <si>
    <t>D'Youville  University</t>
  </si>
  <si>
    <t>Curry College</t>
  </si>
  <si>
    <t>University of New Haven</t>
  </si>
  <si>
    <t>Newschool of Architecture and Design</t>
  </si>
  <si>
    <t>Murray State University</t>
  </si>
  <si>
    <t>University of Wisconsin-La Crosse</t>
  </si>
  <si>
    <t>University of West Georgia</t>
  </si>
  <si>
    <t>Colby College</t>
  </si>
  <si>
    <t>SUNY College of Environmental Science and Forestry</t>
  </si>
  <si>
    <t>Arkansas State University</t>
  </si>
  <si>
    <t>Eastern Connecticut State University</t>
  </si>
  <si>
    <t>Concordia University-Wisconsin</t>
  </si>
  <si>
    <t>Bluefield State University</t>
  </si>
  <si>
    <t>College of Staten Island CUNY</t>
  </si>
  <si>
    <t>Columbia College</t>
  </si>
  <si>
    <t>Fitchburg State University</t>
  </si>
  <si>
    <t>Eastern University</t>
  </si>
  <si>
    <t>Pennsylvania State University-Penn State Wilkes-Barre</t>
  </si>
  <si>
    <t>University of Michigan-Dearborn</t>
  </si>
  <si>
    <t>University of Pittsburgh-Bradford</t>
  </si>
  <si>
    <t>Stephens College</t>
  </si>
  <si>
    <t>Immaculata University</t>
  </si>
  <si>
    <t>Toccoa Falls College</t>
  </si>
  <si>
    <t>North Dakota State University-Main Campus</t>
  </si>
  <si>
    <t>Presbyterian College</t>
  </si>
  <si>
    <t>University of Louisiana at Monroe</t>
  </si>
  <si>
    <t>Winston-Salem State University</t>
  </si>
  <si>
    <t>University of Southern California</t>
  </si>
  <si>
    <t>Spring Arbor University</t>
  </si>
  <si>
    <t>CUNY Queens College</t>
  </si>
  <si>
    <t>Seattle University</t>
  </si>
  <si>
    <t>Vanderbilt University</t>
  </si>
  <si>
    <t>Reinhardt University</t>
  </si>
  <si>
    <t>Manhattan School of Music</t>
  </si>
  <si>
    <t>Beloit College</t>
  </si>
  <si>
    <t>Cumberland University</t>
  </si>
  <si>
    <t>Chamberlain University-Georgia</t>
  </si>
  <si>
    <t>Morgan State University</t>
  </si>
  <si>
    <t>Northwestern College</t>
  </si>
  <si>
    <t>Visible Music College</t>
  </si>
  <si>
    <t>Kuyper College</t>
  </si>
  <si>
    <t>Cottey College</t>
  </si>
  <si>
    <t>SUNY College of Agriculture and Technology at Cobleskill</t>
  </si>
  <si>
    <t>Fisher College</t>
  </si>
  <si>
    <t>University of Colorado Colorado Springs</t>
  </si>
  <si>
    <t>California College of the Arts</t>
  </si>
  <si>
    <t>Concordia College at Moorhead</t>
  </si>
  <si>
    <t>Mercy University</t>
  </si>
  <si>
    <t>Albizu University-Miami</t>
  </si>
  <si>
    <t>Pacific Northwest College of Art</t>
  </si>
  <si>
    <t>Old Dominion University</t>
  </si>
  <si>
    <t>The King's University</t>
  </si>
  <si>
    <t>Rutgers University-Newark</t>
  </si>
  <si>
    <t>Southern New Hampshire University</t>
  </si>
  <si>
    <t>North Central College</t>
  </si>
  <si>
    <t>University of Arkansas at Pine Bluff</t>
  </si>
  <si>
    <t>Edgewood University</t>
  </si>
  <si>
    <t>Valley City State University</t>
  </si>
  <si>
    <t>University of Florida</t>
  </si>
  <si>
    <t>Florida Atlantic University</t>
  </si>
  <si>
    <t>California Polytechnic State University-San Luis Obispo</t>
  </si>
  <si>
    <t>Lynn University</t>
  </si>
  <si>
    <t>Villa Maria College</t>
  </si>
  <si>
    <t>Hofstra University</t>
  </si>
  <si>
    <t>St. Joseph's University-New York</t>
  </si>
  <si>
    <t>University of Illinois Chicago</t>
  </si>
  <si>
    <t>Bryn Mawr College</t>
  </si>
  <si>
    <t>Cornell University</t>
  </si>
  <si>
    <t>Virginia State University</t>
  </si>
  <si>
    <t>Shepherd University</t>
  </si>
  <si>
    <t>Governors State University</t>
  </si>
  <si>
    <t>Alvernia University</t>
  </si>
  <si>
    <t>Keuka College</t>
  </si>
  <si>
    <t>Minot State University</t>
  </si>
  <si>
    <t>Huston-Tillotson University</t>
  </si>
  <si>
    <t>John Carroll University</t>
  </si>
  <si>
    <t>Marist University</t>
  </si>
  <si>
    <t>Whitworth University</t>
  </si>
  <si>
    <t>California State Polytechnic University-Pomona</t>
  </si>
  <si>
    <t>Pennsylvania State University-Penn State York</t>
  </si>
  <si>
    <t>University of Houston</t>
  </si>
  <si>
    <t>SUNY College of Technology at Canton</t>
  </si>
  <si>
    <t>William Penn University</t>
  </si>
  <si>
    <t>Kansas State University</t>
  </si>
  <si>
    <t>California State Polytechnic University-Humboldt</t>
  </si>
  <si>
    <t>Roanoke College</t>
  </si>
  <si>
    <t>Cleveland Institute of Music</t>
  </si>
  <si>
    <t>University of Connecticut-Avery Point</t>
  </si>
  <si>
    <t>Barnard College</t>
  </si>
  <si>
    <t>Embry-Riddle Aeronautical University-Daytona Beach</t>
  </si>
  <si>
    <t>University of Massachusetts-Lowell</t>
  </si>
  <si>
    <t>CUNY Hunter College</t>
  </si>
  <si>
    <t>Arizona State University Campus Immersion</t>
  </si>
  <si>
    <t>La Sierra University</t>
  </si>
  <si>
    <t>Christopher Newport University</t>
  </si>
  <si>
    <t>University of Vermont</t>
  </si>
  <si>
    <t>United States Merchant Marine Academy</t>
  </si>
  <si>
    <t>Wellesley College</t>
  </si>
  <si>
    <t>Indiana University-Bloomington</t>
  </si>
  <si>
    <t>Design Institute of San Diego</t>
  </si>
  <si>
    <t>West Virginia University</t>
  </si>
  <si>
    <t>Lewis-Clark State College</t>
  </si>
  <si>
    <t>Central Connecticut State University</t>
  </si>
  <si>
    <t>Saint Mary's College</t>
  </si>
  <si>
    <t>Paul Quinn College</t>
  </si>
  <si>
    <t>Dallas Baptist University</t>
  </si>
  <si>
    <t>The University of Findlay</t>
  </si>
  <si>
    <t>Colby-Sawyer College</t>
  </si>
  <si>
    <t>Texas Southern University</t>
  </si>
  <si>
    <t>Dominican University</t>
  </si>
  <si>
    <t>Asbury University</t>
  </si>
  <si>
    <t>Mount Vernon Nazarene University</t>
  </si>
  <si>
    <t>California Baptist University</t>
  </si>
  <si>
    <t>Fairleigh Dickinson University-Metropolitan Campus</t>
  </si>
  <si>
    <t>University of Wisconsin-River Falls</t>
  </si>
  <si>
    <t>University of Scranton</t>
  </si>
  <si>
    <t>College for Creative Studies</t>
  </si>
  <si>
    <t>Johns Hopkins University</t>
  </si>
  <si>
    <t>Embry-Riddle Aeronautical University-Worldwide</t>
  </si>
  <si>
    <t>Crown College</t>
  </si>
  <si>
    <t>Barry University</t>
  </si>
  <si>
    <t>Pomona College</t>
  </si>
  <si>
    <t>Seattle Pacific University</t>
  </si>
  <si>
    <t>Millikin University</t>
  </si>
  <si>
    <t>North Greenville University</t>
  </si>
  <si>
    <t>Gonzaga University</t>
  </si>
  <si>
    <t>Western Kentucky University</t>
  </si>
  <si>
    <t>Champlain College</t>
  </si>
  <si>
    <t>Bowdoin College</t>
  </si>
  <si>
    <t>Pennsylvania State University-Penn State Altoona</t>
  </si>
  <si>
    <t>Susquehanna University</t>
  </si>
  <si>
    <t>University of Maine at Presque Isle</t>
  </si>
  <si>
    <t>Albion College</t>
  </si>
  <si>
    <t>Eckerd College</t>
  </si>
  <si>
    <t>Harding University</t>
  </si>
  <si>
    <t>Georgia Gwinnett College</t>
  </si>
  <si>
    <t>Greensboro College</t>
  </si>
  <si>
    <t>Hardin-Simmons University</t>
  </si>
  <si>
    <t>Le Moyne College</t>
  </si>
  <si>
    <t>Colorado State University-Fort Collins</t>
  </si>
  <si>
    <t>Lehigh University</t>
  </si>
  <si>
    <t>Baldwin Wallace University</t>
  </si>
  <si>
    <t>University of Charleston</t>
  </si>
  <si>
    <t>Central Methodist University-College of Graduate and Extended Studies</t>
  </si>
  <si>
    <t>University of California-Berkeley</t>
  </si>
  <si>
    <t>Elmhurst University</t>
  </si>
  <si>
    <t>Chamberlain University-New Jersey</t>
  </si>
  <si>
    <t>Waynesburg University</t>
  </si>
  <si>
    <t>University of Oregon</t>
  </si>
  <si>
    <t>Pfeiffer University</t>
  </si>
  <si>
    <t>California State University-San Marcos</t>
  </si>
  <si>
    <t>University of Minnesota-Duluth</t>
  </si>
  <si>
    <t>Saint Mary's University of Minnesota</t>
  </si>
  <si>
    <t>Hannibal-LaGrange University</t>
  </si>
  <si>
    <t>Fresno Pacific University</t>
  </si>
  <si>
    <t>University of Houston-Downtown</t>
  </si>
  <si>
    <t>Capital University</t>
  </si>
  <si>
    <t>Oral Roberts University</t>
  </si>
  <si>
    <t>Pratt Institute-Main</t>
  </si>
  <si>
    <t>Coppin State University</t>
  </si>
  <si>
    <t>Pennsylvania State University-Penn State Berks</t>
  </si>
  <si>
    <t>York University</t>
  </si>
  <si>
    <t>Hastings College</t>
  </si>
  <si>
    <t>Marshall University</t>
  </si>
  <si>
    <t>Bowling Green State University-Main Campus</t>
  </si>
  <si>
    <t>Rensselaer Polytechnic Institute</t>
  </si>
  <si>
    <t>Franciscan University of Steubenville</t>
  </si>
  <si>
    <t>University of New England</t>
  </si>
  <si>
    <t>University of Silicon Valley</t>
  </si>
  <si>
    <t>Massachusetts Institute of Technology</t>
  </si>
  <si>
    <t>Minnesota State University-Mankato</t>
  </si>
  <si>
    <t>University of Dubuque</t>
  </si>
  <si>
    <t>Grace Christian University</t>
  </si>
  <si>
    <t>West Virginia University Institute of Technology</t>
  </si>
  <si>
    <t>Rollins College</t>
  </si>
  <si>
    <t>Bates College</t>
  </si>
  <si>
    <t>Pennsylvania State University-Penn State Fayette- Eberly</t>
  </si>
  <si>
    <t>Ohio Dominican University</t>
  </si>
  <si>
    <t>Bethel College-North Newton</t>
  </si>
  <si>
    <t>Saint Vincent College</t>
  </si>
  <si>
    <t>Texas Tech University</t>
  </si>
  <si>
    <t>Notre Dame of Maryland University</t>
  </si>
  <si>
    <t>University of Connecticut</t>
  </si>
  <si>
    <t>Centenary University</t>
  </si>
  <si>
    <t>Waldorf University</t>
  </si>
  <si>
    <t>Saint Michael's College</t>
  </si>
  <si>
    <t>Salisbury University</t>
  </si>
  <si>
    <t>University of Montevallo</t>
  </si>
  <si>
    <t>Virginia Union University</t>
  </si>
  <si>
    <t>Rhodes College</t>
  </si>
  <si>
    <t>Eastern Oregon University</t>
  </si>
  <si>
    <t>Lake Erie College</t>
  </si>
  <si>
    <t>The College of Westchester</t>
  </si>
  <si>
    <t>Harvard University</t>
  </si>
  <si>
    <t>Erskine College</t>
  </si>
  <si>
    <t>Mount Carmel College of Nursing</t>
  </si>
  <si>
    <t>Drew University</t>
  </si>
  <si>
    <t>Roosevelt University</t>
  </si>
  <si>
    <t>Chamberlain University-Missouri</t>
  </si>
  <si>
    <t>Dominican University of California</t>
  </si>
  <si>
    <t>Paul Smiths College of Arts and Science</t>
  </si>
  <si>
    <t>Sonoma State University</t>
  </si>
  <si>
    <t>Brescia University</t>
  </si>
  <si>
    <t>Colorado State University Pueblo</t>
  </si>
  <si>
    <t>Temple University</t>
  </si>
  <si>
    <t>University of Wisconsin-Stevens Point</t>
  </si>
  <si>
    <t>Milwaukee Institute of Art &amp; Design</t>
  </si>
  <si>
    <t>Talladega College</t>
  </si>
  <si>
    <t>University of Wisconsin-Green Bay</t>
  </si>
  <si>
    <t>Bradley University</t>
  </si>
  <si>
    <t>Stevens Institute of Technology</t>
  </si>
  <si>
    <t>Lycoming College</t>
  </si>
  <si>
    <t>University of Mary</t>
  </si>
  <si>
    <t>Texas Lutheran University</t>
  </si>
  <si>
    <t>Pennsylvania State University-Penn State Schuylkill</t>
  </si>
  <si>
    <t>Marietta College</t>
  </si>
  <si>
    <t>Oklahoma Baptist University</t>
  </si>
  <si>
    <t>Ursinus College</t>
  </si>
  <si>
    <t>Auburn University</t>
  </si>
  <si>
    <t>Houghton University</t>
  </si>
  <si>
    <t>Lyon College</t>
  </si>
  <si>
    <t>Fordham University</t>
  </si>
  <si>
    <t>The University of Texas at San Antonio</t>
  </si>
  <si>
    <t>Mount St. Joseph University</t>
  </si>
  <si>
    <t>Oregon Institute of Technology</t>
  </si>
  <si>
    <t>Bushnell University</t>
  </si>
  <si>
    <t>Northwest Nazarene University</t>
  </si>
  <si>
    <t>Smith College</t>
  </si>
  <si>
    <t>Ursuline College</t>
  </si>
  <si>
    <t>Reed College</t>
  </si>
  <si>
    <t>The University of Tennessee Southern</t>
  </si>
  <si>
    <t>Le Moyne-Owen College</t>
  </si>
  <si>
    <t>University of North Dakota</t>
  </si>
  <si>
    <t>Tusculum University</t>
  </si>
  <si>
    <t>University of New Hampshire-Main Campus</t>
  </si>
  <si>
    <t>Northwest University</t>
  </si>
  <si>
    <t>Massachusetts College of Liberal Arts</t>
  </si>
  <si>
    <t>Dillard University</t>
  </si>
  <si>
    <t>Roger Williams University</t>
  </si>
  <si>
    <t>Ferris State University</t>
  </si>
  <si>
    <t>Abilene Christian University</t>
  </si>
  <si>
    <t>Georgetown College</t>
  </si>
  <si>
    <t>Trinity University</t>
  </si>
  <si>
    <t>DeVry University-Georgia</t>
  </si>
  <si>
    <t>University of Delaware</t>
  </si>
  <si>
    <t>Wichita State University</t>
  </si>
  <si>
    <t>Trine University</t>
  </si>
  <si>
    <t>La Salle University</t>
  </si>
  <si>
    <t>University of Detroit Mercy</t>
  </si>
  <si>
    <t>Stetson University</t>
  </si>
  <si>
    <t>Missouri Southern State University</t>
  </si>
  <si>
    <t>Bennington College</t>
  </si>
  <si>
    <t>Belhaven University</t>
  </si>
  <si>
    <t>University of Saint Mary</t>
  </si>
  <si>
    <t>Columbus College of Art &amp; Design</t>
  </si>
  <si>
    <t>Drake University</t>
  </si>
  <si>
    <t>University of Evansville</t>
  </si>
  <si>
    <t>The University of Texas at Austin</t>
  </si>
  <si>
    <t>Delaware State University</t>
  </si>
  <si>
    <t>Bemidji State University</t>
  </si>
  <si>
    <t>Augusta University</t>
  </si>
  <si>
    <t>Indiana State University</t>
  </si>
  <si>
    <t>Hope College</t>
  </si>
  <si>
    <t>Appalachian Bible College</t>
  </si>
  <si>
    <t>DePauw University</t>
  </si>
  <si>
    <t>Washington College</t>
  </si>
  <si>
    <t>Cal Poly Maritime Academy</t>
  </si>
  <si>
    <t>Life University</t>
  </si>
  <si>
    <t>Bryn Athyn College of the New Church</t>
  </si>
  <si>
    <t>CUNY York College</t>
  </si>
  <si>
    <t>Montclair State University</t>
  </si>
  <si>
    <t>Touro University</t>
  </si>
  <si>
    <t>Rosemont College</t>
  </si>
  <si>
    <t>University of Wisconsin-Platteville</t>
  </si>
  <si>
    <t>Morningside University</t>
  </si>
  <si>
    <t>Lasell University</t>
  </si>
  <si>
    <t>Bennett College</t>
  </si>
  <si>
    <t>St Catherine University</t>
  </si>
  <si>
    <t>Life Pacific University</t>
  </si>
  <si>
    <t>Case Western Reserve University</t>
  </si>
  <si>
    <t>Agnes Scott College</t>
  </si>
  <si>
    <t>Central Washington University</t>
  </si>
  <si>
    <t>Loyola University Maryland</t>
  </si>
  <si>
    <t>Illinois Institute of Technology</t>
  </si>
  <si>
    <t>Connecticut College</t>
  </si>
  <si>
    <t>Oakland City University</t>
  </si>
  <si>
    <t>Lubbock Christian University</t>
  </si>
  <si>
    <t>Northern Michigan University</t>
  </si>
  <si>
    <t>Bluffton University</t>
  </si>
  <si>
    <t>Thomas University</t>
  </si>
  <si>
    <t>Chamberlain University-Florida</t>
  </si>
  <si>
    <t>Spelman College</t>
  </si>
  <si>
    <t>Trinity College of Florida</t>
  </si>
  <si>
    <t>Mercyhurst University</t>
  </si>
  <si>
    <t>Hebrew Theological College</t>
  </si>
  <si>
    <t>Aquinas College</t>
  </si>
  <si>
    <t>Wesleyan College</t>
  </si>
  <si>
    <t>DeVry University-Ohio</t>
  </si>
  <si>
    <t>University of Science and Arts of Oklahoma</t>
  </si>
  <si>
    <t>CUNY Bernard M Baruch College</t>
  </si>
  <si>
    <t>Pennsylvania State University-Penn State DuBois</t>
  </si>
  <si>
    <t>Logan University</t>
  </si>
  <si>
    <t>Mount Aloysius College</t>
  </si>
  <si>
    <t>Centre College</t>
  </si>
  <si>
    <t>Providence College</t>
  </si>
  <si>
    <t>Pennsylvania State University-Penn State Erie-Behrend College</t>
  </si>
  <si>
    <t>Saint Martin's University</t>
  </si>
  <si>
    <t>Metropolitan College of New York</t>
  </si>
  <si>
    <t>Indiana University-East</t>
  </si>
  <si>
    <t>University of Nebraska at Omaha</t>
  </si>
  <si>
    <t>Loyola University Chicago</t>
  </si>
  <si>
    <t>The New England Conservatory of Music</t>
  </si>
  <si>
    <t>Tiffin University</t>
  </si>
  <si>
    <t>Kentucky Christian University</t>
  </si>
  <si>
    <t>Kettering College</t>
  </si>
  <si>
    <t>Wentworth Institute of Technology</t>
  </si>
  <si>
    <t>University of Sioux Falls</t>
  </si>
  <si>
    <t>Point Park University</t>
  </si>
  <si>
    <t>Wartburg College</t>
  </si>
  <si>
    <t>University of North Carolina School of the Arts</t>
  </si>
  <si>
    <t>Livingstone College</t>
  </si>
  <si>
    <t>University of Mobile</t>
  </si>
  <si>
    <t>Virginia Commonwealth University</t>
  </si>
  <si>
    <t>Troy University</t>
  </si>
  <si>
    <t>Grand View University</t>
  </si>
  <si>
    <t>University of Pittsburgh-Greensburg</t>
  </si>
  <si>
    <t>Gannon University</t>
  </si>
  <si>
    <t>School of the Art Institute of Chicago</t>
  </si>
  <si>
    <t>Freed-Hardeman University</t>
  </si>
  <si>
    <t>University of Akron Wayne College</t>
  </si>
  <si>
    <t>Lakeland University</t>
  </si>
  <si>
    <t>Northern Illinois University</t>
  </si>
  <si>
    <t>University of North Texas</t>
  </si>
  <si>
    <t>CUNY Lehman College</t>
  </si>
  <si>
    <t>Boston College</t>
  </si>
  <si>
    <t>Millsaps College</t>
  </si>
  <si>
    <t>Centenary College of Louisiana</t>
  </si>
  <si>
    <t>St Lawrence University</t>
  </si>
  <si>
    <t>University of the Ozarks</t>
  </si>
  <si>
    <t>University of New Mexico-Main Campus</t>
  </si>
  <si>
    <t>CUNY City College</t>
  </si>
  <si>
    <t>Coe College</t>
  </si>
  <si>
    <t>University of Kansas</t>
  </si>
  <si>
    <t>Quinnipiac University</t>
  </si>
  <si>
    <t>Albertus Magnus College</t>
  </si>
  <si>
    <t>Art Center College of Design</t>
  </si>
  <si>
    <t>Saint Johns University</t>
  </si>
  <si>
    <t>Clark Atlanta University</t>
  </si>
  <si>
    <t>San Francisco State University</t>
  </si>
  <si>
    <t>Elon University</t>
  </si>
  <si>
    <t>Xavier University of Louisiana</t>
  </si>
  <si>
    <t>Wheaton College (Massachusetts)</t>
  </si>
  <si>
    <t>Campbellsville University</t>
  </si>
  <si>
    <t>Saint Edward's University</t>
  </si>
  <si>
    <t>California State University-Los Angeles</t>
  </si>
  <si>
    <t>Norwich University</t>
  </si>
  <si>
    <t>Holy Family University</t>
  </si>
  <si>
    <t>Delaware Valley University</t>
  </si>
  <si>
    <t>Northwestern University</t>
  </si>
  <si>
    <t>Johnson University</t>
  </si>
  <si>
    <t>University of Kentucky</t>
  </si>
  <si>
    <t>Nossi College of Art and Design</t>
  </si>
  <si>
    <t>DePaul University</t>
  </si>
  <si>
    <t>University of Wisconsin-Oshkosh</t>
  </si>
  <si>
    <t>Babson College</t>
  </si>
  <si>
    <t>Dickinson College</t>
  </si>
  <si>
    <t>Southern Methodist University</t>
  </si>
  <si>
    <t>Montana State University</t>
  </si>
  <si>
    <t>University of California-Los Angeles</t>
  </si>
  <si>
    <t>Heidelberg University</t>
  </si>
  <si>
    <t>Lincoln Memorial University</t>
  </si>
  <si>
    <t>College of Our Lady of the Elms</t>
  </si>
  <si>
    <t>Miami University-Oxford</t>
  </si>
  <si>
    <t>MidAmerica Nazarene University</t>
  </si>
  <si>
    <t>Simmons University</t>
  </si>
  <si>
    <t>University of South Carolina Aiken</t>
  </si>
  <si>
    <t>Rochester Institute of Technology</t>
  </si>
  <si>
    <t>Northern Arizona University</t>
  </si>
  <si>
    <t>Creighton University</t>
  </si>
  <si>
    <t>CUNY New York City College of Technology</t>
  </si>
  <si>
    <t>Minnesota State University Moorhead</t>
  </si>
  <si>
    <t>Salem College</t>
  </si>
  <si>
    <t>University of the Pacific</t>
  </si>
  <si>
    <t>University of Chicago</t>
  </si>
  <si>
    <t>Texas A&amp;M University-Texarkana</t>
  </si>
  <si>
    <t>Texas Woman's University</t>
  </si>
  <si>
    <t>University of Nevada-Las Vegas</t>
  </si>
  <si>
    <t>Hendrix College</t>
  </si>
  <si>
    <t>Linfield University</t>
  </si>
  <si>
    <t>Metropolitan State University</t>
  </si>
  <si>
    <t>Western Colorado University</t>
  </si>
  <si>
    <t>Savannah College of Art and Design</t>
  </si>
  <si>
    <t>Los Angeles College of Music</t>
  </si>
  <si>
    <t>Tufts University</t>
  </si>
  <si>
    <t>College of Saint Mary</t>
  </si>
  <si>
    <t>Ecclesia College</t>
  </si>
  <si>
    <t>Saint Ambrose University</t>
  </si>
  <si>
    <t>Maranatha Baptist University</t>
  </si>
  <si>
    <t>St. Thomas Aquinas College</t>
  </si>
  <si>
    <t>Rider University</t>
  </si>
  <si>
    <t>Robert Morris University</t>
  </si>
  <si>
    <t>Ave Maria University</t>
  </si>
  <si>
    <t>University of Virginia-Main Campus</t>
  </si>
  <si>
    <t>California State University-Stanislaus</t>
  </si>
  <si>
    <t>Wabash College</t>
  </si>
  <si>
    <t>State University of New York at Plattsburgh</t>
  </si>
  <si>
    <t>Swarthmore College</t>
  </si>
  <si>
    <t>Georgia Southwestern State University</t>
  </si>
  <si>
    <t>Bellarmine University</t>
  </si>
  <si>
    <t>Loras College</t>
  </si>
  <si>
    <t>Tennessee Wesleyan University</t>
  </si>
  <si>
    <t>Nazareth University</t>
  </si>
  <si>
    <t>Baptist University of Florida</t>
  </si>
  <si>
    <t>Indiana University-Northwest</t>
  </si>
  <si>
    <t>Bentley University</t>
  </si>
  <si>
    <t>Southern University and A &amp; M College</t>
  </si>
  <si>
    <t>Pennsylvania State University-Penn State Harrisburg</t>
  </si>
  <si>
    <t>Walsh University</t>
  </si>
  <si>
    <t>California State University-Chico</t>
  </si>
  <si>
    <t>University of Minnesota-Twin Cities</t>
  </si>
  <si>
    <t>Union University</t>
  </si>
  <si>
    <t>Missouri University of Science and Technology</t>
  </si>
  <si>
    <t>Yale University</t>
  </si>
  <si>
    <t>Knox College</t>
  </si>
  <si>
    <t>Fort Valley State University</t>
  </si>
  <si>
    <t>Stony Brook University</t>
  </si>
  <si>
    <t>Southern Oregon University</t>
  </si>
  <si>
    <t>Queens University of Charlotte</t>
  </si>
  <si>
    <t>Davis &amp; Elkins College</t>
  </si>
  <si>
    <t>Lawrence University</t>
  </si>
  <si>
    <t>University of Jamestown</t>
  </si>
  <si>
    <t>Mitchell College</t>
  </si>
  <si>
    <t>University of Nevada-Reno</t>
  </si>
  <si>
    <t>DeSales University</t>
  </si>
  <si>
    <t>Brown University</t>
  </si>
  <si>
    <t>University of Baltimore</t>
  </si>
  <si>
    <t>William Paterson University of New Jersey</t>
  </si>
  <si>
    <t>University of Florida-Online</t>
  </si>
  <si>
    <t>Wisconsin Lutheran College</t>
  </si>
  <si>
    <t>Utah State University</t>
  </si>
  <si>
    <t>The Master's University and Seminary</t>
  </si>
  <si>
    <t>Amherst College</t>
  </si>
  <si>
    <t>Francis Marion University</t>
  </si>
  <si>
    <t>LIM College</t>
  </si>
  <si>
    <t>John Brown University</t>
  </si>
  <si>
    <t>Tuskegee University</t>
  </si>
  <si>
    <t>College of the Holy Cross</t>
  </si>
  <si>
    <t>New York University</t>
  </si>
  <si>
    <t>Worcester State University</t>
  </si>
  <si>
    <t>Anna Maria College</t>
  </si>
  <si>
    <t>Randolph College</t>
  </si>
  <si>
    <t>Prescott College</t>
  </si>
  <si>
    <t>Florida Southern College</t>
  </si>
  <si>
    <t>Georgia Southern University</t>
  </si>
  <si>
    <t>University of Connecticut-Waterbury Campus</t>
  </si>
  <si>
    <t>Chowan University</t>
  </si>
  <si>
    <t>Benedictine College</t>
  </si>
  <si>
    <t>The Cooper Union for the Advancement of Science and Art</t>
  </si>
  <si>
    <t>University of Houston-Clear Lake</t>
  </si>
  <si>
    <t>Whittier College</t>
  </si>
  <si>
    <t>Southeastern Louisiana University</t>
  </si>
  <si>
    <t>Ohio University-Main Campus</t>
  </si>
  <si>
    <t>Baptist Health Sciences University</t>
  </si>
  <si>
    <t>East Texas A&amp;M University</t>
  </si>
  <si>
    <t>Emory University</t>
  </si>
  <si>
    <t>Towson University</t>
  </si>
  <si>
    <t>Beacon College</t>
  </si>
  <si>
    <t>Goshen College</t>
  </si>
  <si>
    <t>Middlebury College</t>
  </si>
  <si>
    <t>Southern Illinois University Edwardsville</t>
  </si>
  <si>
    <t>Sweet Briar College</t>
  </si>
  <si>
    <t>Columbia University in the City of New York</t>
  </si>
  <si>
    <t>University of Central Missouri</t>
  </si>
  <si>
    <t>LaGrange College</t>
  </si>
  <si>
    <t>Calvary University</t>
  </si>
  <si>
    <t>New York Institute of Technology</t>
  </si>
  <si>
    <t>Columbia International University</t>
  </si>
  <si>
    <t>Christian Brothers University</t>
  </si>
  <si>
    <t>Emory &amp; Henry University</t>
  </si>
  <si>
    <t>Adrian College</t>
  </si>
  <si>
    <t>Purdue University Northwest</t>
  </si>
  <si>
    <t>Texas A&amp;M University-San Antonio</t>
  </si>
  <si>
    <t>Southwestern Adventist University</t>
  </si>
  <si>
    <t>Eastern International College-Jersey City</t>
  </si>
  <si>
    <t>Howard University</t>
  </si>
  <si>
    <t>Huntingdon College</t>
  </si>
  <si>
    <t>Southern Virginia University</t>
  </si>
  <si>
    <t>Saint Joseph's University - Philadelphia</t>
  </si>
  <si>
    <t>Milwaukee School of Engineering</t>
  </si>
  <si>
    <t>East Carolina University</t>
  </si>
  <si>
    <t>Florida Gulf Coast University</t>
  </si>
  <si>
    <t>Tarleton State University</t>
  </si>
  <si>
    <t>Gardner-Webb University</t>
  </si>
  <si>
    <t>Black Hills State University</t>
  </si>
  <si>
    <t>California State University-Bakersfield</t>
  </si>
  <si>
    <t>Emporia State University</t>
  </si>
  <si>
    <t>Baker University</t>
  </si>
  <si>
    <t>Pennsylvania College of Art and Design</t>
  </si>
  <si>
    <t>Columbus State University</t>
  </si>
  <si>
    <t>Saint Augustine's University</t>
  </si>
  <si>
    <t>The University of Montana-Western</t>
  </si>
  <si>
    <t>St. John's University-New York</t>
  </si>
  <si>
    <t>Trinity College</t>
  </si>
  <si>
    <t>Shenandoah University</t>
  </si>
  <si>
    <t>Goucher College</t>
  </si>
  <si>
    <t>Sample Data n = 500</t>
  </si>
  <si>
    <t>One Sample Test</t>
  </si>
  <si>
    <t>Business Question:  Is the average out-of-state tuition for U.S. colleges above $32,000?</t>
  </si>
  <si>
    <t>Business Question: Is the average earnings for graduates 10 years after enrollment different from $55,000?</t>
  </si>
  <si>
    <t>Upper Tail - T</t>
  </si>
  <si>
    <t>Two Tail - T</t>
  </si>
  <si>
    <t>H0: μ &lt;=</t>
  </si>
  <si>
    <t>H0: μ =</t>
  </si>
  <si>
    <t>Ha: μ &gt;</t>
  </si>
  <si>
    <t>Ha: μ !=</t>
  </si>
  <si>
    <t>x-bar =</t>
  </si>
  <si>
    <t>s =</t>
  </si>
  <si>
    <t>n =</t>
  </si>
  <si>
    <t>alpha =</t>
  </si>
  <si>
    <t>t =</t>
  </si>
  <si>
    <t>p-val =</t>
  </si>
  <si>
    <t>Upper Tail</t>
  </si>
  <si>
    <t>Two Tail</t>
  </si>
  <si>
    <t>At the 5% significance level, there is not sufficient evidence for us to conclude that the average out-of-state tuition is $32,000 or less.</t>
  </si>
  <si>
    <t>At the 5% significance level, there is not sufficient evidence for us to conclude that the average median earnings for graduates 10 years after enrollment is $55,000.</t>
  </si>
  <si>
    <r>
      <t xml:space="preserve">95% Confidence Interval for </t>
    </r>
    <r>
      <rPr>
        <b/>
        <sz val="11"/>
        <color theme="1"/>
        <rFont val="Aptos Narrow"/>
        <family val="2"/>
        <scheme val="minor"/>
      </rPr>
      <t>median_earnings_10yr</t>
    </r>
  </si>
  <si>
    <t>T-Distribution Confidence Interval</t>
  </si>
  <si>
    <t>CI =</t>
  </si>
  <si>
    <t>Margin of Error =</t>
  </si>
  <si>
    <t>LB =</t>
  </si>
  <si>
    <t>UB =</t>
  </si>
  <si>
    <t>We are 95% confident that the true average median earnings 10 years after enrollment is between $56,479.52 and $59,272.64</t>
  </si>
  <si>
    <t>Inference Commentary</t>
  </si>
  <si>
    <r>
      <t>Conclusions.</t>
    </r>
    <r>
      <rPr>
        <sz val="12"/>
        <color theme="1"/>
        <rFont val="Aptos Narrow"/>
        <family val="2"/>
        <scheme val="minor"/>
      </rPr>
      <t xml:space="preserve"> Both one-sample t-tests rejected their nulls at the 5% level (n = 500 random sample). Average out-of-state tuition (sample mean ≈ $35,249) is significantly higher than $32,000, and average median earnings ten years after enrollment (sample mean ≈ $58873.99) differs significantly from (is higher than) $55,000. The 95% confidence interval reinforces this: we are 95% confident the true average median earnings falls between </t>
    </r>
    <r>
      <rPr>
        <b/>
        <sz val="12"/>
        <color theme="1"/>
        <rFont val="Aptos Narrow"/>
        <family val="2"/>
        <scheme val="minor"/>
      </rPr>
      <t>$56,479.52 and $59,272.64</t>
    </r>
    <r>
      <rPr>
        <sz val="12"/>
        <color theme="1"/>
        <rFont val="Aptos Narrow"/>
        <family val="2"/>
        <scheme val="minor"/>
      </rPr>
      <t xml:space="preserve">, a range sitting entirely above the $55,000 benchmark. Note the dataset reports </t>
    </r>
    <r>
      <rPr>
        <i/>
        <sz val="12"/>
        <color theme="1"/>
        <rFont val="Aptos Narrow"/>
        <family val="2"/>
        <scheme val="minor"/>
      </rPr>
      <t>median</t>
    </r>
    <r>
      <rPr>
        <sz val="12"/>
        <color theme="1"/>
        <rFont val="Aptos Narrow"/>
        <family val="2"/>
        <scheme val="minor"/>
      </rPr>
      <t xml:space="preserve"> rather than </t>
    </r>
    <r>
      <rPr>
        <i/>
        <sz val="12"/>
        <color theme="1"/>
        <rFont val="Aptos Narrow"/>
        <family val="2"/>
        <scheme val="minor"/>
      </rPr>
      <t>mean</t>
    </r>
    <r>
      <rPr>
        <sz val="12"/>
        <color theme="1"/>
        <rFont val="Aptos Narrow"/>
        <family val="2"/>
        <scheme val="minor"/>
      </rPr>
      <t xml:space="preserve"> earnings, likely because a few very-high-income graduates would inflate a mean, whereas the median better represents the typical student and resists outliers.</t>
    </r>
  </si>
  <si>
    <r>
      <t>Surprises.</t>
    </r>
    <r>
      <rPr>
        <sz val="12"/>
        <color theme="1"/>
        <rFont val="Aptos Narrow"/>
        <family val="2"/>
        <scheme val="minor"/>
      </rPr>
      <t xml:space="preserve"> None of the results surprised us. Having weighed out-of-state costs when choosing our own undergrad schools, tuition above $32,000 was expected; if anything we'd have guessed median earnings would be even higher, given how many financially successful people attend four-year institutions. One tempering point from external data: the 90+ day student-loan delinquency rate has reached 10.3%, and borrowers earning under $50,000 are nearly three times as likely to fall behind as those earning over $100,000. This is a reminder that central tendency alone doesn't capture individual repayment burden.</t>
    </r>
  </si>
  <si>
    <t>https://www.fool.com/research/student-loan-debt-statistics/</t>
  </si>
  <si>
    <t>https://libertystreeteconomics.newyorkfed.org/2026/05/federal-student-loan-defaults-return-after-pandemic-pause/</t>
  </si>
  <si>
    <r>
      <t>Business decisions.</t>
    </r>
    <r>
      <rPr>
        <sz val="12"/>
        <color theme="1"/>
        <rFont val="Aptos Narrow"/>
        <family val="2"/>
        <scheme val="minor"/>
      </rPr>
      <t xml:space="preserve"> Since national average out-of-state tuition already significantly exceeds $32,000, institutions can use that as a benchmark to judge whether their own pricing is competitive or has room to rise. Admissions marketing could cite the $56,480–$59,273 earnings range to attract applicants, which is especially persuasive to loan-reliant students, while a prospective family can set that range against total cost of attendance to judge whether the debt is proportionate to the payoff. The caveat cuts both ways, with defaults rising among low-income and non-completing borrowers, leaning on median earnings alone understates real repayment risk, so schools should pair it with transparent debt-to-income information.</t>
    </r>
  </si>
  <si>
    <r>
      <t>Assumptions.</t>
    </r>
    <r>
      <rPr>
        <sz val="12"/>
        <color theme="1"/>
        <rFont val="Aptos Narrow"/>
        <family val="2"/>
        <scheme val="minor"/>
      </rPr>
      <t xml:space="preserve"> Both variables are right-skewed (shown in a prior module), but n = 500 is well above 30, so the CLT lets normal-based inference hold despite the skew. Observations are largely independent since each row is a unique school — the one minor caveat being that branch campuses of a system share reported values. The sample was drawn randomly (n = 500) from the full dataset.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</si>
</sst>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2"/>
      <color theme="1"/>
      <name val="Aptos Narrow"/>
      <family val="2"/>
      <scheme val="minor"/>
    </font>
    <font>
      <sz val="11"/>
      <color rgb="FF000000"/>
      <name val="Calibri"/>
      <family val="2"/>
    </font>
    <font>
      <b/>
      <sz val="12"/>
      <color theme="1"/>
      <name val="Aptos Narrow"/>
      <family val="2"/>
      <scheme val="minor"/>
    </font>
    <font>
      <sz val="12"/>
      <color theme="1"/>
      <name val="Aptos Narrow"/>
      <family val="2"/>
      <scheme val="minor"/>
    </font>
    <font>
      <b/>
      <sz val="11"/>
      <color theme="1"/>
      <name val="Aptos Narrow"/>
      <family val="2"/>
      <scheme val="minor"/>
    </font>
    <font>
      <u/>
      <sz val="12"/>
      <color theme="10"/>
      <name val="Aptos Narrow"/>
      <family val="2"/>
      <scheme val="minor"/>
    </font>
    <font>
      <i/>
      <sz val="12"/>
      <color theme="1"/>
      <name val="Aptos Narrow"/>
      <family val="2"/>
      <scheme val="minor"/>
    </font>
  </fonts>
  <fills count="5">
    <fill>
      <patternFill patternType="none"/>
    </fill>
    <fill>
      <patternFill patternType="gray125"/>
    </fill>
    <fill>
      <patternFill patternType="solid">
        <fgColor rgb="FFFFFFCC"/>
      </patternFill>
    </fill>
    <fill>
      <patternFill patternType="solid">
        <fgColor theme="2" tint="-9.9978637043366805E-2"/>
        <bgColor indexed="64"/>
      </patternFill>
    </fill>
    <fill>
      <patternFill patternType="solid">
        <fgColor theme="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medium">
        <color indexed="64"/>
      </left>
      <right style="thin">
        <color rgb="FFB2B2B2"/>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4" fontId="3" fillId="0" borderId="0" applyFont="0" applyFill="0" applyBorder="0" applyAlignment="0" applyProtection="0"/>
    <xf numFmtId="9" fontId="3" fillId="0" borderId="0" applyFont="0" applyFill="0" applyBorder="0" applyAlignment="0" applyProtection="0"/>
    <xf numFmtId="0" fontId="3" fillId="2" borderId="2" applyNumberFormat="0" applyFont="0" applyAlignment="0" applyProtection="0"/>
    <xf numFmtId="0" fontId="5" fillId="0" borderId="0" applyNumberFormat="0" applyFill="0" applyBorder="0" applyAlignment="0" applyProtection="0"/>
  </cellStyleXfs>
  <cellXfs count="72">
    <xf numFmtId="0" fontId="0" fillId="0" borderId="0" xfId="0"/>
    <xf numFmtId="0" fontId="1" fillId="0" borderId="0" xfId="0" applyFont="1"/>
    <xf numFmtId="0" fontId="0" fillId="0" borderId="0" xfId="0" applyAlignment="1">
      <alignment wrapText="1"/>
    </xf>
    <xf numFmtId="0" fontId="0" fillId="0" borderId="14" xfId="0" applyBorder="1"/>
    <xf numFmtId="0" fontId="0" fillId="0" borderId="16" xfId="0" applyBorder="1"/>
    <xf numFmtId="0" fontId="0" fillId="0" borderId="15"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9" fontId="0" fillId="0" borderId="18" xfId="2" applyFont="1" applyBorder="1"/>
    <xf numFmtId="44" fontId="0" fillId="0" borderId="18" xfId="1" applyFont="1" applyBorder="1"/>
    <xf numFmtId="44" fontId="0" fillId="0" borderId="18" xfId="1" applyFont="1" applyFill="1" applyBorder="1"/>
    <xf numFmtId="44" fontId="0" fillId="0" borderId="21" xfId="1" applyFont="1" applyFill="1" applyBorder="1"/>
    <xf numFmtId="0" fontId="2" fillId="0" borderId="25" xfId="0" applyFont="1" applyBorder="1" applyAlignment="1">
      <alignment wrapText="1"/>
    </xf>
    <xf numFmtId="0" fontId="2" fillId="0" borderId="26" xfId="0" applyFont="1" applyBorder="1" applyAlignment="1">
      <alignment wrapText="1"/>
    </xf>
    <xf numFmtId="0" fontId="2" fillId="0" borderId="27" xfId="0" applyFont="1" applyBorder="1" applyAlignment="1">
      <alignment wrapText="1"/>
    </xf>
    <xf numFmtId="0" fontId="2" fillId="0" borderId="28" xfId="0" applyFont="1" applyBorder="1" applyAlignment="1">
      <alignment wrapText="1"/>
    </xf>
    <xf numFmtId="0" fontId="2" fillId="0" borderId="1" xfId="0" applyFont="1" applyBorder="1" applyAlignment="1">
      <alignment wrapText="1"/>
    </xf>
    <xf numFmtId="0" fontId="2" fillId="0" borderId="29" xfId="0" applyFont="1" applyBorder="1" applyAlignment="1">
      <alignment wrapText="1"/>
    </xf>
    <xf numFmtId="0" fontId="2" fillId="0" borderId="30" xfId="0" applyFont="1" applyBorder="1" applyAlignment="1">
      <alignment wrapText="1"/>
    </xf>
    <xf numFmtId="0" fontId="2" fillId="0" borderId="31" xfId="0" applyFont="1" applyBorder="1" applyAlignment="1">
      <alignment wrapText="1"/>
    </xf>
    <xf numFmtId="0" fontId="2" fillId="0" borderId="32" xfId="0" applyFont="1" applyBorder="1" applyAlignment="1">
      <alignment wrapText="1"/>
    </xf>
    <xf numFmtId="0" fontId="4" fillId="2" borderId="6" xfId="3" applyFont="1" applyBorder="1" applyAlignment="1">
      <alignment horizontal="center"/>
    </xf>
    <xf numFmtId="0" fontId="4" fillId="2" borderId="24" xfId="3" applyFont="1" applyBorder="1" applyAlignment="1">
      <alignment horizontal="center"/>
    </xf>
    <xf numFmtId="0" fontId="4" fillId="2" borderId="7" xfId="3" applyFont="1" applyBorder="1" applyAlignment="1">
      <alignment horizontal="center"/>
    </xf>
    <xf numFmtId="0" fontId="2" fillId="0" borderId="14" xfId="0" applyFont="1" applyBorder="1" applyAlignment="1">
      <alignment wrapText="1"/>
    </xf>
    <xf numFmtId="0" fontId="2" fillId="0" borderId="16" xfId="0" applyFont="1" applyBorder="1" applyAlignment="1">
      <alignment wrapText="1"/>
    </xf>
    <xf numFmtId="0" fontId="2" fillId="0" borderId="15" xfId="0" applyFont="1" applyBorder="1" applyAlignment="1">
      <alignment wrapText="1"/>
    </xf>
    <xf numFmtId="0" fontId="2" fillId="0" borderId="17" xfId="0" applyFont="1" applyBorder="1" applyAlignment="1">
      <alignment wrapText="1"/>
    </xf>
    <xf numFmtId="0" fontId="2" fillId="0" borderId="0" xfId="0" applyFont="1" applyAlignment="1">
      <alignment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2" fillId="0" borderId="21" xfId="0" applyFont="1" applyBorder="1" applyAlignment="1">
      <alignment wrapText="1"/>
    </xf>
    <xf numFmtId="0" fontId="5" fillId="0" borderId="0" xfId="4" applyBorder="1" applyAlignment="1">
      <alignment wrapText="1"/>
    </xf>
    <xf numFmtId="0" fontId="0" fillId="0" borderId="0" xfId="0" applyAlignment="1">
      <alignment wrapText="1"/>
    </xf>
    <xf numFmtId="0" fontId="2" fillId="2" borderId="3" xfId="3" applyFont="1" applyBorder="1" applyAlignment="1">
      <alignment horizontal="center"/>
    </xf>
    <xf numFmtId="0" fontId="2" fillId="2" borderId="4" xfId="3" applyFont="1" applyBorder="1" applyAlignment="1">
      <alignment horizontal="center"/>
    </xf>
    <xf numFmtId="0" fontId="2" fillId="2" borderId="5" xfId="3" applyFont="1" applyBorder="1" applyAlignment="1">
      <alignment horizontal="center"/>
    </xf>
    <xf numFmtId="0" fontId="0" fillId="0" borderId="1" xfId="0" applyBorder="1" applyAlignment="1">
      <alignment wrapText="1"/>
    </xf>
    <xf numFmtId="0" fontId="0" fillId="0" borderId="22"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23" xfId="0" applyBorder="1" applyAlignment="1">
      <alignment wrapText="1"/>
    </xf>
    <xf numFmtId="0" fontId="0" fillId="0" borderId="11" xfId="0" applyBorder="1" applyAlignment="1">
      <alignment wrapText="1"/>
    </xf>
    <xf numFmtId="0" fontId="0" fillId="0" borderId="12" xfId="0" applyBorder="1" applyAlignment="1">
      <alignment wrapText="1"/>
    </xf>
    <xf numFmtId="0" fontId="0" fillId="0" borderId="13" xfId="0" applyBorder="1" applyAlignment="1">
      <alignment wrapText="1"/>
    </xf>
    <xf numFmtId="0" fontId="4" fillId="2" borderId="3" xfId="3" applyFont="1" applyBorder="1" applyAlignment="1">
      <alignment horizontal="center"/>
    </xf>
    <xf numFmtId="0" fontId="4" fillId="2" borderId="4" xfId="3" applyFont="1" applyBorder="1" applyAlignment="1">
      <alignment horizontal="center"/>
    </xf>
    <xf numFmtId="0" fontId="4" fillId="2" borderId="5" xfId="3"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2" borderId="3" xfId="3" applyFont="1" applyBorder="1" applyAlignment="1">
      <alignment horizontal="center"/>
    </xf>
    <xf numFmtId="0" fontId="0" fillId="2" borderId="4" xfId="3" applyFont="1" applyBorder="1" applyAlignment="1">
      <alignment horizontal="center"/>
    </xf>
    <xf numFmtId="0" fontId="0" fillId="2" borderId="5" xfId="3" applyFont="1" applyBorder="1" applyAlignment="1">
      <alignment horizontal="center"/>
    </xf>
    <xf numFmtId="0" fontId="0" fillId="4" borderId="14" xfId="0" applyFill="1" applyBorder="1" applyAlignment="1">
      <alignment horizontal="center" wrapText="1"/>
    </xf>
    <xf numFmtId="0" fontId="0" fillId="4" borderId="15" xfId="0" applyFill="1" applyBorder="1" applyAlignment="1">
      <alignment horizontal="center" wrapText="1"/>
    </xf>
    <xf numFmtId="0" fontId="0" fillId="4" borderId="19" xfId="0" applyFill="1" applyBorder="1" applyAlignment="1">
      <alignment horizontal="center" wrapText="1"/>
    </xf>
    <xf numFmtId="0" fontId="0" fillId="4" borderId="21" xfId="0" applyFill="1" applyBorder="1" applyAlignment="1">
      <alignment horizontal="center" wrapText="1"/>
    </xf>
    <xf numFmtId="0" fontId="0" fillId="0" borderId="14" xfId="0" applyBorder="1" applyAlignment="1">
      <alignment wrapText="1"/>
    </xf>
    <xf numFmtId="0" fontId="0" fillId="0" borderId="16" xfId="0" applyBorder="1" applyAlignment="1">
      <alignment wrapText="1"/>
    </xf>
    <xf numFmtId="0" fontId="0" fillId="0" borderId="15"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cellXfs>
  <cellStyles count="5">
    <cellStyle name="Currency" xfId="1" builtinId="4"/>
    <cellStyle name="Hyperlink" xfId="4" builtinId="8"/>
    <cellStyle name="Normal" xfId="0" builtinId="0"/>
    <cellStyle name="Note" xfId="3" builtinId="1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aa19cc05241bf78/MSBA/StatisticalThinkingForBusinessAnalytics/Group%20Project/Assignment%205.xlsx" TargetMode="External"/><Relationship Id="rId1" Type="http://schemas.openxmlformats.org/officeDocument/2006/relationships/externalLinkPath" Target="https://d.docs.live.net/3aa19cc05241bf78/MSBA/StatisticalThinkingForBusinessAnalytics/Group%20Project/Assignment%2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One Sample Test"/>
      <sheetName val="Confidence Interval"/>
      <sheetName val="Inference Commentary"/>
    </sheetNames>
    <sheetDataSet>
      <sheetData sheetId="0"/>
      <sheetData sheetId="1">
        <row r="6">
          <cell r="J6">
            <v>63435</v>
          </cell>
        </row>
        <row r="7">
          <cell r="J7">
            <v>83214</v>
          </cell>
        </row>
        <row r="8">
          <cell r="J8">
            <v>78466</v>
          </cell>
        </row>
        <row r="9">
          <cell r="J9">
            <v>56405</v>
          </cell>
        </row>
        <row r="10">
          <cell r="J10">
            <v>124080</v>
          </cell>
        </row>
        <row r="11">
          <cell r="J11">
            <v>102772</v>
          </cell>
        </row>
        <row r="12">
          <cell r="J12">
            <v>46744</v>
          </cell>
        </row>
        <row r="13">
          <cell r="J13">
            <v>48541</v>
          </cell>
        </row>
        <row r="14">
          <cell r="J14">
            <v>58427</v>
          </cell>
        </row>
        <row r="15">
          <cell r="J15">
            <v>55789</v>
          </cell>
        </row>
        <row r="16">
          <cell r="J16">
            <v>53353</v>
          </cell>
        </row>
        <row r="17">
          <cell r="J17">
            <v>65071</v>
          </cell>
        </row>
        <row r="18">
          <cell r="J18">
            <v>43222</v>
          </cell>
        </row>
        <row r="19">
          <cell r="J19">
            <v>81400</v>
          </cell>
        </row>
        <row r="20">
          <cell r="J20">
            <v>34368</v>
          </cell>
        </row>
        <row r="21">
          <cell r="J21">
            <v>60663</v>
          </cell>
        </row>
        <row r="22">
          <cell r="J22">
            <v>35418</v>
          </cell>
        </row>
        <row r="23">
          <cell r="J23">
            <v>55504</v>
          </cell>
        </row>
        <row r="24">
          <cell r="J24">
            <v>52075</v>
          </cell>
        </row>
        <row r="25">
          <cell r="J25">
            <v>44391</v>
          </cell>
        </row>
        <row r="26">
          <cell r="J26">
            <v>53775</v>
          </cell>
        </row>
        <row r="27">
          <cell r="J27">
            <v>60787</v>
          </cell>
        </row>
        <row r="28">
          <cell r="J28">
            <v>57602</v>
          </cell>
        </row>
        <row r="29">
          <cell r="J29">
            <v>47089</v>
          </cell>
        </row>
        <row r="30">
          <cell r="J30">
            <v>61462</v>
          </cell>
        </row>
        <row r="31">
          <cell r="J31">
            <v>46482</v>
          </cell>
        </row>
        <row r="32">
          <cell r="J32">
            <v>35594</v>
          </cell>
        </row>
        <row r="33">
          <cell r="J33">
            <v>81054</v>
          </cell>
        </row>
        <row r="34">
          <cell r="J34">
            <v>47601</v>
          </cell>
        </row>
        <row r="35">
          <cell r="J35">
            <v>60614</v>
          </cell>
        </row>
        <row r="36">
          <cell r="J36">
            <v>64778</v>
          </cell>
        </row>
        <row r="37">
          <cell r="J37">
            <v>48928</v>
          </cell>
        </row>
        <row r="38">
          <cell r="J38">
            <v>59531</v>
          </cell>
        </row>
        <row r="39">
          <cell r="J39">
            <v>45543</v>
          </cell>
        </row>
        <row r="40">
          <cell r="J40">
            <v>71631</v>
          </cell>
        </row>
        <row r="41">
          <cell r="J41">
            <v>49483</v>
          </cell>
        </row>
        <row r="42">
          <cell r="J42">
            <v>47896</v>
          </cell>
        </row>
        <row r="43">
          <cell r="J43">
            <v>86881</v>
          </cell>
        </row>
        <row r="44">
          <cell r="J44">
            <v>87555</v>
          </cell>
        </row>
        <row r="45">
          <cell r="J45">
            <v>92498</v>
          </cell>
        </row>
        <row r="46">
          <cell r="J46">
            <v>76343</v>
          </cell>
        </row>
        <row r="47">
          <cell r="J47">
            <v>50323</v>
          </cell>
        </row>
        <row r="48">
          <cell r="J48">
            <v>50030</v>
          </cell>
        </row>
        <row r="49">
          <cell r="J49">
            <v>114862</v>
          </cell>
        </row>
        <row r="50">
          <cell r="J50">
            <v>43185</v>
          </cell>
        </row>
        <row r="51">
          <cell r="J51">
            <v>82939</v>
          </cell>
        </row>
        <row r="52">
          <cell r="J52">
            <v>73371</v>
          </cell>
        </row>
        <row r="53">
          <cell r="J53">
            <v>75059</v>
          </cell>
        </row>
        <row r="54">
          <cell r="J54">
            <v>55817</v>
          </cell>
        </row>
        <row r="55">
          <cell r="J55">
            <v>54967</v>
          </cell>
        </row>
        <row r="56">
          <cell r="J56">
            <v>46600</v>
          </cell>
        </row>
        <row r="57">
          <cell r="J57">
            <v>42386</v>
          </cell>
        </row>
        <row r="58">
          <cell r="J58">
            <v>32864</v>
          </cell>
        </row>
        <row r="59">
          <cell r="J59">
            <v>61772</v>
          </cell>
        </row>
        <row r="60">
          <cell r="J60">
            <v>46833</v>
          </cell>
        </row>
        <row r="61">
          <cell r="J61">
            <v>47452</v>
          </cell>
        </row>
        <row r="62">
          <cell r="J62">
            <v>60236</v>
          </cell>
        </row>
        <row r="63">
          <cell r="J63">
            <v>46660</v>
          </cell>
        </row>
        <row r="64">
          <cell r="J64">
            <v>40596</v>
          </cell>
        </row>
        <row r="65">
          <cell r="J65">
            <v>55548</v>
          </cell>
        </row>
        <row r="66">
          <cell r="J66">
            <v>66125</v>
          </cell>
        </row>
        <row r="67">
          <cell r="J67">
            <v>55838</v>
          </cell>
        </row>
        <row r="68">
          <cell r="J68">
            <v>111371</v>
          </cell>
        </row>
        <row r="69">
          <cell r="J69">
            <v>92446</v>
          </cell>
        </row>
        <row r="70">
          <cell r="J70">
            <v>58572</v>
          </cell>
        </row>
        <row r="71">
          <cell r="J71">
            <v>46700</v>
          </cell>
        </row>
        <row r="72">
          <cell r="J72">
            <v>55933</v>
          </cell>
        </row>
        <row r="73">
          <cell r="J73">
            <v>57053</v>
          </cell>
        </row>
        <row r="74">
          <cell r="J74">
            <v>53419</v>
          </cell>
        </row>
        <row r="75">
          <cell r="J75">
            <v>48991</v>
          </cell>
        </row>
        <row r="76">
          <cell r="J76">
            <v>90768</v>
          </cell>
        </row>
        <row r="77">
          <cell r="J77">
            <v>46641</v>
          </cell>
        </row>
        <row r="78">
          <cell r="J78">
            <v>77370</v>
          </cell>
        </row>
        <row r="79">
          <cell r="J79">
            <v>52228</v>
          </cell>
        </row>
        <row r="80">
          <cell r="J80">
            <v>58532</v>
          </cell>
        </row>
        <row r="81">
          <cell r="J81">
            <v>45606</v>
          </cell>
        </row>
        <row r="82">
          <cell r="J82">
            <v>45846</v>
          </cell>
        </row>
        <row r="83">
          <cell r="J83">
            <v>53957</v>
          </cell>
        </row>
        <row r="84">
          <cell r="J84">
            <v>55204</v>
          </cell>
        </row>
        <row r="85">
          <cell r="J85">
            <v>46440</v>
          </cell>
        </row>
        <row r="86">
          <cell r="J86">
            <v>58448</v>
          </cell>
        </row>
        <row r="87">
          <cell r="J87">
            <v>58056</v>
          </cell>
        </row>
        <row r="88">
          <cell r="J88">
            <v>89718</v>
          </cell>
        </row>
        <row r="89">
          <cell r="J89">
            <v>71958</v>
          </cell>
        </row>
        <row r="90">
          <cell r="J90">
            <v>52901</v>
          </cell>
        </row>
        <row r="91">
          <cell r="J91">
            <v>36382</v>
          </cell>
        </row>
        <row r="92">
          <cell r="J92">
            <v>63548</v>
          </cell>
        </row>
        <row r="93">
          <cell r="J93">
            <v>48036</v>
          </cell>
        </row>
        <row r="94">
          <cell r="J94">
            <v>60543</v>
          </cell>
        </row>
        <row r="95">
          <cell r="J95">
            <v>53124</v>
          </cell>
        </row>
        <row r="96">
          <cell r="J96">
            <v>51509</v>
          </cell>
        </row>
        <row r="97">
          <cell r="J97">
            <v>42205</v>
          </cell>
        </row>
        <row r="98">
          <cell r="J98">
            <v>49036</v>
          </cell>
        </row>
        <row r="99">
          <cell r="J99">
            <v>63756</v>
          </cell>
        </row>
        <row r="100">
          <cell r="J100">
            <v>92405</v>
          </cell>
        </row>
        <row r="101">
          <cell r="J101">
            <v>76786</v>
          </cell>
        </row>
        <row r="102">
          <cell r="J102">
            <v>45543</v>
          </cell>
        </row>
        <row r="103">
          <cell r="J103">
            <v>63435</v>
          </cell>
        </row>
        <row r="104">
          <cell r="J104">
            <v>54058</v>
          </cell>
        </row>
        <row r="105">
          <cell r="J105">
            <v>58140</v>
          </cell>
        </row>
        <row r="106">
          <cell r="J106">
            <v>50632</v>
          </cell>
        </row>
        <row r="107">
          <cell r="J107">
            <v>49694</v>
          </cell>
        </row>
        <row r="108">
          <cell r="J108">
            <v>55232</v>
          </cell>
        </row>
        <row r="109">
          <cell r="J109">
            <v>44604</v>
          </cell>
        </row>
        <row r="110">
          <cell r="J110">
            <v>57466</v>
          </cell>
        </row>
        <row r="111">
          <cell r="J111">
            <v>75537</v>
          </cell>
        </row>
        <row r="112">
          <cell r="J112">
            <v>94810</v>
          </cell>
        </row>
        <row r="113">
          <cell r="J113">
            <v>55294</v>
          </cell>
        </row>
        <row r="114">
          <cell r="J114">
            <v>38412</v>
          </cell>
        </row>
        <row r="115">
          <cell r="J115">
            <v>56073</v>
          </cell>
        </row>
        <row r="116">
          <cell r="J116">
            <v>52248</v>
          </cell>
        </row>
        <row r="117">
          <cell r="J117">
            <v>45344</v>
          </cell>
        </row>
        <row r="118">
          <cell r="J118">
            <v>30573</v>
          </cell>
        </row>
        <row r="119">
          <cell r="J119">
            <v>43197</v>
          </cell>
        </row>
        <row r="120">
          <cell r="J120">
            <v>71366</v>
          </cell>
        </row>
        <row r="121">
          <cell r="J121">
            <v>58336</v>
          </cell>
        </row>
        <row r="122">
          <cell r="J122">
            <v>51303</v>
          </cell>
        </row>
        <row r="123">
          <cell r="J123">
            <v>48102</v>
          </cell>
        </row>
        <row r="124">
          <cell r="J124">
            <v>45320</v>
          </cell>
        </row>
        <row r="125">
          <cell r="J125">
            <v>46573</v>
          </cell>
        </row>
        <row r="126">
          <cell r="J126">
            <v>58537</v>
          </cell>
        </row>
        <row r="127">
          <cell r="J127">
            <v>71030</v>
          </cell>
        </row>
        <row r="128">
          <cell r="J128">
            <v>92405</v>
          </cell>
        </row>
        <row r="129">
          <cell r="J129">
            <v>48082</v>
          </cell>
        </row>
        <row r="130">
          <cell r="J130">
            <v>42062</v>
          </cell>
        </row>
        <row r="131">
          <cell r="J131">
            <v>102491</v>
          </cell>
        </row>
        <row r="132">
          <cell r="J132">
            <v>70814</v>
          </cell>
        </row>
        <row r="133">
          <cell r="J133">
            <v>38298</v>
          </cell>
        </row>
        <row r="134">
          <cell r="J134">
            <v>46264</v>
          </cell>
        </row>
        <row r="135">
          <cell r="J135">
            <v>94823</v>
          </cell>
        </row>
        <row r="136">
          <cell r="J136">
            <v>49361</v>
          </cell>
        </row>
        <row r="137">
          <cell r="J137">
            <v>49587</v>
          </cell>
        </row>
        <row r="138">
          <cell r="J138">
            <v>62832</v>
          </cell>
        </row>
        <row r="139">
          <cell r="J139">
            <v>51836</v>
          </cell>
        </row>
        <row r="140">
          <cell r="J140">
            <v>56733</v>
          </cell>
        </row>
        <row r="141">
          <cell r="J141">
            <v>50105</v>
          </cell>
        </row>
        <row r="142">
          <cell r="J142">
            <v>54211</v>
          </cell>
        </row>
        <row r="143">
          <cell r="J143">
            <v>56922</v>
          </cell>
        </row>
        <row r="144">
          <cell r="J144">
            <v>45151</v>
          </cell>
        </row>
        <row r="145">
          <cell r="J145">
            <v>43296</v>
          </cell>
        </row>
        <row r="146">
          <cell r="J146">
            <v>54003</v>
          </cell>
        </row>
        <row r="147">
          <cell r="J147">
            <v>78158</v>
          </cell>
        </row>
        <row r="148">
          <cell r="J148">
            <v>72690</v>
          </cell>
        </row>
        <row r="149">
          <cell r="J149">
            <v>57262</v>
          </cell>
        </row>
        <row r="150">
          <cell r="J150">
            <v>70783</v>
          </cell>
        </row>
        <row r="151">
          <cell r="J151">
            <v>58063</v>
          </cell>
        </row>
        <row r="152">
          <cell r="J152">
            <v>39067</v>
          </cell>
        </row>
        <row r="153">
          <cell r="J153">
            <v>51865</v>
          </cell>
        </row>
        <row r="154">
          <cell r="J154">
            <v>88665</v>
          </cell>
        </row>
        <row r="155">
          <cell r="J155">
            <v>70920</v>
          </cell>
        </row>
        <row r="156">
          <cell r="J156">
            <v>138687</v>
          </cell>
        </row>
        <row r="157">
          <cell r="J157">
            <v>66039</v>
          </cell>
        </row>
        <row r="158">
          <cell r="J158">
            <v>48745</v>
          </cell>
        </row>
        <row r="159">
          <cell r="J159">
            <v>51532</v>
          </cell>
        </row>
        <row r="160">
          <cell r="J160">
            <v>62203</v>
          </cell>
        </row>
        <row r="161">
          <cell r="J161">
            <v>67991</v>
          </cell>
        </row>
        <row r="162">
          <cell r="J162">
            <v>46651</v>
          </cell>
        </row>
        <row r="163">
          <cell r="J163">
            <v>68140</v>
          </cell>
        </row>
        <row r="164">
          <cell r="J164">
            <v>42215</v>
          </cell>
        </row>
        <row r="165">
          <cell r="J165">
            <v>61012</v>
          </cell>
        </row>
        <row r="166">
          <cell r="J166">
            <v>60249</v>
          </cell>
        </row>
        <row r="167">
          <cell r="J167">
            <v>49438</v>
          </cell>
        </row>
        <row r="168">
          <cell r="J168">
            <v>42092</v>
          </cell>
        </row>
        <row r="169">
          <cell r="J169">
            <v>56746</v>
          </cell>
        </row>
        <row r="170">
          <cell r="J170">
            <v>52084</v>
          </cell>
        </row>
        <row r="171">
          <cell r="J171">
            <v>56346</v>
          </cell>
        </row>
        <row r="172">
          <cell r="J172">
            <v>46453</v>
          </cell>
        </row>
        <row r="173">
          <cell r="J173">
            <v>78466</v>
          </cell>
        </row>
        <row r="174">
          <cell r="J174">
            <v>57010</v>
          </cell>
        </row>
        <row r="175">
          <cell r="J175">
            <v>54735</v>
          </cell>
        </row>
        <row r="176">
          <cell r="J176">
            <v>44232</v>
          </cell>
        </row>
        <row r="177">
          <cell r="J177">
            <v>54163</v>
          </cell>
        </row>
        <row r="178">
          <cell r="J178">
            <v>69020</v>
          </cell>
        </row>
        <row r="179">
          <cell r="J179">
            <v>65083</v>
          </cell>
        </row>
        <row r="180">
          <cell r="J180">
            <v>54501</v>
          </cell>
        </row>
        <row r="181">
          <cell r="J181">
            <v>45099</v>
          </cell>
        </row>
        <row r="182">
          <cell r="J182">
            <v>57624</v>
          </cell>
        </row>
        <row r="183">
          <cell r="J183">
            <v>51793</v>
          </cell>
        </row>
        <row r="184">
          <cell r="J184">
            <v>53459</v>
          </cell>
        </row>
        <row r="185">
          <cell r="J185">
            <v>58191</v>
          </cell>
        </row>
        <row r="186">
          <cell r="J186">
            <v>41338</v>
          </cell>
        </row>
        <row r="187">
          <cell r="J187">
            <v>40694</v>
          </cell>
        </row>
        <row r="188">
          <cell r="J188">
            <v>59115</v>
          </cell>
        </row>
        <row r="189">
          <cell r="J189">
            <v>53770</v>
          </cell>
        </row>
        <row r="190">
          <cell r="J190">
            <v>51017</v>
          </cell>
        </row>
        <row r="191">
          <cell r="J191">
            <v>59209</v>
          </cell>
        </row>
        <row r="192">
          <cell r="J192">
            <v>37032</v>
          </cell>
        </row>
        <row r="193">
          <cell r="J193">
            <v>44096</v>
          </cell>
        </row>
        <row r="194">
          <cell r="J194">
            <v>77539</v>
          </cell>
        </row>
        <row r="195">
          <cell r="J195">
            <v>59492</v>
          </cell>
        </row>
        <row r="196">
          <cell r="J196">
            <v>40144</v>
          </cell>
        </row>
        <row r="197">
          <cell r="J197">
            <v>57897</v>
          </cell>
        </row>
        <row r="198">
          <cell r="J198">
            <v>65344</v>
          </cell>
        </row>
        <row r="199">
          <cell r="J199">
            <v>48150</v>
          </cell>
        </row>
        <row r="200">
          <cell r="J200">
            <v>50296</v>
          </cell>
        </row>
        <row r="201">
          <cell r="J201">
            <v>73792</v>
          </cell>
        </row>
        <row r="202">
          <cell r="J202">
            <v>49714</v>
          </cell>
        </row>
        <row r="203">
          <cell r="J203">
            <v>32465</v>
          </cell>
        </row>
        <row r="204">
          <cell r="J204">
            <v>73897</v>
          </cell>
        </row>
        <row r="205">
          <cell r="J205">
            <v>55966</v>
          </cell>
        </row>
        <row r="206">
          <cell r="J206">
            <v>87989</v>
          </cell>
        </row>
        <row r="207">
          <cell r="J207">
            <v>45898</v>
          </cell>
        </row>
        <row r="208">
          <cell r="J208">
            <v>43371</v>
          </cell>
        </row>
        <row r="209">
          <cell r="J209">
            <v>35730</v>
          </cell>
        </row>
        <row r="210">
          <cell r="J210">
            <v>125557</v>
          </cell>
        </row>
        <row r="211">
          <cell r="J211">
            <v>58709</v>
          </cell>
        </row>
        <row r="212">
          <cell r="J212">
            <v>61244</v>
          </cell>
        </row>
        <row r="213">
          <cell r="J213">
            <v>53899</v>
          </cell>
        </row>
        <row r="214">
          <cell r="J214">
            <v>77745</v>
          </cell>
        </row>
        <row r="215">
          <cell r="J215">
            <v>46165</v>
          </cell>
        </row>
        <row r="216">
          <cell r="J216">
            <v>44511</v>
          </cell>
        </row>
        <row r="217">
          <cell r="J217">
            <v>62069</v>
          </cell>
        </row>
        <row r="218">
          <cell r="J218">
            <v>90779</v>
          </cell>
        </row>
        <row r="219">
          <cell r="J219">
            <v>86863</v>
          </cell>
        </row>
        <row r="220">
          <cell r="J220">
            <v>56544</v>
          </cell>
        </row>
        <row r="221">
          <cell r="J221">
            <v>63435</v>
          </cell>
        </row>
        <row r="222">
          <cell r="J222">
            <v>40304</v>
          </cell>
        </row>
        <row r="223">
          <cell r="J223">
            <v>33301</v>
          </cell>
        </row>
        <row r="224">
          <cell r="J224">
            <v>49606</v>
          </cell>
        </row>
        <row r="225">
          <cell r="J225">
            <v>43888</v>
          </cell>
        </row>
        <row r="226">
          <cell r="J226">
            <v>75482</v>
          </cell>
        </row>
        <row r="227">
          <cell r="J227">
            <v>71668</v>
          </cell>
        </row>
        <row r="228">
          <cell r="J228">
            <v>31919</v>
          </cell>
        </row>
        <row r="229">
          <cell r="J229">
            <v>58308</v>
          </cell>
        </row>
        <row r="230">
          <cell r="J230">
            <v>55383</v>
          </cell>
        </row>
        <row r="231">
          <cell r="J231">
            <v>53278</v>
          </cell>
        </row>
        <row r="232">
          <cell r="J232">
            <v>66852</v>
          </cell>
        </row>
        <row r="233">
          <cell r="J233">
            <v>39016</v>
          </cell>
        </row>
        <row r="234">
          <cell r="J234">
            <v>59950</v>
          </cell>
        </row>
        <row r="235">
          <cell r="J235">
            <v>57566</v>
          </cell>
        </row>
        <row r="236">
          <cell r="J236">
            <v>67253</v>
          </cell>
        </row>
        <row r="237">
          <cell r="J237">
            <v>75001</v>
          </cell>
        </row>
        <row r="238">
          <cell r="J238">
            <v>61675</v>
          </cell>
        </row>
        <row r="239">
          <cell r="J239">
            <v>42778</v>
          </cell>
        </row>
        <row r="240">
          <cell r="J240">
            <v>47021</v>
          </cell>
        </row>
        <row r="241">
          <cell r="J241">
            <v>58829</v>
          </cell>
        </row>
        <row r="242">
          <cell r="J242">
            <v>73490</v>
          </cell>
        </row>
        <row r="243">
          <cell r="J243">
            <v>46920</v>
          </cell>
        </row>
        <row r="244">
          <cell r="J244">
            <v>50755</v>
          </cell>
        </row>
        <row r="245">
          <cell r="J245">
            <v>61808</v>
          </cell>
        </row>
        <row r="246">
          <cell r="J246">
            <v>73997</v>
          </cell>
        </row>
        <row r="247">
          <cell r="J247">
            <v>53610</v>
          </cell>
        </row>
        <row r="248">
          <cell r="J248">
            <v>59988</v>
          </cell>
        </row>
        <row r="249">
          <cell r="J249">
            <v>40863</v>
          </cell>
        </row>
        <row r="250">
          <cell r="J250">
            <v>40457</v>
          </cell>
        </row>
        <row r="251">
          <cell r="J251">
            <v>47697</v>
          </cell>
        </row>
        <row r="252">
          <cell r="J252">
            <v>57103</v>
          </cell>
        </row>
        <row r="253">
          <cell r="J253">
            <v>44498</v>
          </cell>
        </row>
        <row r="254">
          <cell r="J254">
            <v>95951</v>
          </cell>
        </row>
        <row r="255">
          <cell r="J255">
            <v>49379</v>
          </cell>
        </row>
        <row r="256">
          <cell r="J256">
            <v>63435</v>
          </cell>
        </row>
        <row r="257">
          <cell r="J257">
            <v>72950</v>
          </cell>
        </row>
        <row r="258">
          <cell r="J258">
            <v>63435</v>
          </cell>
        </row>
        <row r="259">
          <cell r="J259">
            <v>48179</v>
          </cell>
        </row>
        <row r="260">
          <cell r="J260">
            <v>61415</v>
          </cell>
        </row>
        <row r="261">
          <cell r="J261">
            <v>69743</v>
          </cell>
        </row>
        <row r="262">
          <cell r="J262">
            <v>47107</v>
          </cell>
        </row>
        <row r="263">
          <cell r="J263">
            <v>48917</v>
          </cell>
        </row>
        <row r="264">
          <cell r="J264">
            <v>78892</v>
          </cell>
        </row>
        <row r="265">
          <cell r="J265">
            <v>43445</v>
          </cell>
        </row>
        <row r="266">
          <cell r="J266">
            <v>58316</v>
          </cell>
        </row>
        <row r="267">
          <cell r="J267">
            <v>51943</v>
          </cell>
        </row>
        <row r="268">
          <cell r="J268">
            <v>55356</v>
          </cell>
        </row>
        <row r="269">
          <cell r="J269">
            <v>84943</v>
          </cell>
        </row>
        <row r="270">
          <cell r="J270">
            <v>59629</v>
          </cell>
        </row>
        <row r="271">
          <cell r="J271">
            <v>61317</v>
          </cell>
        </row>
        <row r="272">
          <cell r="J272">
            <v>83648</v>
          </cell>
        </row>
        <row r="273">
          <cell r="J273">
            <v>36909</v>
          </cell>
        </row>
        <row r="274">
          <cell r="J274">
            <v>44317</v>
          </cell>
        </row>
        <row r="275">
          <cell r="J275">
            <v>68010</v>
          </cell>
        </row>
        <row r="276">
          <cell r="J276">
            <v>42002</v>
          </cell>
        </row>
        <row r="277">
          <cell r="J277">
            <v>58354</v>
          </cell>
        </row>
        <row r="278">
          <cell r="J278">
            <v>53728</v>
          </cell>
        </row>
        <row r="279">
          <cell r="J279">
            <v>56458</v>
          </cell>
        </row>
        <row r="280">
          <cell r="J280">
            <v>38484</v>
          </cell>
        </row>
        <row r="281">
          <cell r="J281">
            <v>75701</v>
          </cell>
        </row>
        <row r="282">
          <cell r="J282">
            <v>45795</v>
          </cell>
        </row>
        <row r="283">
          <cell r="J283">
            <v>42957</v>
          </cell>
        </row>
        <row r="284">
          <cell r="J284">
            <v>60110</v>
          </cell>
        </row>
        <row r="285">
          <cell r="J285">
            <v>53990</v>
          </cell>
        </row>
        <row r="286">
          <cell r="J286">
            <v>46110</v>
          </cell>
        </row>
        <row r="287">
          <cell r="J287">
            <v>48991</v>
          </cell>
        </row>
        <row r="288">
          <cell r="J288">
            <v>80516</v>
          </cell>
        </row>
        <row r="289">
          <cell r="J289">
            <v>56201</v>
          </cell>
        </row>
        <row r="290">
          <cell r="J290">
            <v>60386</v>
          </cell>
        </row>
        <row r="291">
          <cell r="J291">
            <v>51658</v>
          </cell>
        </row>
        <row r="292">
          <cell r="J292">
            <v>92405</v>
          </cell>
        </row>
        <row r="293">
          <cell r="J293">
            <v>50876</v>
          </cell>
        </row>
        <row r="294">
          <cell r="J294">
            <v>35422</v>
          </cell>
        </row>
        <row r="295">
          <cell r="J295">
            <v>55541</v>
          </cell>
        </row>
        <row r="296">
          <cell r="J296">
            <v>55774</v>
          </cell>
        </row>
        <row r="297">
          <cell r="J297">
            <v>54340</v>
          </cell>
        </row>
        <row r="298">
          <cell r="J298">
            <v>59159</v>
          </cell>
        </row>
        <row r="299">
          <cell r="J299">
            <v>57131</v>
          </cell>
        </row>
        <row r="300">
          <cell r="J300">
            <v>52184</v>
          </cell>
        </row>
        <row r="301">
          <cell r="J301">
            <v>62909</v>
          </cell>
        </row>
        <row r="302">
          <cell r="J302">
            <v>74360</v>
          </cell>
        </row>
        <row r="303">
          <cell r="J303">
            <v>63126</v>
          </cell>
        </row>
        <row r="304">
          <cell r="J304">
            <v>73323</v>
          </cell>
        </row>
        <row r="305">
          <cell r="J305">
            <v>45856</v>
          </cell>
        </row>
        <row r="306">
          <cell r="J306">
            <v>59850</v>
          </cell>
        </row>
        <row r="307">
          <cell r="J307">
            <v>71830</v>
          </cell>
        </row>
        <row r="308">
          <cell r="J308">
            <v>89363</v>
          </cell>
        </row>
        <row r="309">
          <cell r="J309">
            <v>45235</v>
          </cell>
        </row>
        <row r="310">
          <cell r="J310">
            <v>52745</v>
          </cell>
        </row>
        <row r="311">
          <cell r="J311">
            <v>59572</v>
          </cell>
        </row>
        <row r="312">
          <cell r="J312">
            <v>35421</v>
          </cell>
        </row>
        <row r="313">
          <cell r="J313">
            <v>36630</v>
          </cell>
        </row>
        <row r="314">
          <cell r="J314">
            <v>53166</v>
          </cell>
        </row>
        <row r="315">
          <cell r="J315">
            <v>32600</v>
          </cell>
        </row>
        <row r="316">
          <cell r="J316">
            <v>68905</v>
          </cell>
        </row>
        <row r="317">
          <cell r="J317">
            <v>61251</v>
          </cell>
        </row>
        <row r="318">
          <cell r="J318">
            <v>60823</v>
          </cell>
        </row>
        <row r="319">
          <cell r="J319">
            <v>55031</v>
          </cell>
        </row>
        <row r="320">
          <cell r="J320">
            <v>55041</v>
          </cell>
        </row>
        <row r="321">
          <cell r="J321">
            <v>43071</v>
          </cell>
        </row>
        <row r="322">
          <cell r="J322">
            <v>55838</v>
          </cell>
        </row>
        <row r="323">
          <cell r="J323">
            <v>34483</v>
          </cell>
        </row>
        <row r="324">
          <cell r="J324">
            <v>39196</v>
          </cell>
        </row>
        <row r="325">
          <cell r="J325">
            <v>41913</v>
          </cell>
        </row>
        <row r="326">
          <cell r="J326">
            <v>55396</v>
          </cell>
        </row>
        <row r="327">
          <cell r="J327">
            <v>47907</v>
          </cell>
        </row>
        <row r="328">
          <cell r="J328">
            <v>54914</v>
          </cell>
        </row>
        <row r="329">
          <cell r="J329">
            <v>52163</v>
          </cell>
        </row>
        <row r="330">
          <cell r="J330">
            <v>48088</v>
          </cell>
        </row>
        <row r="331">
          <cell r="J331">
            <v>46541</v>
          </cell>
        </row>
        <row r="332">
          <cell r="J332">
            <v>52946</v>
          </cell>
        </row>
        <row r="333">
          <cell r="J333">
            <v>36260</v>
          </cell>
        </row>
        <row r="334">
          <cell r="J334">
            <v>51262</v>
          </cell>
        </row>
        <row r="335">
          <cell r="J335">
            <v>57162</v>
          </cell>
        </row>
        <row r="336">
          <cell r="J336">
            <v>45411</v>
          </cell>
        </row>
        <row r="337">
          <cell r="J337">
            <v>63435</v>
          </cell>
        </row>
        <row r="338">
          <cell r="J338">
            <v>55763</v>
          </cell>
        </row>
        <row r="339">
          <cell r="J339">
            <v>53501</v>
          </cell>
        </row>
        <row r="340">
          <cell r="J340">
            <v>93807</v>
          </cell>
        </row>
        <row r="341">
          <cell r="J341">
            <v>73250</v>
          </cell>
        </row>
        <row r="342">
          <cell r="J342">
            <v>47385</v>
          </cell>
        </row>
        <row r="343">
          <cell r="J343">
            <v>71901</v>
          </cell>
        </row>
        <row r="344">
          <cell r="J344">
            <v>86522</v>
          </cell>
        </row>
        <row r="345">
          <cell r="J345">
            <v>53804</v>
          </cell>
        </row>
        <row r="346">
          <cell r="J346">
            <v>49351</v>
          </cell>
        </row>
        <row r="347">
          <cell r="J347">
            <v>44130</v>
          </cell>
        </row>
        <row r="348">
          <cell r="J348">
            <v>44246</v>
          </cell>
        </row>
        <row r="349">
          <cell r="J349">
            <v>52074</v>
          </cell>
        </row>
        <row r="350">
          <cell r="J350">
            <v>67506</v>
          </cell>
        </row>
        <row r="351">
          <cell r="J351">
            <v>60883</v>
          </cell>
        </row>
        <row r="352">
          <cell r="J352">
            <v>64705</v>
          </cell>
        </row>
        <row r="353">
          <cell r="J353">
            <v>43418</v>
          </cell>
        </row>
        <row r="354">
          <cell r="J354">
            <v>68424</v>
          </cell>
        </row>
        <row r="355">
          <cell r="J355">
            <v>49279</v>
          </cell>
        </row>
        <row r="356">
          <cell r="J356">
            <v>53409</v>
          </cell>
        </row>
        <row r="357">
          <cell r="J357">
            <v>43503</v>
          </cell>
        </row>
        <row r="358">
          <cell r="J358">
            <v>52231</v>
          </cell>
        </row>
        <row r="359">
          <cell r="J359">
            <v>62616</v>
          </cell>
        </row>
        <row r="360">
          <cell r="J360">
            <v>48707</v>
          </cell>
        </row>
        <row r="361">
          <cell r="J361">
            <v>58759</v>
          </cell>
        </row>
        <row r="362">
          <cell r="J362">
            <v>64172</v>
          </cell>
        </row>
        <row r="363">
          <cell r="J363">
            <v>42617</v>
          </cell>
        </row>
        <row r="364">
          <cell r="J364">
            <v>69571</v>
          </cell>
        </row>
        <row r="365">
          <cell r="J365">
            <v>99980</v>
          </cell>
        </row>
        <row r="366">
          <cell r="J366">
            <v>35604</v>
          </cell>
        </row>
        <row r="367">
          <cell r="J367">
            <v>67316</v>
          </cell>
        </row>
        <row r="368">
          <cell r="J368">
            <v>51500</v>
          </cell>
        </row>
        <row r="369">
          <cell r="J369">
            <v>30497</v>
          </cell>
        </row>
        <row r="370">
          <cell r="J370">
            <v>81698</v>
          </cell>
        </row>
        <row r="371">
          <cell r="J371">
            <v>55747</v>
          </cell>
        </row>
        <row r="372">
          <cell r="J372">
            <v>59977</v>
          </cell>
        </row>
        <row r="373">
          <cell r="J373">
            <v>58289</v>
          </cell>
        </row>
        <row r="374">
          <cell r="J374">
            <v>41066</v>
          </cell>
        </row>
        <row r="375">
          <cell r="J375">
            <v>58375</v>
          </cell>
        </row>
        <row r="376">
          <cell r="J376">
            <v>50535</v>
          </cell>
        </row>
        <row r="377">
          <cell r="J377">
            <v>67416</v>
          </cell>
        </row>
        <row r="378">
          <cell r="J378">
            <v>41544</v>
          </cell>
        </row>
        <row r="379">
          <cell r="J379">
            <v>129455</v>
          </cell>
        </row>
        <row r="380">
          <cell r="J380">
            <v>55494</v>
          </cell>
        </row>
        <row r="381">
          <cell r="J381">
            <v>52876</v>
          </cell>
        </row>
        <row r="382">
          <cell r="J382">
            <v>37467</v>
          </cell>
        </row>
        <row r="383">
          <cell r="J383">
            <v>35113</v>
          </cell>
        </row>
        <row r="384">
          <cell r="J384">
            <v>40628</v>
          </cell>
        </row>
        <row r="385">
          <cell r="J385">
            <v>51450</v>
          </cell>
        </row>
        <row r="386">
          <cell r="J386">
            <v>68712</v>
          </cell>
        </row>
        <row r="387">
          <cell r="J387">
            <v>56945</v>
          </cell>
        </row>
        <row r="388">
          <cell r="J388">
            <v>51642</v>
          </cell>
        </row>
        <row r="389">
          <cell r="J389">
            <v>101817</v>
          </cell>
        </row>
        <row r="390">
          <cell r="J390">
            <v>45987</v>
          </cell>
        </row>
        <row r="391">
          <cell r="J391">
            <v>59004</v>
          </cell>
        </row>
        <row r="392">
          <cell r="J392">
            <v>45379</v>
          </cell>
        </row>
        <row r="393">
          <cell r="J393">
            <v>49766</v>
          </cell>
        </row>
        <row r="394">
          <cell r="J394">
            <v>48472</v>
          </cell>
        </row>
        <row r="395">
          <cell r="J395">
            <v>63727</v>
          </cell>
        </row>
        <row r="396">
          <cell r="J396">
            <v>54186</v>
          </cell>
        </row>
        <row r="397">
          <cell r="J397">
            <v>43457</v>
          </cell>
        </row>
        <row r="398">
          <cell r="J398">
            <v>56210</v>
          </cell>
        </row>
        <row r="399">
          <cell r="J399">
            <v>49307</v>
          </cell>
        </row>
        <row r="400">
          <cell r="J400">
            <v>42620</v>
          </cell>
        </row>
        <row r="401">
          <cell r="J401">
            <v>57906</v>
          </cell>
        </row>
        <row r="402">
          <cell r="J402">
            <v>49620</v>
          </cell>
        </row>
        <row r="403">
          <cell r="J403">
            <v>103494</v>
          </cell>
        </row>
        <row r="404">
          <cell r="J404">
            <v>45799</v>
          </cell>
        </row>
        <row r="405">
          <cell r="J405">
            <v>50116</v>
          </cell>
        </row>
        <row r="406">
          <cell r="J406">
            <v>54914</v>
          </cell>
        </row>
        <row r="407">
          <cell r="J407">
            <v>55246</v>
          </cell>
        </row>
        <row r="408">
          <cell r="J408">
            <v>66944</v>
          </cell>
        </row>
        <row r="409">
          <cell r="J409">
            <v>84276</v>
          </cell>
        </row>
        <row r="410">
          <cell r="J410">
            <v>43845</v>
          </cell>
        </row>
        <row r="411">
          <cell r="J411">
            <v>48793</v>
          </cell>
        </row>
        <row r="412">
          <cell r="J412">
            <v>51562</v>
          </cell>
        </row>
        <row r="413">
          <cell r="J413">
            <v>44172</v>
          </cell>
        </row>
        <row r="414">
          <cell r="J414">
            <v>59761</v>
          </cell>
        </row>
        <row r="415">
          <cell r="J415">
            <v>59541</v>
          </cell>
        </row>
        <row r="416">
          <cell r="J416">
            <v>65543</v>
          </cell>
        </row>
        <row r="417">
          <cell r="J417">
            <v>78812</v>
          </cell>
        </row>
        <row r="418">
          <cell r="J418">
            <v>49358</v>
          </cell>
        </row>
        <row r="419">
          <cell r="J419">
            <v>58832</v>
          </cell>
        </row>
        <row r="420">
          <cell r="J420">
            <v>49006</v>
          </cell>
        </row>
        <row r="421">
          <cell r="J421">
            <v>67640</v>
          </cell>
        </row>
        <row r="422">
          <cell r="J422">
            <v>100533</v>
          </cell>
        </row>
        <row r="423">
          <cell r="J423">
            <v>53863</v>
          </cell>
        </row>
        <row r="424">
          <cell r="J424">
            <v>55443</v>
          </cell>
        </row>
        <row r="425">
          <cell r="J425">
            <v>57780</v>
          </cell>
        </row>
        <row r="426">
          <cell r="J426">
            <v>72529</v>
          </cell>
        </row>
        <row r="427">
          <cell r="J427">
            <v>48587</v>
          </cell>
        </row>
        <row r="428">
          <cell r="J428">
            <v>46747</v>
          </cell>
        </row>
        <row r="429">
          <cell r="J429">
            <v>67753</v>
          </cell>
        </row>
        <row r="430">
          <cell r="J430">
            <v>65222</v>
          </cell>
        </row>
        <row r="431">
          <cell r="J431">
            <v>90008</v>
          </cell>
        </row>
        <row r="432">
          <cell r="J432">
            <v>62235</v>
          </cell>
        </row>
        <row r="433">
          <cell r="J433">
            <v>48318</v>
          </cell>
        </row>
        <row r="434">
          <cell r="J434">
            <v>42680</v>
          </cell>
        </row>
        <row r="435">
          <cell r="J435">
            <v>43101</v>
          </cell>
        </row>
        <row r="436">
          <cell r="J436">
            <v>32229</v>
          </cell>
        </row>
        <row r="437">
          <cell r="J437">
            <v>46490</v>
          </cell>
        </row>
        <row r="438">
          <cell r="J438">
            <v>82804</v>
          </cell>
        </row>
        <row r="439">
          <cell r="J439">
            <v>46643</v>
          </cell>
        </row>
        <row r="440">
          <cell r="J440">
            <v>73911</v>
          </cell>
        </row>
        <row r="441">
          <cell r="J441">
            <v>89696</v>
          </cell>
        </row>
        <row r="442">
          <cell r="J442">
            <v>46938</v>
          </cell>
        </row>
        <row r="443">
          <cell r="J443">
            <v>61580</v>
          </cell>
        </row>
        <row r="444">
          <cell r="J444">
            <v>59025</v>
          </cell>
        </row>
        <row r="445">
          <cell r="J445">
            <v>69954</v>
          </cell>
        </row>
        <row r="446">
          <cell r="J446">
            <v>56955</v>
          </cell>
        </row>
        <row r="447">
          <cell r="J447">
            <v>56280</v>
          </cell>
        </row>
        <row r="448">
          <cell r="J448">
            <v>51989</v>
          </cell>
        </row>
        <row r="449">
          <cell r="J449">
            <v>55043</v>
          </cell>
        </row>
        <row r="450">
          <cell r="J450">
            <v>61825</v>
          </cell>
        </row>
        <row r="451">
          <cell r="J451">
            <v>48501</v>
          </cell>
        </row>
        <row r="452">
          <cell r="J452">
            <v>57273</v>
          </cell>
        </row>
        <row r="453">
          <cell r="J453">
            <v>57949</v>
          </cell>
        </row>
        <row r="454">
          <cell r="J454">
            <v>53023</v>
          </cell>
        </row>
        <row r="455">
          <cell r="J455">
            <v>59460</v>
          </cell>
        </row>
        <row r="456">
          <cell r="J456">
            <v>82721</v>
          </cell>
        </row>
        <row r="457">
          <cell r="J457">
            <v>84131</v>
          </cell>
        </row>
        <row r="458">
          <cell r="J458">
            <v>42401</v>
          </cell>
        </row>
        <row r="459">
          <cell r="J459">
            <v>38924</v>
          </cell>
        </row>
        <row r="460">
          <cell r="J460">
            <v>82511</v>
          </cell>
        </row>
        <row r="461">
          <cell r="J461">
            <v>62208</v>
          </cell>
        </row>
        <row r="462">
          <cell r="J462">
            <v>47856</v>
          </cell>
        </row>
        <row r="463">
          <cell r="J463">
            <v>72097</v>
          </cell>
        </row>
        <row r="464">
          <cell r="J464">
            <v>46086</v>
          </cell>
        </row>
        <row r="465">
          <cell r="J465">
            <v>53739</v>
          </cell>
        </row>
        <row r="466">
          <cell r="J466">
            <v>50579</v>
          </cell>
        </row>
        <row r="467">
          <cell r="J467">
            <v>38857</v>
          </cell>
        </row>
        <row r="468">
          <cell r="J468">
            <v>45079</v>
          </cell>
        </row>
        <row r="469">
          <cell r="J469">
            <v>51110</v>
          </cell>
        </row>
        <row r="470">
          <cell r="J470">
            <v>66125</v>
          </cell>
        </row>
        <row r="471">
          <cell r="J471">
            <v>53861</v>
          </cell>
        </row>
        <row r="472">
          <cell r="J472">
            <v>68227</v>
          </cell>
        </row>
        <row r="473">
          <cell r="J473">
            <v>27981</v>
          </cell>
        </row>
        <row r="474">
          <cell r="J474">
            <v>62927</v>
          </cell>
        </row>
        <row r="475">
          <cell r="J475">
            <v>57687</v>
          </cell>
        </row>
        <row r="476">
          <cell r="J476">
            <v>40573</v>
          </cell>
        </row>
        <row r="477">
          <cell r="J477">
            <v>64270</v>
          </cell>
        </row>
        <row r="478">
          <cell r="J478">
            <v>57103</v>
          </cell>
        </row>
        <row r="479">
          <cell r="J479">
            <v>43415</v>
          </cell>
        </row>
        <row r="480">
          <cell r="J480">
            <v>44301</v>
          </cell>
        </row>
        <row r="481">
          <cell r="J481">
            <v>49156</v>
          </cell>
        </row>
        <row r="482">
          <cell r="J482">
            <v>46566</v>
          </cell>
        </row>
        <row r="483">
          <cell r="J483">
            <v>64874</v>
          </cell>
        </row>
        <row r="484">
          <cell r="J484">
            <v>56075</v>
          </cell>
        </row>
        <row r="485">
          <cell r="J485">
            <v>53723</v>
          </cell>
        </row>
        <row r="486">
          <cell r="J486">
            <v>43325</v>
          </cell>
        </row>
        <row r="487">
          <cell r="J487">
            <v>47185</v>
          </cell>
        </row>
        <row r="488">
          <cell r="J488">
            <v>45603</v>
          </cell>
        </row>
        <row r="489">
          <cell r="J489">
            <v>78466</v>
          </cell>
        </row>
        <row r="490">
          <cell r="J490">
            <v>44813</v>
          </cell>
        </row>
        <row r="491">
          <cell r="J491">
            <v>80257</v>
          </cell>
        </row>
        <row r="492">
          <cell r="J492">
            <v>58656</v>
          </cell>
        </row>
        <row r="493">
          <cell r="J493">
            <v>40778</v>
          </cell>
        </row>
        <row r="494">
          <cell r="J494">
            <v>75584</v>
          </cell>
        </row>
        <row r="495">
          <cell r="J495">
            <v>67725</v>
          </cell>
        </row>
        <row r="496">
          <cell r="J496">
            <v>61723</v>
          </cell>
        </row>
        <row r="497">
          <cell r="J497">
            <v>59498</v>
          </cell>
        </row>
        <row r="498">
          <cell r="J498">
            <v>67541</v>
          </cell>
        </row>
        <row r="499">
          <cell r="J499">
            <v>44666</v>
          </cell>
        </row>
        <row r="500">
          <cell r="J500">
            <v>53460</v>
          </cell>
        </row>
        <row r="501">
          <cell r="J501">
            <v>54655</v>
          </cell>
        </row>
        <row r="502">
          <cell r="J502">
            <v>85035</v>
          </cell>
        </row>
        <row r="503">
          <cell r="J503">
            <v>55055</v>
          </cell>
        </row>
        <row r="504">
          <cell r="J504">
            <v>50416</v>
          </cell>
        </row>
        <row r="505">
          <cell r="J505">
            <v>46802</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hyperlink" Target="https://libertystreeteconomics.newyorkfed.org/2026/05/federal-student-loan-defaults-return-after-pandemic-pause/" TargetMode="External"/><Relationship Id="rId1" Type="http://schemas.openxmlformats.org/officeDocument/2006/relationships/hyperlink" Target="https://www.fool.com/research/student-loan-debt-statistic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D73B-7601-AC4C-A71D-44831CC016C0}">
  <dimension ref="A1:R1408"/>
  <sheetViews>
    <sheetView workbookViewId="0">
      <selection activeCell="T2" sqref="T2"/>
    </sheetView>
  </sheetViews>
  <sheetFormatPr baseColWidth="10" defaultColWidth="11" defaultRowHeight="16" x14ac:dyDescent="0.2"/>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s="1">
        <v>204909</v>
      </c>
      <c r="B2" s="1" t="s">
        <v>18</v>
      </c>
      <c r="C2" s="1" t="s">
        <v>19</v>
      </c>
      <c r="D2" s="1">
        <v>0.55600000000000005</v>
      </c>
      <c r="E2" s="1">
        <v>1516</v>
      </c>
      <c r="F2" s="1">
        <v>53888</v>
      </c>
      <c r="G2" s="1">
        <v>0.5857</v>
      </c>
      <c r="H2" s="1">
        <v>0.84740000000000004</v>
      </c>
      <c r="I2" s="1">
        <v>0.28170000000000001</v>
      </c>
      <c r="J2" s="1">
        <v>55624</v>
      </c>
      <c r="K2" s="1">
        <v>27000</v>
      </c>
      <c r="L2" s="1">
        <v>8792</v>
      </c>
      <c r="M2" s="1">
        <v>12</v>
      </c>
      <c r="N2" s="1" t="s">
        <v>20</v>
      </c>
      <c r="O2" s="1" t="s">
        <v>21</v>
      </c>
      <c r="P2" s="1" t="s">
        <v>22</v>
      </c>
      <c r="Q2" s="1" t="s">
        <v>23</v>
      </c>
      <c r="R2">
        <v>0.99928593124380694</v>
      </c>
    </row>
    <row r="3" spans="1:18" x14ac:dyDescent="0.2">
      <c r="A3" s="1">
        <v>149781</v>
      </c>
      <c r="B3" s="1" t="s">
        <v>24</v>
      </c>
      <c r="C3" s="1" t="s">
        <v>25</v>
      </c>
      <c r="D3" s="1">
        <v>0.874</v>
      </c>
      <c r="E3" s="1">
        <v>2121</v>
      </c>
      <c r="F3" s="1">
        <v>45546</v>
      </c>
      <c r="G3" s="1">
        <v>0.84750000000000003</v>
      </c>
      <c r="H3" s="1">
        <v>0.92589999999999995</v>
      </c>
      <c r="I3" s="1">
        <v>0.21709999999999999</v>
      </c>
      <c r="J3" s="1">
        <v>63756</v>
      </c>
      <c r="K3" s="1">
        <v>23250</v>
      </c>
      <c r="L3" s="1">
        <v>10473</v>
      </c>
      <c r="M3" s="1">
        <v>10</v>
      </c>
      <c r="N3" s="1" t="s">
        <v>20</v>
      </c>
      <c r="O3" s="1" t="s">
        <v>21</v>
      </c>
      <c r="P3" s="1" t="s">
        <v>22</v>
      </c>
      <c r="Q3" s="1" t="s">
        <v>23</v>
      </c>
      <c r="R3">
        <v>0.99843374728249568</v>
      </c>
    </row>
    <row r="4" spans="1:18" x14ac:dyDescent="0.2">
      <c r="A4" s="1">
        <v>133650</v>
      </c>
      <c r="B4" s="1" t="s">
        <v>26</v>
      </c>
      <c r="C4" s="1" t="s">
        <v>27</v>
      </c>
      <c r="D4" s="1">
        <v>0.2056</v>
      </c>
      <c r="E4" s="1">
        <v>7582</v>
      </c>
      <c r="F4" s="1">
        <v>17725</v>
      </c>
      <c r="G4" s="1">
        <v>0.53349999999999997</v>
      </c>
      <c r="H4" s="1">
        <v>0.89180000000000004</v>
      </c>
      <c r="I4" s="1">
        <v>0.54310000000000003</v>
      </c>
      <c r="J4" s="1">
        <v>44349</v>
      </c>
      <c r="K4" s="1">
        <v>23548</v>
      </c>
      <c r="L4" s="1">
        <v>9244</v>
      </c>
      <c r="M4" s="1">
        <v>14</v>
      </c>
      <c r="N4" s="1" t="s">
        <v>28</v>
      </c>
      <c r="O4" s="1" t="s">
        <v>29</v>
      </c>
      <c r="P4" s="1" t="s">
        <v>30</v>
      </c>
      <c r="Q4" s="1" t="s">
        <v>31</v>
      </c>
      <c r="R4">
        <v>0.99778265104882258</v>
      </c>
    </row>
    <row r="5" spans="1:18" x14ac:dyDescent="0.2">
      <c r="A5" s="1">
        <v>112260</v>
      </c>
      <c r="B5" s="1" t="s">
        <v>32</v>
      </c>
      <c r="C5" s="1" t="s">
        <v>33</v>
      </c>
      <c r="D5" s="1">
        <v>9.5899999999999999E-2</v>
      </c>
      <c r="E5" s="1">
        <v>1388</v>
      </c>
      <c r="F5" s="1">
        <v>67980</v>
      </c>
      <c r="G5" s="1">
        <v>0.91359999999999997</v>
      </c>
      <c r="H5" s="1">
        <v>0.98129999999999995</v>
      </c>
      <c r="I5" s="1">
        <v>0.18099999999999999</v>
      </c>
      <c r="J5" s="1">
        <v>104736</v>
      </c>
      <c r="K5" s="1">
        <v>13500</v>
      </c>
      <c r="L5" s="1">
        <v>16701</v>
      </c>
      <c r="M5" s="1">
        <v>8</v>
      </c>
      <c r="N5" s="1" t="s">
        <v>20</v>
      </c>
      <c r="O5" s="1" t="s">
        <v>21</v>
      </c>
      <c r="P5" s="1" t="s">
        <v>22</v>
      </c>
      <c r="Q5" s="1" t="s">
        <v>23</v>
      </c>
      <c r="R5">
        <v>0.99563423466699719</v>
      </c>
    </row>
    <row r="6" spans="1:18" x14ac:dyDescent="0.2">
      <c r="A6" s="1">
        <v>148584</v>
      </c>
      <c r="B6" s="1" t="s">
        <v>34</v>
      </c>
      <c r="C6" s="1" t="s">
        <v>25</v>
      </c>
      <c r="D6" s="1">
        <v>0.65290000000000004</v>
      </c>
      <c r="E6" s="1">
        <v>1223</v>
      </c>
      <c r="F6" s="1">
        <v>38110</v>
      </c>
      <c r="G6" s="1">
        <v>0.66820000000000002</v>
      </c>
      <c r="H6" s="1">
        <v>0.78759999999999997</v>
      </c>
      <c r="I6" s="1">
        <v>0.39340000000000003</v>
      </c>
      <c r="J6" s="1">
        <v>63926</v>
      </c>
      <c r="K6" s="1">
        <v>21079</v>
      </c>
      <c r="L6" s="1">
        <v>8272</v>
      </c>
      <c r="M6" s="1">
        <v>15</v>
      </c>
      <c r="N6" s="1" t="s">
        <v>20</v>
      </c>
      <c r="O6" s="1" t="s">
        <v>21</v>
      </c>
      <c r="P6" s="1" t="s">
        <v>22</v>
      </c>
      <c r="Q6" s="1" t="s">
        <v>23</v>
      </c>
      <c r="R6">
        <v>0.99546230447945039</v>
      </c>
    </row>
    <row r="7" spans="1:18" x14ac:dyDescent="0.2">
      <c r="A7" s="1">
        <v>228796</v>
      </c>
      <c r="B7" s="1" t="s">
        <v>35</v>
      </c>
      <c r="C7" s="1" t="s">
        <v>36</v>
      </c>
      <c r="D7" s="1">
        <v>0.99919999999999998</v>
      </c>
      <c r="E7" s="1">
        <v>21005</v>
      </c>
      <c r="F7" s="1">
        <v>25502</v>
      </c>
      <c r="G7" s="1">
        <v>0.50170000000000003</v>
      </c>
      <c r="H7" s="1">
        <v>0.78939999999999999</v>
      </c>
      <c r="I7" s="1">
        <v>0.61609999999999998</v>
      </c>
      <c r="J7" s="1">
        <v>50923</v>
      </c>
      <c r="K7" s="1">
        <v>18000</v>
      </c>
      <c r="L7" s="1">
        <v>10239</v>
      </c>
      <c r="M7" s="1">
        <v>21</v>
      </c>
      <c r="N7" s="1" t="s">
        <v>28</v>
      </c>
      <c r="O7" s="1" t="s">
        <v>29</v>
      </c>
      <c r="P7" s="1" t="s">
        <v>30</v>
      </c>
      <c r="Q7" s="1" t="s">
        <v>23</v>
      </c>
      <c r="R7">
        <v>0.99435960770593712</v>
      </c>
    </row>
    <row r="8" spans="1:18" x14ac:dyDescent="0.2">
      <c r="A8" s="1">
        <v>183071</v>
      </c>
      <c r="B8" s="1" t="s">
        <v>37</v>
      </c>
      <c r="C8" s="1" t="s">
        <v>38</v>
      </c>
      <c r="D8" s="1">
        <v>0.80869999999999997</v>
      </c>
      <c r="E8" s="1">
        <v>443</v>
      </c>
      <c r="F8" s="1">
        <v>36418</v>
      </c>
      <c r="G8" s="1">
        <v>0.5</v>
      </c>
      <c r="H8" s="1">
        <v>0.85289999999999999</v>
      </c>
      <c r="I8" s="1">
        <v>0.28820000000000001</v>
      </c>
      <c r="J8" s="1">
        <v>66479</v>
      </c>
      <c r="K8" s="1">
        <v>26814</v>
      </c>
      <c r="L8" s="1">
        <v>9178</v>
      </c>
      <c r="M8" s="1">
        <v>8</v>
      </c>
      <c r="N8" s="1" t="s">
        <v>28</v>
      </c>
      <c r="O8" s="1" t="s">
        <v>29</v>
      </c>
      <c r="P8" s="1" t="s">
        <v>39</v>
      </c>
      <c r="Q8" s="1" t="s">
        <v>23</v>
      </c>
      <c r="R8">
        <v>0.99392429056762222</v>
      </c>
    </row>
    <row r="9" spans="1:18" x14ac:dyDescent="0.2">
      <c r="A9" s="1">
        <v>219082</v>
      </c>
      <c r="B9" s="1" t="s">
        <v>40</v>
      </c>
      <c r="C9" s="1" t="s">
        <v>41</v>
      </c>
      <c r="D9" s="1">
        <v>0.88049999999999995</v>
      </c>
      <c r="E9" s="1">
        <v>2071</v>
      </c>
      <c r="F9" s="1">
        <v>12756</v>
      </c>
      <c r="G9" s="1">
        <v>0.51300000000000001</v>
      </c>
      <c r="H9" s="1">
        <v>0.75460000000000005</v>
      </c>
      <c r="I9" s="1">
        <v>0.1681</v>
      </c>
      <c r="J9" s="1">
        <v>50970</v>
      </c>
      <c r="K9" s="1">
        <v>23500</v>
      </c>
      <c r="L9" s="1">
        <v>9954</v>
      </c>
      <c r="M9" s="1">
        <v>18</v>
      </c>
      <c r="N9" s="1" t="s">
        <v>28</v>
      </c>
      <c r="O9" s="1" t="s">
        <v>42</v>
      </c>
      <c r="P9" s="1" t="s">
        <v>22</v>
      </c>
      <c r="Q9" s="1" t="s">
        <v>23</v>
      </c>
      <c r="R9">
        <v>0.99388575929765688</v>
      </c>
    </row>
    <row r="10" spans="1:18" x14ac:dyDescent="0.2">
      <c r="A10" s="1">
        <v>201821</v>
      </c>
      <c r="B10" s="1" t="s">
        <v>43</v>
      </c>
      <c r="C10" s="1" t="s">
        <v>19</v>
      </c>
      <c r="D10" s="1">
        <v>0.58940000000000003</v>
      </c>
      <c r="E10" s="1">
        <v>713</v>
      </c>
      <c r="F10" s="1">
        <v>16836</v>
      </c>
      <c r="G10" s="1">
        <v>0.55710000000000004</v>
      </c>
      <c r="H10" s="1">
        <v>0.69120000000000004</v>
      </c>
      <c r="I10" s="1">
        <v>0.34899999999999998</v>
      </c>
      <c r="J10" s="1">
        <v>68303</v>
      </c>
      <c r="K10" s="1">
        <v>24250</v>
      </c>
      <c r="L10" s="1">
        <v>7243</v>
      </c>
      <c r="M10" s="1">
        <v>11</v>
      </c>
      <c r="N10" s="1" t="s">
        <v>20</v>
      </c>
      <c r="O10" s="1" t="s">
        <v>29</v>
      </c>
      <c r="P10" s="1" t="s">
        <v>22</v>
      </c>
      <c r="Q10" s="1" t="s">
        <v>23</v>
      </c>
      <c r="R10">
        <v>0.99339418777136357</v>
      </c>
    </row>
    <row r="11" spans="1:18" x14ac:dyDescent="0.2">
      <c r="A11" s="1">
        <v>123554</v>
      </c>
      <c r="B11" s="1" t="s">
        <v>44</v>
      </c>
      <c r="C11" s="1" t="s">
        <v>33</v>
      </c>
      <c r="D11" s="1">
        <v>0.86529999999999996</v>
      </c>
      <c r="E11" s="1">
        <v>1947</v>
      </c>
      <c r="F11" s="1">
        <v>57803</v>
      </c>
      <c r="G11" s="1">
        <v>0.70299999999999996</v>
      </c>
      <c r="H11" s="1">
        <v>0.85370000000000001</v>
      </c>
      <c r="I11" s="1">
        <v>0.2671</v>
      </c>
      <c r="J11" s="1">
        <v>78812</v>
      </c>
      <c r="K11" s="1">
        <v>23691</v>
      </c>
      <c r="L11" s="1">
        <v>11429</v>
      </c>
      <c r="M11" s="1">
        <v>10</v>
      </c>
      <c r="N11" s="1" t="s">
        <v>20</v>
      </c>
      <c r="O11" s="1" t="s">
        <v>21</v>
      </c>
      <c r="P11" s="1" t="s">
        <v>22</v>
      </c>
      <c r="Q11" s="1" t="s">
        <v>23</v>
      </c>
      <c r="R11">
        <v>0.99249576273080875</v>
      </c>
    </row>
    <row r="12" spans="1:18" x14ac:dyDescent="0.2">
      <c r="A12" s="1">
        <v>159647</v>
      </c>
      <c r="B12" s="1" t="s">
        <v>45</v>
      </c>
      <c r="C12" s="1" t="s">
        <v>46</v>
      </c>
      <c r="D12" s="1">
        <v>0.86399999999999999</v>
      </c>
      <c r="E12" s="1">
        <v>8312</v>
      </c>
      <c r="F12" s="1">
        <v>16866</v>
      </c>
      <c r="G12" s="1">
        <v>0.63819999999999999</v>
      </c>
      <c r="H12" s="1">
        <v>0.82199999999999995</v>
      </c>
      <c r="I12" s="1">
        <v>0.21679999999999999</v>
      </c>
      <c r="J12" s="1">
        <v>52279</v>
      </c>
      <c r="K12" s="1">
        <v>22135</v>
      </c>
      <c r="L12" s="1">
        <v>9177</v>
      </c>
      <c r="M12" s="1">
        <v>21</v>
      </c>
      <c r="N12" s="1" t="s">
        <v>28</v>
      </c>
      <c r="O12" s="1" t="s">
        <v>42</v>
      </c>
      <c r="P12" s="1" t="s">
        <v>30</v>
      </c>
      <c r="Q12" s="1" t="s">
        <v>23</v>
      </c>
      <c r="R12">
        <v>0.99071721227613752</v>
      </c>
    </row>
    <row r="13" spans="1:18" x14ac:dyDescent="0.2">
      <c r="A13" s="1">
        <v>137351</v>
      </c>
      <c r="B13" s="1" t="s">
        <v>47</v>
      </c>
      <c r="C13" s="1" t="s">
        <v>27</v>
      </c>
      <c r="D13" s="1">
        <v>0.43190000000000001</v>
      </c>
      <c r="E13" s="1">
        <v>37207</v>
      </c>
      <c r="F13" s="1">
        <v>17324</v>
      </c>
      <c r="G13" s="1">
        <v>0.76759999999999995</v>
      </c>
      <c r="H13" s="1">
        <v>0.91279999999999994</v>
      </c>
      <c r="I13" s="1">
        <v>0.29360000000000003</v>
      </c>
      <c r="J13" s="1">
        <v>57743</v>
      </c>
      <c r="K13" s="1">
        <v>17988</v>
      </c>
      <c r="L13" s="1">
        <v>11342</v>
      </c>
      <c r="M13" s="1">
        <v>22</v>
      </c>
      <c r="N13" s="1" t="s">
        <v>28</v>
      </c>
      <c r="O13" s="1" t="s">
        <v>29</v>
      </c>
      <c r="P13" s="1" t="s">
        <v>30</v>
      </c>
      <c r="Q13" s="1" t="s">
        <v>23</v>
      </c>
      <c r="R13">
        <v>0.99062521911498003</v>
      </c>
    </row>
    <row r="14" spans="1:18" x14ac:dyDescent="0.2">
      <c r="A14" s="1">
        <v>143084</v>
      </c>
      <c r="B14" s="1" t="s">
        <v>48</v>
      </c>
      <c r="C14" s="1" t="s">
        <v>25</v>
      </c>
      <c r="D14" s="1">
        <v>0.62680000000000002</v>
      </c>
      <c r="E14" s="1">
        <v>2490</v>
      </c>
      <c r="F14" s="1">
        <v>51598</v>
      </c>
      <c r="G14" s="1">
        <v>0.72860000000000003</v>
      </c>
      <c r="H14" s="1">
        <v>0.82110000000000005</v>
      </c>
      <c r="I14" s="1">
        <v>0.24</v>
      </c>
      <c r="J14" s="1">
        <v>62971</v>
      </c>
      <c r="K14" s="1">
        <v>27000</v>
      </c>
      <c r="L14" s="1">
        <v>8300</v>
      </c>
      <c r="M14" s="1">
        <v>12</v>
      </c>
      <c r="N14" s="1" t="s">
        <v>20</v>
      </c>
      <c r="O14" s="1" t="s">
        <v>29</v>
      </c>
      <c r="P14" s="1" t="s">
        <v>22</v>
      </c>
      <c r="Q14" s="1" t="s">
        <v>23</v>
      </c>
      <c r="R14">
        <v>0.99054790654150537</v>
      </c>
    </row>
    <row r="15" spans="1:18" x14ac:dyDescent="0.2">
      <c r="A15" s="1">
        <v>239080</v>
      </c>
      <c r="B15" s="1" t="s">
        <v>49</v>
      </c>
      <c r="C15" s="1" t="s">
        <v>50</v>
      </c>
      <c r="D15" s="1">
        <v>0.74980000000000002</v>
      </c>
      <c r="E15" s="1">
        <v>1010</v>
      </c>
      <c r="F15" s="1">
        <v>35178</v>
      </c>
      <c r="G15" s="1">
        <v>0.44159999999999999</v>
      </c>
      <c r="H15" s="1">
        <v>0.67459999999999998</v>
      </c>
      <c r="I15" s="1">
        <v>0.32590000000000002</v>
      </c>
      <c r="J15" s="1">
        <v>53501</v>
      </c>
      <c r="K15" s="1">
        <v>25000</v>
      </c>
      <c r="L15" s="1">
        <v>8154</v>
      </c>
      <c r="M15" s="1">
        <v>11</v>
      </c>
      <c r="N15" s="1" t="s">
        <v>20</v>
      </c>
      <c r="O15" s="1" t="s">
        <v>29</v>
      </c>
      <c r="P15" s="1" t="s">
        <v>22</v>
      </c>
      <c r="Q15" s="1" t="s">
        <v>23</v>
      </c>
      <c r="R15">
        <v>0.98897416662548776</v>
      </c>
    </row>
    <row r="16" spans="1:18" x14ac:dyDescent="0.2">
      <c r="A16" s="1">
        <v>232089</v>
      </c>
      <c r="B16" s="1" t="s">
        <v>51</v>
      </c>
      <c r="C16" s="1" t="s">
        <v>52</v>
      </c>
      <c r="D16" s="1">
        <v>0.88980000000000004</v>
      </c>
      <c r="E16" s="1">
        <v>699</v>
      </c>
      <c r="F16" s="1">
        <v>28520</v>
      </c>
      <c r="G16" s="1">
        <v>0.31900000000000001</v>
      </c>
      <c r="H16" s="1">
        <v>0.64139999999999997</v>
      </c>
      <c r="I16" s="1">
        <v>0.54269999999999996</v>
      </c>
      <c r="J16" s="1">
        <v>44296</v>
      </c>
      <c r="K16" s="1">
        <v>27000</v>
      </c>
      <c r="L16" s="1">
        <v>5763</v>
      </c>
      <c r="M16" s="1">
        <v>11</v>
      </c>
      <c r="N16" s="1" t="s">
        <v>20</v>
      </c>
      <c r="O16" s="1" t="s">
        <v>42</v>
      </c>
      <c r="P16" s="1" t="s">
        <v>30</v>
      </c>
      <c r="Q16" s="1" t="s">
        <v>31</v>
      </c>
      <c r="R16">
        <v>0.988630337158795</v>
      </c>
    </row>
    <row r="17" spans="1:18" x14ac:dyDescent="0.2">
      <c r="A17" s="1">
        <v>174154</v>
      </c>
      <c r="B17" s="1" t="s">
        <v>53</v>
      </c>
      <c r="C17" s="1" t="s">
        <v>54</v>
      </c>
      <c r="D17" s="1">
        <v>0.9375</v>
      </c>
      <c r="E17" s="1">
        <v>740</v>
      </c>
      <c r="F17" s="1">
        <v>13450</v>
      </c>
      <c r="G17" s="1">
        <v>0.4667</v>
      </c>
      <c r="H17" s="1">
        <v>0.69569999999999999</v>
      </c>
      <c r="I17" s="1">
        <v>0.56679999999999997</v>
      </c>
      <c r="J17" s="1">
        <v>36909</v>
      </c>
      <c r="K17" s="1">
        <v>21500</v>
      </c>
      <c r="L17" s="1">
        <v>7450</v>
      </c>
      <c r="M17" s="1">
        <v>15</v>
      </c>
      <c r="N17" s="1" t="s">
        <v>20</v>
      </c>
      <c r="O17" s="1" t="s">
        <v>29</v>
      </c>
      <c r="P17" s="1" t="s">
        <v>22</v>
      </c>
      <c r="Q17" s="1" t="s">
        <v>31</v>
      </c>
      <c r="R17">
        <v>0.98805973720010432</v>
      </c>
    </row>
    <row r="18" spans="1:18" x14ac:dyDescent="0.2">
      <c r="A18" s="1">
        <v>154855</v>
      </c>
      <c r="B18" s="1" t="s">
        <v>55</v>
      </c>
      <c r="C18" s="1" t="s">
        <v>56</v>
      </c>
      <c r="D18" s="1">
        <v>0.52710000000000001</v>
      </c>
      <c r="E18" s="1">
        <v>380</v>
      </c>
      <c r="F18" s="1">
        <v>21000</v>
      </c>
      <c r="G18" s="1">
        <v>0.2697</v>
      </c>
      <c r="H18" s="1">
        <v>0.45</v>
      </c>
      <c r="I18" s="1">
        <v>0.52400000000000002</v>
      </c>
      <c r="J18" s="1">
        <v>44468</v>
      </c>
      <c r="K18" s="1">
        <v>27000</v>
      </c>
      <c r="L18" s="1">
        <v>4534</v>
      </c>
      <c r="M18" s="1">
        <v>15</v>
      </c>
      <c r="N18" s="1" t="s">
        <v>20</v>
      </c>
      <c r="O18" s="1" t="s">
        <v>42</v>
      </c>
      <c r="P18" s="1" t="s">
        <v>22</v>
      </c>
      <c r="Q18" s="1" t="s">
        <v>31</v>
      </c>
      <c r="R18">
        <v>0.98775216355912854</v>
      </c>
    </row>
    <row r="19" spans="1:18" x14ac:dyDescent="0.2">
      <c r="A19" s="1">
        <v>196130</v>
      </c>
      <c r="B19" s="1" t="s">
        <v>57</v>
      </c>
      <c r="C19" s="1" t="s">
        <v>58</v>
      </c>
      <c r="D19" s="1">
        <v>0.72950000000000004</v>
      </c>
      <c r="E19" s="1">
        <v>5097</v>
      </c>
      <c r="F19" s="1">
        <v>19653</v>
      </c>
      <c r="G19" s="1">
        <v>0.33310000000000001</v>
      </c>
      <c r="H19" s="1">
        <v>0.57720000000000005</v>
      </c>
      <c r="I19" s="1">
        <v>0.55600000000000005</v>
      </c>
      <c r="J19" s="1">
        <v>52334</v>
      </c>
      <c r="K19" s="1">
        <v>21028</v>
      </c>
      <c r="L19" s="1">
        <v>9132</v>
      </c>
      <c r="M19" s="1">
        <v>14</v>
      </c>
      <c r="N19" s="1" t="s">
        <v>28</v>
      </c>
      <c r="O19" s="1" t="s">
        <v>29</v>
      </c>
      <c r="P19" s="1" t="s">
        <v>39</v>
      </c>
      <c r="Q19" s="1" t="s">
        <v>23</v>
      </c>
      <c r="R19">
        <v>0.98741870444501445</v>
      </c>
    </row>
    <row r="20" spans="1:18" x14ac:dyDescent="0.2">
      <c r="A20" s="1">
        <v>136330</v>
      </c>
      <c r="B20" s="1" t="s">
        <v>59</v>
      </c>
      <c r="C20" s="1" t="s">
        <v>27</v>
      </c>
      <c r="D20" s="1">
        <v>0.81989999999999996</v>
      </c>
      <c r="E20" s="1">
        <v>2603</v>
      </c>
      <c r="F20" s="1">
        <v>40650</v>
      </c>
      <c r="G20" s="1">
        <v>0.5534</v>
      </c>
      <c r="H20" s="1">
        <v>0.67959999999999998</v>
      </c>
      <c r="I20" s="1">
        <v>0.2296</v>
      </c>
      <c r="J20" s="1">
        <v>49232</v>
      </c>
      <c r="K20" s="1">
        <v>22500</v>
      </c>
      <c r="L20" s="1">
        <v>9265</v>
      </c>
      <c r="M20" s="1">
        <v>13</v>
      </c>
      <c r="N20" s="1" t="s">
        <v>20</v>
      </c>
      <c r="O20" s="1" t="s">
        <v>29</v>
      </c>
      <c r="P20" s="1" t="s">
        <v>30</v>
      </c>
      <c r="Q20" s="1" t="s">
        <v>31</v>
      </c>
      <c r="R20">
        <v>0.98620940574754612</v>
      </c>
    </row>
    <row r="21" spans="1:18" x14ac:dyDescent="0.2">
      <c r="A21" s="1">
        <v>164270</v>
      </c>
      <c r="B21" s="1" t="s">
        <v>60</v>
      </c>
      <c r="C21" s="1" t="s">
        <v>61</v>
      </c>
      <c r="D21" s="1">
        <v>0.77929999999999999</v>
      </c>
      <c r="E21" s="1">
        <v>1617</v>
      </c>
      <c r="F21" s="1">
        <v>52081</v>
      </c>
      <c r="G21" s="1">
        <v>0.63290000000000002</v>
      </c>
      <c r="H21" s="1">
        <v>0.76019999999999999</v>
      </c>
      <c r="I21" s="1">
        <v>0.36099999999999999</v>
      </c>
      <c r="J21" s="1">
        <v>60663</v>
      </c>
      <c r="K21" s="1">
        <v>25000</v>
      </c>
      <c r="L21" s="1">
        <v>8473</v>
      </c>
      <c r="M21" s="1">
        <v>13</v>
      </c>
      <c r="N21" s="1" t="s">
        <v>20</v>
      </c>
      <c r="O21" s="1" t="s">
        <v>42</v>
      </c>
      <c r="P21" s="1" t="s">
        <v>30</v>
      </c>
      <c r="Q21" s="1" t="s">
        <v>23</v>
      </c>
      <c r="R21">
        <v>0.9857079773718882</v>
      </c>
    </row>
    <row r="22" spans="1:18" x14ac:dyDescent="0.2">
      <c r="A22" s="1">
        <v>201964</v>
      </c>
      <c r="B22" s="1" t="s">
        <v>62</v>
      </c>
      <c r="C22" s="1" t="s">
        <v>19</v>
      </c>
      <c r="D22" s="1">
        <v>0.37969999999999998</v>
      </c>
      <c r="E22" s="1">
        <v>862</v>
      </c>
      <c r="F22" s="1">
        <v>24600</v>
      </c>
      <c r="G22" s="1">
        <v>0.33939999999999998</v>
      </c>
      <c r="H22" s="1">
        <v>0.62370000000000003</v>
      </c>
      <c r="I22" s="1">
        <v>0.33660000000000001</v>
      </c>
      <c r="J22" s="1">
        <v>39813</v>
      </c>
      <c r="K22" s="1">
        <v>29579</v>
      </c>
      <c r="L22" s="1">
        <v>4506</v>
      </c>
      <c r="M22" s="1">
        <v>14</v>
      </c>
      <c r="N22" s="1" t="s">
        <v>20</v>
      </c>
      <c r="O22" s="1" t="s">
        <v>42</v>
      </c>
      <c r="P22" s="1" t="s">
        <v>22</v>
      </c>
      <c r="Q22" s="1" t="s">
        <v>31</v>
      </c>
      <c r="R22">
        <v>0.98552425202772553</v>
      </c>
    </row>
    <row r="23" spans="1:18" x14ac:dyDescent="0.2">
      <c r="A23" s="1">
        <v>206695</v>
      </c>
      <c r="B23" s="1" t="s">
        <v>63</v>
      </c>
      <c r="C23" s="1" t="s">
        <v>19</v>
      </c>
      <c r="D23" s="1">
        <v>0.84450000000000003</v>
      </c>
      <c r="E23" s="1">
        <v>7961</v>
      </c>
      <c r="F23" s="1">
        <v>11473</v>
      </c>
      <c r="G23" s="1">
        <v>0.50480000000000003</v>
      </c>
      <c r="H23" s="1">
        <v>0.75729999999999997</v>
      </c>
      <c r="I23" s="1">
        <v>0.33779999999999999</v>
      </c>
      <c r="J23" s="1">
        <v>41544</v>
      </c>
      <c r="K23" s="1">
        <v>24000</v>
      </c>
      <c r="L23" s="1">
        <v>8731</v>
      </c>
      <c r="M23" s="1">
        <v>20</v>
      </c>
      <c r="N23" s="1" t="s">
        <v>28</v>
      </c>
      <c r="O23" s="1" t="s">
        <v>29</v>
      </c>
      <c r="P23" s="1" t="s">
        <v>22</v>
      </c>
      <c r="Q23" s="1" t="s">
        <v>31</v>
      </c>
      <c r="R23">
        <v>0.98515107283953141</v>
      </c>
    </row>
    <row r="24" spans="1:18" x14ac:dyDescent="0.2">
      <c r="A24" s="1">
        <v>110714</v>
      </c>
      <c r="B24" s="1" t="s">
        <v>64</v>
      </c>
      <c r="C24" s="1" t="s">
        <v>33</v>
      </c>
      <c r="D24" s="1">
        <v>0.65790000000000004</v>
      </c>
      <c r="E24" s="1">
        <v>17940</v>
      </c>
      <c r="F24" s="1">
        <v>50205</v>
      </c>
      <c r="G24" s="1">
        <v>0.75090000000000001</v>
      </c>
      <c r="H24" s="1">
        <v>0.87949999999999995</v>
      </c>
      <c r="I24" s="1">
        <v>0.31569999999999998</v>
      </c>
      <c r="J24" s="1">
        <v>68396</v>
      </c>
      <c r="K24" s="1">
        <v>16666</v>
      </c>
      <c r="L24" s="1">
        <v>17994</v>
      </c>
      <c r="M24" s="1">
        <v>22</v>
      </c>
      <c r="N24" s="1" t="s">
        <v>28</v>
      </c>
      <c r="O24" s="1" t="s">
        <v>29</v>
      </c>
      <c r="P24" s="1" t="s">
        <v>22</v>
      </c>
      <c r="Q24" s="1" t="s">
        <v>23</v>
      </c>
      <c r="R24">
        <v>0.98438588868485621</v>
      </c>
    </row>
    <row r="25" spans="1:18" x14ac:dyDescent="0.2">
      <c r="A25" s="1">
        <v>186584</v>
      </c>
      <c r="B25" s="1" t="s">
        <v>65</v>
      </c>
      <c r="C25" s="1" t="s">
        <v>66</v>
      </c>
      <c r="D25" s="1">
        <v>0.73260000000000003</v>
      </c>
      <c r="E25" s="1">
        <v>6036</v>
      </c>
      <c r="F25" s="1">
        <v>53170</v>
      </c>
      <c r="G25" s="1">
        <v>0.69489999999999996</v>
      </c>
      <c r="H25" s="1">
        <v>0.8145</v>
      </c>
      <c r="I25" s="1">
        <v>0.32490000000000002</v>
      </c>
      <c r="J25" s="1">
        <v>70196</v>
      </c>
      <c r="K25" s="1">
        <v>22750</v>
      </c>
      <c r="L25" s="1">
        <v>11807</v>
      </c>
      <c r="M25" s="1">
        <v>14</v>
      </c>
      <c r="N25" s="1" t="s">
        <v>20</v>
      </c>
      <c r="O25" s="1" t="s">
        <v>21</v>
      </c>
      <c r="P25" s="1" t="s">
        <v>39</v>
      </c>
      <c r="Q25" s="1" t="s">
        <v>23</v>
      </c>
      <c r="R25">
        <v>0.98423180754618644</v>
      </c>
    </row>
    <row r="26" spans="1:18" x14ac:dyDescent="0.2">
      <c r="A26" s="1">
        <v>229814</v>
      </c>
      <c r="B26" s="1" t="s">
        <v>67</v>
      </c>
      <c r="C26" s="1" t="s">
        <v>36</v>
      </c>
      <c r="D26" s="1">
        <v>0.98680000000000001</v>
      </c>
      <c r="E26" s="1">
        <v>6917</v>
      </c>
      <c r="F26" s="1">
        <v>10996</v>
      </c>
      <c r="G26" s="1">
        <v>0.5504</v>
      </c>
      <c r="H26" s="1">
        <v>0.69630000000000003</v>
      </c>
      <c r="I26" s="1">
        <v>0.41110000000000002</v>
      </c>
      <c r="J26" s="1">
        <v>50741</v>
      </c>
      <c r="K26" s="1">
        <v>19500</v>
      </c>
      <c r="L26" s="1">
        <v>8482</v>
      </c>
      <c r="M26" s="1">
        <v>14</v>
      </c>
      <c r="N26" s="1" t="s">
        <v>28</v>
      </c>
      <c r="O26" s="1" t="s">
        <v>42</v>
      </c>
      <c r="P26" s="1" t="s">
        <v>30</v>
      </c>
      <c r="Q26" s="1" t="s">
        <v>23</v>
      </c>
      <c r="R26">
        <v>0.98255617394024275</v>
      </c>
    </row>
    <row r="27" spans="1:18" x14ac:dyDescent="0.2">
      <c r="A27" s="1">
        <v>196079</v>
      </c>
      <c r="B27" s="1" t="s">
        <v>68</v>
      </c>
      <c r="C27" s="1" t="s">
        <v>58</v>
      </c>
      <c r="D27" s="1">
        <v>0.3861</v>
      </c>
      <c r="E27" s="1">
        <v>14655</v>
      </c>
      <c r="F27" s="1">
        <v>30447</v>
      </c>
      <c r="G27" s="1">
        <v>0.81620000000000004</v>
      </c>
      <c r="H27" s="1">
        <v>0.89380000000000004</v>
      </c>
      <c r="I27" s="1">
        <v>0.28120000000000001</v>
      </c>
      <c r="J27" s="1">
        <v>80596</v>
      </c>
      <c r="K27" s="1">
        <v>18500</v>
      </c>
      <c r="L27" s="1">
        <v>11086</v>
      </c>
      <c r="M27" s="1">
        <v>18</v>
      </c>
      <c r="N27" s="1" t="s">
        <v>28</v>
      </c>
      <c r="O27" s="1" t="s">
        <v>21</v>
      </c>
      <c r="P27" s="1" t="s">
        <v>39</v>
      </c>
      <c r="Q27" s="1" t="s">
        <v>23</v>
      </c>
      <c r="R27">
        <v>0.98224114487380043</v>
      </c>
    </row>
    <row r="28" spans="1:18" x14ac:dyDescent="0.2">
      <c r="A28" s="1">
        <v>106397</v>
      </c>
      <c r="B28" s="1" t="s">
        <v>69</v>
      </c>
      <c r="C28" s="1" t="s">
        <v>70</v>
      </c>
      <c r="D28" s="1">
        <v>0.74299999999999999</v>
      </c>
      <c r="E28" s="1">
        <v>28677</v>
      </c>
      <c r="F28" s="1">
        <v>29966</v>
      </c>
      <c r="G28" s="1">
        <v>0.70520000000000005</v>
      </c>
      <c r="H28" s="1">
        <v>0.86370000000000002</v>
      </c>
      <c r="I28" s="1">
        <v>0.1779</v>
      </c>
      <c r="J28" s="1">
        <v>58191</v>
      </c>
      <c r="K28" s="1">
        <v>21500</v>
      </c>
      <c r="L28" s="1">
        <v>10657</v>
      </c>
      <c r="M28" s="1">
        <v>20</v>
      </c>
      <c r="N28" s="1" t="s">
        <v>28</v>
      </c>
      <c r="O28" s="1" t="s">
        <v>29</v>
      </c>
      <c r="P28" s="1" t="s">
        <v>30</v>
      </c>
      <c r="Q28" s="1" t="s">
        <v>23</v>
      </c>
      <c r="R28">
        <v>0.98079168437685649</v>
      </c>
    </row>
    <row r="29" spans="1:18" x14ac:dyDescent="0.2">
      <c r="A29" s="1">
        <v>262129</v>
      </c>
      <c r="B29" s="1" t="s">
        <v>71</v>
      </c>
      <c r="C29" s="1" t="s">
        <v>27</v>
      </c>
      <c r="D29" s="1">
        <v>0.73199999999999998</v>
      </c>
      <c r="E29" s="1">
        <v>843</v>
      </c>
      <c r="F29" s="1">
        <v>29944</v>
      </c>
      <c r="G29" s="1">
        <v>0.66669999999999996</v>
      </c>
      <c r="H29" s="1">
        <v>0.75570000000000004</v>
      </c>
      <c r="I29" s="1">
        <v>0.33939999999999998</v>
      </c>
      <c r="J29" s="1">
        <v>48082</v>
      </c>
      <c r="K29" s="1">
        <v>17375</v>
      </c>
      <c r="L29" s="1">
        <v>10340</v>
      </c>
      <c r="M29" s="1">
        <v>8</v>
      </c>
      <c r="N29" s="1" t="s">
        <v>28</v>
      </c>
      <c r="O29" s="1" t="s">
        <v>29</v>
      </c>
      <c r="P29" s="1" t="s">
        <v>30</v>
      </c>
      <c r="Q29" s="1" t="s">
        <v>31</v>
      </c>
      <c r="R29">
        <v>0.97813958332751327</v>
      </c>
    </row>
    <row r="30" spans="1:18" x14ac:dyDescent="0.2">
      <c r="A30" s="1">
        <v>154721</v>
      </c>
      <c r="B30" s="1" t="s">
        <v>72</v>
      </c>
      <c r="C30" s="1" t="s">
        <v>56</v>
      </c>
      <c r="D30" s="1">
        <v>0.56000000000000005</v>
      </c>
      <c r="E30" s="1">
        <v>569</v>
      </c>
      <c r="F30" s="1">
        <v>33000</v>
      </c>
      <c r="G30" s="1">
        <v>0.3574</v>
      </c>
      <c r="H30" s="1">
        <v>0.42530000000000001</v>
      </c>
      <c r="I30" s="1">
        <v>0.4819</v>
      </c>
      <c r="J30" s="1">
        <v>49694</v>
      </c>
      <c r="K30" s="1">
        <v>23250</v>
      </c>
      <c r="L30" s="1">
        <v>4596</v>
      </c>
      <c r="M30" s="1">
        <v>12</v>
      </c>
      <c r="N30" s="1" t="s">
        <v>20</v>
      </c>
      <c r="O30" s="1" t="s">
        <v>42</v>
      </c>
      <c r="P30" s="1" t="s">
        <v>22</v>
      </c>
      <c r="Q30" s="1" t="s">
        <v>31</v>
      </c>
      <c r="R30">
        <v>0.97701016073775049</v>
      </c>
    </row>
    <row r="31" spans="1:18" x14ac:dyDescent="0.2">
      <c r="A31" s="1">
        <v>161235</v>
      </c>
      <c r="B31" s="1" t="s">
        <v>73</v>
      </c>
      <c r="C31" s="1" t="s">
        <v>74</v>
      </c>
      <c r="D31" s="1">
        <v>0.97919999999999996</v>
      </c>
      <c r="E31" s="1">
        <v>599</v>
      </c>
      <c r="F31" s="1">
        <v>14880</v>
      </c>
      <c r="G31" s="1">
        <v>0.39439999999999997</v>
      </c>
      <c r="H31" s="1">
        <v>0.89290000000000003</v>
      </c>
      <c r="I31" s="1">
        <v>0.14960000000000001</v>
      </c>
      <c r="J31" s="1">
        <v>51077</v>
      </c>
      <c r="K31" s="1">
        <v>20160</v>
      </c>
      <c r="L31" s="1">
        <v>8219</v>
      </c>
      <c r="M31" s="1">
        <v>21</v>
      </c>
      <c r="N31" s="1" t="s">
        <v>28</v>
      </c>
      <c r="O31" s="1" t="s">
        <v>42</v>
      </c>
      <c r="P31" s="1" t="s">
        <v>39</v>
      </c>
      <c r="Q31" s="1" t="s">
        <v>23</v>
      </c>
      <c r="R31">
        <v>0.97616665080409715</v>
      </c>
    </row>
    <row r="32" spans="1:18" x14ac:dyDescent="0.2">
      <c r="A32" s="1">
        <v>174251</v>
      </c>
      <c r="B32" s="1" t="s">
        <v>75</v>
      </c>
      <c r="C32" s="1" t="s">
        <v>54</v>
      </c>
      <c r="D32" s="1">
        <v>0.74929999999999997</v>
      </c>
      <c r="E32" s="1">
        <v>936</v>
      </c>
      <c r="F32" s="1">
        <v>16710</v>
      </c>
      <c r="G32" s="1">
        <v>0.625</v>
      </c>
      <c r="H32" s="1">
        <v>0.73899999999999999</v>
      </c>
      <c r="I32" s="1">
        <v>0.32550000000000001</v>
      </c>
      <c r="J32" s="1">
        <v>50919</v>
      </c>
      <c r="K32" s="1">
        <v>18995</v>
      </c>
      <c r="L32" s="1">
        <v>8211</v>
      </c>
      <c r="M32" s="1">
        <v>9</v>
      </c>
      <c r="N32" s="1" t="s">
        <v>28</v>
      </c>
      <c r="O32" s="1" t="s">
        <v>42</v>
      </c>
      <c r="P32" s="1" t="s">
        <v>22</v>
      </c>
      <c r="Q32" s="1" t="s">
        <v>23</v>
      </c>
      <c r="R32">
        <v>0.97613175484145553</v>
      </c>
    </row>
    <row r="33" spans="1:18" x14ac:dyDescent="0.2">
      <c r="A33" s="1">
        <v>497824</v>
      </c>
      <c r="B33" s="1" t="s">
        <v>76</v>
      </c>
      <c r="C33" s="1" t="s">
        <v>77</v>
      </c>
      <c r="D33" s="1">
        <v>0.49180000000000001</v>
      </c>
      <c r="E33" s="1">
        <v>240</v>
      </c>
      <c r="F33" s="1">
        <v>8175</v>
      </c>
      <c r="G33" s="1">
        <v>0.5</v>
      </c>
      <c r="H33" s="1">
        <v>0.66669999999999996</v>
      </c>
      <c r="I33" s="1">
        <v>0.44400000000000001</v>
      </c>
      <c r="J33" s="1">
        <v>46573</v>
      </c>
      <c r="K33" s="1">
        <v>24736</v>
      </c>
      <c r="L33" s="1">
        <v>5631</v>
      </c>
      <c r="M33" s="1">
        <v>8</v>
      </c>
      <c r="N33" s="1" t="s">
        <v>20</v>
      </c>
      <c r="O33" s="1" t="s">
        <v>29</v>
      </c>
      <c r="P33" s="1" t="s">
        <v>22</v>
      </c>
      <c r="Q33" s="1" t="s">
        <v>31</v>
      </c>
      <c r="R33">
        <v>0.97611424211040698</v>
      </c>
    </row>
    <row r="34" spans="1:18" x14ac:dyDescent="0.2">
      <c r="A34" s="1">
        <v>209056</v>
      </c>
      <c r="B34" s="1" t="s">
        <v>78</v>
      </c>
      <c r="C34" s="1" t="s">
        <v>79</v>
      </c>
      <c r="D34" s="1">
        <v>0.78490000000000004</v>
      </c>
      <c r="E34" s="1">
        <v>2120</v>
      </c>
      <c r="F34" s="1">
        <v>64828</v>
      </c>
      <c r="G34" s="1">
        <v>0.75360000000000005</v>
      </c>
      <c r="H34" s="1">
        <v>0.8881</v>
      </c>
      <c r="I34" s="1">
        <v>0.20280000000000001</v>
      </c>
      <c r="J34" s="1">
        <v>62205</v>
      </c>
      <c r="K34" s="1">
        <v>19500</v>
      </c>
      <c r="L34" s="1">
        <v>10908</v>
      </c>
      <c r="M34" s="1">
        <v>12</v>
      </c>
      <c r="N34" s="1" t="s">
        <v>20</v>
      </c>
      <c r="O34" s="1" t="s">
        <v>29</v>
      </c>
      <c r="P34" s="1" t="s">
        <v>22</v>
      </c>
      <c r="Q34" s="1" t="s">
        <v>23</v>
      </c>
      <c r="R34">
        <v>0.97346400449289494</v>
      </c>
    </row>
    <row r="35" spans="1:18" x14ac:dyDescent="0.2">
      <c r="A35" s="1">
        <v>153384</v>
      </c>
      <c r="B35" s="1" t="s">
        <v>80</v>
      </c>
      <c r="C35" s="1" t="s">
        <v>81</v>
      </c>
      <c r="D35" s="1">
        <v>0.14510000000000001</v>
      </c>
      <c r="E35" s="1">
        <v>1729</v>
      </c>
      <c r="F35" s="1">
        <v>68106</v>
      </c>
      <c r="G35" s="1">
        <v>0.88119999999999998</v>
      </c>
      <c r="H35" s="1">
        <v>0.92559999999999998</v>
      </c>
      <c r="I35" s="1">
        <v>0.17860000000000001</v>
      </c>
      <c r="J35" s="1">
        <v>62830</v>
      </c>
      <c r="K35" s="1">
        <v>17500</v>
      </c>
      <c r="L35" s="1">
        <v>12576</v>
      </c>
      <c r="M35" s="1">
        <v>9</v>
      </c>
      <c r="N35" s="1" t="s">
        <v>20</v>
      </c>
      <c r="O35" s="1" t="s">
        <v>42</v>
      </c>
      <c r="P35" s="1" t="s">
        <v>22</v>
      </c>
      <c r="Q35" s="1" t="s">
        <v>23</v>
      </c>
      <c r="R35">
        <v>0.97319656039621116</v>
      </c>
    </row>
    <row r="36" spans="1:18" x14ac:dyDescent="0.2">
      <c r="A36" s="1">
        <v>178679</v>
      </c>
      <c r="B36" s="1" t="s">
        <v>82</v>
      </c>
      <c r="C36" s="1" t="s">
        <v>77</v>
      </c>
      <c r="D36" s="1">
        <v>0.93610000000000004</v>
      </c>
      <c r="E36" s="1">
        <v>602</v>
      </c>
      <c r="F36" s="1">
        <v>16000</v>
      </c>
      <c r="G36" s="1">
        <v>0.63639999999999997</v>
      </c>
      <c r="H36" s="1">
        <v>0.83450000000000002</v>
      </c>
      <c r="I36" s="1">
        <v>0.42509999999999998</v>
      </c>
      <c r="J36" s="1">
        <v>41297</v>
      </c>
      <c r="K36" s="1">
        <v>16772</v>
      </c>
      <c r="L36" s="1">
        <v>5805</v>
      </c>
      <c r="M36" s="1">
        <v>17</v>
      </c>
      <c r="N36" s="1" t="s">
        <v>20</v>
      </c>
      <c r="O36" s="1" t="s">
        <v>29</v>
      </c>
      <c r="P36" s="1" t="s">
        <v>22</v>
      </c>
      <c r="Q36" s="1" t="s">
        <v>31</v>
      </c>
      <c r="R36">
        <v>0.97309986845030283</v>
      </c>
    </row>
    <row r="37" spans="1:18" x14ac:dyDescent="0.2">
      <c r="A37" s="1">
        <v>131283</v>
      </c>
      <c r="B37" s="1" t="s">
        <v>83</v>
      </c>
      <c r="C37" s="1" t="s">
        <v>84</v>
      </c>
      <c r="D37" s="1">
        <v>0.82779999999999998</v>
      </c>
      <c r="E37" s="1">
        <v>3154</v>
      </c>
      <c r="F37" s="1">
        <v>58378</v>
      </c>
      <c r="G37" s="1">
        <v>0.79469999999999996</v>
      </c>
      <c r="H37" s="1">
        <v>0.86509999999999998</v>
      </c>
      <c r="I37" s="1">
        <v>0.20319999999999999</v>
      </c>
      <c r="J37" s="1">
        <v>73250</v>
      </c>
      <c r="K37" s="1">
        <v>26000</v>
      </c>
      <c r="L37" s="1">
        <v>11252</v>
      </c>
      <c r="M37" s="1">
        <v>11</v>
      </c>
      <c r="N37" s="1" t="s">
        <v>20</v>
      </c>
      <c r="O37" s="1" t="s">
        <v>29</v>
      </c>
      <c r="P37" s="1" t="s">
        <v>30</v>
      </c>
      <c r="Q37" s="1" t="s">
        <v>23</v>
      </c>
      <c r="R37">
        <v>0.9729913888277204</v>
      </c>
    </row>
    <row r="38" spans="1:18" x14ac:dyDescent="0.2">
      <c r="A38" s="1">
        <v>199458</v>
      </c>
      <c r="B38" s="1" t="s">
        <v>85</v>
      </c>
      <c r="C38" s="1" t="s">
        <v>86</v>
      </c>
      <c r="D38" s="1">
        <v>0.62160000000000004</v>
      </c>
      <c r="E38" s="1">
        <v>132</v>
      </c>
      <c r="F38" s="1">
        <v>17280</v>
      </c>
      <c r="G38" s="1">
        <v>0.20749999999999999</v>
      </c>
      <c r="H38" s="1">
        <v>0.31580000000000003</v>
      </c>
      <c r="I38" s="1">
        <v>0.37640000000000001</v>
      </c>
      <c r="J38" s="1">
        <v>38342</v>
      </c>
      <c r="K38" s="1">
        <v>27000</v>
      </c>
      <c r="L38" s="1">
        <v>5406</v>
      </c>
      <c r="M38" s="1">
        <v>9</v>
      </c>
      <c r="N38" s="1" t="s">
        <v>20</v>
      </c>
      <c r="O38" s="1" t="s">
        <v>42</v>
      </c>
      <c r="P38" s="1" t="s">
        <v>30</v>
      </c>
      <c r="Q38" s="1" t="s">
        <v>31</v>
      </c>
      <c r="R38">
        <v>0.97236636796916998</v>
      </c>
    </row>
    <row r="39" spans="1:18" x14ac:dyDescent="0.2">
      <c r="A39" s="1">
        <v>232265</v>
      </c>
      <c r="B39" s="1" t="s">
        <v>87</v>
      </c>
      <c r="C39" s="1" t="s">
        <v>52</v>
      </c>
      <c r="D39" s="1">
        <v>0.62250000000000005</v>
      </c>
      <c r="E39" s="1">
        <v>3727</v>
      </c>
      <c r="F39" s="1">
        <v>30592</v>
      </c>
      <c r="G39" s="1">
        <v>0.5716</v>
      </c>
      <c r="H39" s="1">
        <v>0.85340000000000005</v>
      </c>
      <c r="I39" s="1">
        <v>0.39350000000000002</v>
      </c>
      <c r="J39" s="1">
        <v>59159</v>
      </c>
      <c r="K39" s="1">
        <v>25442</v>
      </c>
      <c r="L39" s="1">
        <v>8778</v>
      </c>
      <c r="M39" s="1">
        <v>15</v>
      </c>
      <c r="N39" s="1" t="s">
        <v>20</v>
      </c>
      <c r="O39" s="1" t="s">
        <v>21</v>
      </c>
      <c r="P39" s="1" t="s">
        <v>30</v>
      </c>
      <c r="Q39" s="1" t="s">
        <v>23</v>
      </c>
      <c r="R39">
        <v>0.97188978025855466</v>
      </c>
    </row>
    <row r="40" spans="1:18" x14ac:dyDescent="0.2">
      <c r="A40" s="1">
        <v>154493</v>
      </c>
      <c r="B40" s="1" t="s">
        <v>88</v>
      </c>
      <c r="C40" s="1" t="s">
        <v>81</v>
      </c>
      <c r="D40" s="1">
        <v>0.96460000000000001</v>
      </c>
      <c r="E40" s="1">
        <v>1994</v>
      </c>
      <c r="F40" s="1">
        <v>19475</v>
      </c>
      <c r="G40" s="1">
        <v>0.33889999999999998</v>
      </c>
      <c r="H40" s="1">
        <v>0.6774</v>
      </c>
      <c r="I40" s="1">
        <v>0.31790000000000002</v>
      </c>
      <c r="J40" s="1">
        <v>52766</v>
      </c>
      <c r="K40" s="1">
        <v>25000</v>
      </c>
      <c r="L40" s="1">
        <v>6035</v>
      </c>
      <c r="M40" s="1">
        <v>25</v>
      </c>
      <c r="N40" s="1" t="s">
        <v>20</v>
      </c>
      <c r="O40" s="1" t="s">
        <v>42</v>
      </c>
      <c r="P40" s="1" t="s">
        <v>22</v>
      </c>
      <c r="Q40" s="1" t="s">
        <v>23</v>
      </c>
      <c r="R40">
        <v>0.97184321210722069</v>
      </c>
    </row>
    <row r="41" spans="1:18" x14ac:dyDescent="0.2">
      <c r="A41" s="1">
        <v>161518</v>
      </c>
      <c r="B41" s="1" t="s">
        <v>89</v>
      </c>
      <c r="C41" s="1" t="s">
        <v>74</v>
      </c>
      <c r="D41" s="1">
        <v>0.83509999999999995</v>
      </c>
      <c r="E41" s="1">
        <v>964</v>
      </c>
      <c r="F41" s="1">
        <v>44420</v>
      </c>
      <c r="G41" s="1">
        <v>0.65739999999999998</v>
      </c>
      <c r="H41" s="1">
        <v>0.74570000000000003</v>
      </c>
      <c r="I41" s="1">
        <v>0.2361</v>
      </c>
      <c r="J41" s="1">
        <v>59045</v>
      </c>
      <c r="K41" s="1">
        <v>27000</v>
      </c>
      <c r="L41" s="1">
        <v>6294</v>
      </c>
      <c r="M41" s="1">
        <v>10</v>
      </c>
      <c r="N41" s="1" t="s">
        <v>20</v>
      </c>
      <c r="O41" s="1" t="s">
        <v>42</v>
      </c>
      <c r="P41" s="1" t="s">
        <v>39</v>
      </c>
      <c r="Q41" s="1" t="s">
        <v>23</v>
      </c>
      <c r="R41">
        <v>0.97032327867673784</v>
      </c>
    </row>
    <row r="42" spans="1:18" x14ac:dyDescent="0.2">
      <c r="A42" s="1">
        <v>155089</v>
      </c>
      <c r="B42" s="1" t="s">
        <v>90</v>
      </c>
      <c r="C42" s="1" t="s">
        <v>56</v>
      </c>
      <c r="D42" s="1">
        <v>0.55220000000000002</v>
      </c>
      <c r="E42" s="1">
        <v>1048</v>
      </c>
      <c r="F42" s="1">
        <v>34192</v>
      </c>
      <c r="G42" s="1">
        <v>0.4335</v>
      </c>
      <c r="H42" s="1">
        <v>0.65449999999999997</v>
      </c>
      <c r="I42" s="1">
        <v>0.30209999999999998</v>
      </c>
      <c r="J42" s="1">
        <v>52113</v>
      </c>
      <c r="K42" s="1">
        <v>25000</v>
      </c>
      <c r="L42" s="1">
        <v>7013</v>
      </c>
      <c r="M42" s="1">
        <v>12</v>
      </c>
      <c r="N42" s="1" t="s">
        <v>20</v>
      </c>
      <c r="O42" s="1" t="s">
        <v>29</v>
      </c>
      <c r="P42" s="1" t="s">
        <v>22</v>
      </c>
      <c r="Q42" s="1" t="s">
        <v>23</v>
      </c>
      <c r="R42">
        <v>0.97015725819066079</v>
      </c>
    </row>
    <row r="43" spans="1:18" x14ac:dyDescent="0.2">
      <c r="A43" s="1">
        <v>217536</v>
      </c>
      <c r="B43" s="1" t="s">
        <v>91</v>
      </c>
      <c r="C43" s="1" t="s">
        <v>92</v>
      </c>
      <c r="D43" s="1">
        <v>0.68169999999999997</v>
      </c>
      <c r="E43" s="1">
        <v>2121</v>
      </c>
      <c r="F43" s="1">
        <v>50100</v>
      </c>
      <c r="G43" s="1">
        <v>0.76880000000000004</v>
      </c>
      <c r="H43" s="1">
        <v>0.82789999999999997</v>
      </c>
      <c r="I43" s="1">
        <v>0.1507</v>
      </c>
      <c r="J43" s="1">
        <v>72975</v>
      </c>
      <c r="K43" s="1">
        <v>27000</v>
      </c>
      <c r="L43" s="1">
        <v>9135</v>
      </c>
      <c r="M43" s="1">
        <v>12</v>
      </c>
      <c r="N43" s="1" t="s">
        <v>20</v>
      </c>
      <c r="O43" s="1" t="s">
        <v>21</v>
      </c>
      <c r="P43" s="1" t="s">
        <v>39</v>
      </c>
      <c r="Q43" s="1" t="s">
        <v>23</v>
      </c>
      <c r="R43">
        <v>0.97010196656393988</v>
      </c>
    </row>
    <row r="44" spans="1:18" x14ac:dyDescent="0.2">
      <c r="A44" s="1">
        <v>144892</v>
      </c>
      <c r="B44" s="1" t="s">
        <v>93</v>
      </c>
      <c r="C44" s="1" t="s">
        <v>25</v>
      </c>
      <c r="D44" s="1">
        <v>0.65349999999999997</v>
      </c>
      <c r="E44" s="1">
        <v>4188</v>
      </c>
      <c r="F44" s="1">
        <v>16217</v>
      </c>
      <c r="G44" s="1">
        <v>0.47360000000000002</v>
      </c>
      <c r="H44" s="1">
        <v>0.71709999999999996</v>
      </c>
      <c r="I44" s="1">
        <v>0.29409999999999997</v>
      </c>
      <c r="J44" s="1">
        <v>51989</v>
      </c>
      <c r="K44" s="1">
        <v>21500</v>
      </c>
      <c r="L44" s="1">
        <v>9482</v>
      </c>
      <c r="M44" s="1">
        <v>14</v>
      </c>
      <c r="N44" s="1" t="s">
        <v>28</v>
      </c>
      <c r="O44" s="1" t="s">
        <v>42</v>
      </c>
      <c r="P44" s="1" t="s">
        <v>22</v>
      </c>
      <c r="Q44" s="1" t="s">
        <v>23</v>
      </c>
      <c r="R44">
        <v>0.97002913339348928</v>
      </c>
    </row>
    <row r="45" spans="1:18" x14ac:dyDescent="0.2">
      <c r="A45" s="1">
        <v>180258</v>
      </c>
      <c r="B45" s="1" t="s">
        <v>94</v>
      </c>
      <c r="C45" s="1" t="s">
        <v>95</v>
      </c>
      <c r="D45" s="1">
        <v>0.50280000000000002</v>
      </c>
      <c r="E45" s="1">
        <v>528</v>
      </c>
      <c r="F45" s="1">
        <v>30448</v>
      </c>
      <c r="G45" s="1">
        <v>0.27939999999999998</v>
      </c>
      <c r="H45" s="1">
        <v>0.72160000000000002</v>
      </c>
      <c r="I45" s="1">
        <v>0.32919999999999999</v>
      </c>
      <c r="J45" s="1">
        <v>48296</v>
      </c>
      <c r="K45" s="1">
        <v>18750</v>
      </c>
      <c r="L45" s="1">
        <v>6450</v>
      </c>
      <c r="M45" s="1">
        <v>9</v>
      </c>
      <c r="N45" s="1" t="s">
        <v>20</v>
      </c>
      <c r="O45" s="1" t="s">
        <v>29</v>
      </c>
      <c r="P45" s="1" t="s">
        <v>22</v>
      </c>
      <c r="Q45" s="1" t="s">
        <v>31</v>
      </c>
      <c r="R45">
        <v>0.96869159766249668</v>
      </c>
    </row>
    <row r="46" spans="1:18" x14ac:dyDescent="0.2">
      <c r="A46" s="1">
        <v>122436</v>
      </c>
      <c r="B46" s="1" t="s">
        <v>96</v>
      </c>
      <c r="C46" s="1" t="s">
        <v>33</v>
      </c>
      <c r="D46" s="1">
        <v>0.52380000000000004</v>
      </c>
      <c r="E46" s="1">
        <v>5671</v>
      </c>
      <c r="F46" s="1">
        <v>59486</v>
      </c>
      <c r="G46" s="1">
        <v>0.8367</v>
      </c>
      <c r="H46" s="1">
        <v>0.91400000000000003</v>
      </c>
      <c r="I46" s="1">
        <v>0.2092</v>
      </c>
      <c r="J46" s="1">
        <v>86522</v>
      </c>
      <c r="K46" s="1">
        <v>22940</v>
      </c>
      <c r="L46" s="1">
        <v>13201</v>
      </c>
      <c r="M46" s="1">
        <v>13</v>
      </c>
      <c r="N46" s="1" t="s">
        <v>20</v>
      </c>
      <c r="O46" s="1" t="s">
        <v>29</v>
      </c>
      <c r="P46" s="1" t="s">
        <v>22</v>
      </c>
      <c r="Q46" s="1" t="s">
        <v>23</v>
      </c>
      <c r="R46">
        <v>0.96860551943304274</v>
      </c>
    </row>
    <row r="47" spans="1:18" x14ac:dyDescent="0.2">
      <c r="A47" s="1">
        <v>216931</v>
      </c>
      <c r="B47" s="1" t="s">
        <v>97</v>
      </c>
      <c r="C47" s="1" t="s">
        <v>98</v>
      </c>
      <c r="D47" s="1">
        <v>0.90639999999999998</v>
      </c>
      <c r="E47" s="1">
        <v>1985</v>
      </c>
      <c r="F47" s="1">
        <v>43496</v>
      </c>
      <c r="G47" s="1">
        <v>0.63170000000000004</v>
      </c>
      <c r="H47" s="1">
        <v>0.7157</v>
      </c>
      <c r="I47" s="1">
        <v>0.34460000000000002</v>
      </c>
      <c r="J47" s="1">
        <v>63454</v>
      </c>
      <c r="K47" s="1">
        <v>26000</v>
      </c>
      <c r="L47" s="1">
        <v>9848</v>
      </c>
      <c r="M47" s="1">
        <v>13</v>
      </c>
      <c r="N47" s="1" t="s">
        <v>20</v>
      </c>
      <c r="O47" s="1" t="s">
        <v>29</v>
      </c>
      <c r="P47" s="1" t="s">
        <v>39</v>
      </c>
      <c r="Q47" s="1" t="s">
        <v>23</v>
      </c>
      <c r="R47">
        <v>0.96811086790800005</v>
      </c>
    </row>
    <row r="48" spans="1:18" x14ac:dyDescent="0.2">
      <c r="A48" s="1">
        <v>211556</v>
      </c>
      <c r="B48" s="1" t="s">
        <v>99</v>
      </c>
      <c r="C48" s="1" t="s">
        <v>98</v>
      </c>
      <c r="D48" s="1">
        <v>0.61960000000000004</v>
      </c>
      <c r="E48" s="1">
        <v>1232</v>
      </c>
      <c r="F48" s="1">
        <v>44626</v>
      </c>
      <c r="G48" s="1">
        <v>0.63060000000000005</v>
      </c>
      <c r="H48" s="1">
        <v>0.77810000000000001</v>
      </c>
      <c r="I48" s="1">
        <v>0.21829999999999999</v>
      </c>
      <c r="J48" s="1">
        <v>52410</v>
      </c>
      <c r="K48" s="1">
        <v>23250</v>
      </c>
      <c r="L48" s="1">
        <v>8160</v>
      </c>
      <c r="M48" s="1">
        <v>10</v>
      </c>
      <c r="N48" s="1" t="s">
        <v>20</v>
      </c>
      <c r="O48" s="1" t="s">
        <v>29</v>
      </c>
      <c r="P48" s="1" t="s">
        <v>39</v>
      </c>
      <c r="Q48" s="1" t="s">
        <v>23</v>
      </c>
      <c r="R48">
        <v>0.96699406284822287</v>
      </c>
    </row>
    <row r="49" spans="1:18" x14ac:dyDescent="0.2">
      <c r="A49" s="1">
        <v>204635</v>
      </c>
      <c r="B49" s="1" t="s">
        <v>100</v>
      </c>
      <c r="C49" s="1" t="s">
        <v>19</v>
      </c>
      <c r="D49" s="1">
        <v>0.74399999999999999</v>
      </c>
      <c r="E49" s="1">
        <v>2489</v>
      </c>
      <c r="F49" s="1">
        <v>39800</v>
      </c>
      <c r="G49" s="1">
        <v>0.75480000000000003</v>
      </c>
      <c r="H49" s="1">
        <v>0.84330000000000005</v>
      </c>
      <c r="I49" s="1">
        <v>0.20599999999999999</v>
      </c>
      <c r="J49" s="1">
        <v>80928</v>
      </c>
      <c r="K49" s="1">
        <v>27000</v>
      </c>
      <c r="L49" s="1">
        <v>9306</v>
      </c>
      <c r="M49" s="1">
        <v>13</v>
      </c>
      <c r="N49" s="1" t="s">
        <v>20</v>
      </c>
      <c r="O49" s="1" t="s">
        <v>42</v>
      </c>
      <c r="P49" s="1" t="s">
        <v>22</v>
      </c>
      <c r="Q49" s="1" t="s">
        <v>23</v>
      </c>
      <c r="R49">
        <v>0.96695971693387928</v>
      </c>
    </row>
    <row r="50" spans="1:18" x14ac:dyDescent="0.2">
      <c r="A50" s="1">
        <v>150941</v>
      </c>
      <c r="B50" s="1" t="s">
        <v>101</v>
      </c>
      <c r="C50" s="1" t="s">
        <v>102</v>
      </c>
      <c r="D50" s="1">
        <v>0.75639999999999996</v>
      </c>
      <c r="E50" s="1">
        <v>1082</v>
      </c>
      <c r="F50" s="1">
        <v>31870</v>
      </c>
      <c r="G50" s="1">
        <v>0.63600000000000001</v>
      </c>
      <c r="H50" s="1">
        <v>0.83809999999999996</v>
      </c>
      <c r="I50" s="1">
        <v>0.2737</v>
      </c>
      <c r="J50" s="1">
        <v>46672</v>
      </c>
      <c r="K50" s="1">
        <v>25576</v>
      </c>
      <c r="L50" s="1">
        <v>6692</v>
      </c>
      <c r="M50" s="1">
        <v>11</v>
      </c>
      <c r="N50" s="1" t="s">
        <v>20</v>
      </c>
      <c r="O50" s="1" t="s">
        <v>42</v>
      </c>
      <c r="P50" s="1" t="s">
        <v>22</v>
      </c>
      <c r="Q50" s="1" t="s">
        <v>31</v>
      </c>
      <c r="R50">
        <v>0.96690731271114427</v>
      </c>
    </row>
    <row r="51" spans="1:18" x14ac:dyDescent="0.2">
      <c r="A51" s="1">
        <v>157058</v>
      </c>
      <c r="B51" s="1" t="s">
        <v>103</v>
      </c>
      <c r="C51" s="1" t="s">
        <v>104</v>
      </c>
      <c r="D51" s="1">
        <v>0.96079999999999999</v>
      </c>
      <c r="E51" s="1">
        <v>1309</v>
      </c>
      <c r="F51" s="1">
        <v>13658</v>
      </c>
      <c r="G51" s="1">
        <v>0.31900000000000001</v>
      </c>
      <c r="H51" s="1">
        <v>0.63690000000000002</v>
      </c>
      <c r="I51" s="1">
        <v>0.58340000000000003</v>
      </c>
      <c r="J51" s="1">
        <v>36382</v>
      </c>
      <c r="K51" s="1">
        <v>25938</v>
      </c>
      <c r="L51" s="1">
        <v>7036</v>
      </c>
      <c r="M51" s="1">
        <v>10</v>
      </c>
      <c r="N51" s="1" t="s">
        <v>28</v>
      </c>
      <c r="O51" s="1" t="s">
        <v>42</v>
      </c>
      <c r="P51" s="1" t="s">
        <v>30</v>
      </c>
      <c r="Q51" s="1" t="s">
        <v>31</v>
      </c>
      <c r="R51">
        <v>0.96672616335500561</v>
      </c>
    </row>
    <row r="52" spans="1:18" x14ac:dyDescent="0.2">
      <c r="A52" s="1">
        <v>191621</v>
      </c>
      <c r="B52" s="1" t="s">
        <v>105</v>
      </c>
      <c r="C52" s="1" t="s">
        <v>58</v>
      </c>
      <c r="D52" s="1">
        <v>0.97199999999999998</v>
      </c>
      <c r="E52" s="1">
        <v>921</v>
      </c>
      <c r="F52" s="1">
        <v>33740</v>
      </c>
      <c r="G52" s="1">
        <v>0.56310000000000004</v>
      </c>
      <c r="H52" s="1">
        <v>0.63800000000000001</v>
      </c>
      <c r="I52" s="1">
        <v>0.4824</v>
      </c>
      <c r="J52" s="1">
        <v>48309</v>
      </c>
      <c r="K52" s="1">
        <v>24750</v>
      </c>
      <c r="L52" s="1">
        <v>6332</v>
      </c>
      <c r="M52" s="1">
        <v>15</v>
      </c>
      <c r="N52" s="1" t="s">
        <v>20</v>
      </c>
      <c r="O52" s="1" t="s">
        <v>21</v>
      </c>
      <c r="P52" s="1" t="s">
        <v>39</v>
      </c>
      <c r="Q52" s="1" t="s">
        <v>31</v>
      </c>
      <c r="R52">
        <v>0.96600214574546928</v>
      </c>
    </row>
    <row r="53" spans="1:18" x14ac:dyDescent="0.2">
      <c r="A53" s="1">
        <v>195164</v>
      </c>
      <c r="B53" s="1" t="s">
        <v>106</v>
      </c>
      <c r="C53" s="1" t="s">
        <v>58</v>
      </c>
      <c r="D53" s="1">
        <v>0.8165</v>
      </c>
      <c r="E53" s="1">
        <v>2012</v>
      </c>
      <c r="F53" s="1">
        <v>41735</v>
      </c>
      <c r="G53" s="1">
        <v>0.6673</v>
      </c>
      <c r="H53" s="1">
        <v>0.8589</v>
      </c>
      <c r="I53" s="1">
        <v>0.26750000000000002</v>
      </c>
      <c r="J53" s="1">
        <v>57214</v>
      </c>
      <c r="K53" s="1">
        <v>26000</v>
      </c>
      <c r="L53" s="1">
        <v>7778</v>
      </c>
      <c r="M53" s="1">
        <v>13</v>
      </c>
      <c r="N53" s="1" t="s">
        <v>20</v>
      </c>
      <c r="O53" s="1" t="s">
        <v>42</v>
      </c>
      <c r="P53" s="1" t="s">
        <v>39</v>
      </c>
      <c r="Q53" s="1" t="s">
        <v>23</v>
      </c>
      <c r="R53">
        <v>0.96598882026941424</v>
      </c>
    </row>
    <row r="54" spans="1:18" x14ac:dyDescent="0.2">
      <c r="A54" s="1">
        <v>163295</v>
      </c>
      <c r="B54" s="1" t="s">
        <v>107</v>
      </c>
      <c r="C54" s="1" t="s">
        <v>61</v>
      </c>
      <c r="D54" s="1">
        <v>0.76790000000000003</v>
      </c>
      <c r="E54" s="1">
        <v>1189</v>
      </c>
      <c r="F54" s="1">
        <v>56800</v>
      </c>
      <c r="G54" s="1">
        <v>0.72240000000000004</v>
      </c>
      <c r="H54" s="1">
        <v>0.83389999999999997</v>
      </c>
      <c r="I54" s="1">
        <v>0.2311</v>
      </c>
      <c r="J54" s="1">
        <v>45212</v>
      </c>
      <c r="K54" s="1">
        <v>26500</v>
      </c>
      <c r="L54" s="1">
        <v>9574</v>
      </c>
      <c r="M54" s="1">
        <v>9</v>
      </c>
      <c r="N54" s="1" t="s">
        <v>20</v>
      </c>
      <c r="O54" s="1" t="s">
        <v>29</v>
      </c>
      <c r="P54" s="1" t="s">
        <v>30</v>
      </c>
      <c r="Q54" s="1" t="s">
        <v>31</v>
      </c>
      <c r="R54">
        <v>0.96478895013205745</v>
      </c>
    </row>
    <row r="55" spans="1:18" x14ac:dyDescent="0.2">
      <c r="A55" s="1">
        <v>169327</v>
      </c>
      <c r="B55" s="1" t="s">
        <v>108</v>
      </c>
      <c r="C55" s="1" t="s">
        <v>109</v>
      </c>
      <c r="D55" s="1">
        <v>0.6754</v>
      </c>
      <c r="E55" s="1">
        <v>738</v>
      </c>
      <c r="F55" s="1">
        <v>26102</v>
      </c>
      <c r="G55" s="1">
        <v>0.41460000000000002</v>
      </c>
      <c r="H55" s="1">
        <v>0.65849999999999997</v>
      </c>
      <c r="I55" s="1">
        <v>0.29880000000000001</v>
      </c>
      <c r="J55" s="1">
        <v>54186</v>
      </c>
      <c r="K55" s="1">
        <v>19500</v>
      </c>
      <c r="L55" s="1">
        <v>4499</v>
      </c>
      <c r="M55" s="1">
        <v>18</v>
      </c>
      <c r="N55" s="1" t="s">
        <v>20</v>
      </c>
      <c r="O55" s="1" t="s">
        <v>21</v>
      </c>
      <c r="P55" s="1" t="s">
        <v>22</v>
      </c>
      <c r="Q55" s="1" t="s">
        <v>23</v>
      </c>
      <c r="R55">
        <v>0.96461267476636725</v>
      </c>
    </row>
    <row r="56" spans="1:18" x14ac:dyDescent="0.2">
      <c r="A56" s="1">
        <v>153250</v>
      </c>
      <c r="B56" s="1" t="s">
        <v>110</v>
      </c>
      <c r="C56" s="1" t="s">
        <v>81</v>
      </c>
      <c r="D56" s="1">
        <v>0.68469999999999998</v>
      </c>
      <c r="E56" s="1">
        <v>1597</v>
      </c>
      <c r="F56" s="1">
        <v>37050</v>
      </c>
      <c r="G56" s="1">
        <v>0.70140000000000002</v>
      </c>
      <c r="H56" s="1">
        <v>0.84650000000000003</v>
      </c>
      <c r="I56" s="1">
        <v>0.20180000000000001</v>
      </c>
      <c r="J56" s="1">
        <v>52559</v>
      </c>
      <c r="K56" s="1">
        <v>21500</v>
      </c>
      <c r="L56" s="1">
        <v>7251</v>
      </c>
      <c r="M56" s="1">
        <v>14</v>
      </c>
      <c r="N56" s="1" t="s">
        <v>20</v>
      </c>
      <c r="O56" s="1" t="s">
        <v>42</v>
      </c>
      <c r="P56" s="1" t="s">
        <v>22</v>
      </c>
      <c r="Q56" s="1" t="s">
        <v>23</v>
      </c>
      <c r="R56">
        <v>0.96364481885432451</v>
      </c>
    </row>
    <row r="57" spans="1:18" x14ac:dyDescent="0.2">
      <c r="A57" s="1">
        <v>233277</v>
      </c>
      <c r="B57" s="1" t="s">
        <v>111</v>
      </c>
      <c r="C57" s="1" t="s">
        <v>52</v>
      </c>
      <c r="D57" s="1">
        <v>0.89529999999999998</v>
      </c>
      <c r="E57" s="1">
        <v>6038</v>
      </c>
      <c r="F57" s="1">
        <v>25633</v>
      </c>
      <c r="G57" s="1">
        <v>0.48659999999999998</v>
      </c>
      <c r="H57" s="1">
        <v>0.75570000000000004</v>
      </c>
      <c r="I57" s="1">
        <v>0.37130000000000002</v>
      </c>
      <c r="J57" s="1">
        <v>53739</v>
      </c>
      <c r="K57" s="1">
        <v>24000</v>
      </c>
      <c r="L57" s="1">
        <v>9967</v>
      </c>
      <c r="M57" s="1">
        <v>14</v>
      </c>
      <c r="N57" s="1" t="s">
        <v>28</v>
      </c>
      <c r="O57" s="1" t="s">
        <v>42</v>
      </c>
      <c r="P57" s="1" t="s">
        <v>30</v>
      </c>
      <c r="Q57" s="1" t="s">
        <v>23</v>
      </c>
      <c r="R57">
        <v>0.9636080481984316</v>
      </c>
    </row>
    <row r="58" spans="1:18" x14ac:dyDescent="0.2">
      <c r="A58" s="1">
        <v>155681</v>
      </c>
      <c r="B58" s="1" t="s">
        <v>112</v>
      </c>
      <c r="C58" s="1" t="s">
        <v>56</v>
      </c>
      <c r="D58" s="1">
        <v>0.89419999999999999</v>
      </c>
      <c r="E58" s="1">
        <v>4210</v>
      </c>
      <c r="F58" s="1">
        <v>19744</v>
      </c>
      <c r="G58" s="1">
        <v>0.56589999999999996</v>
      </c>
      <c r="H58" s="1">
        <v>0.77190000000000003</v>
      </c>
      <c r="I58" s="1">
        <v>0.30459999999999998</v>
      </c>
      <c r="J58" s="1">
        <v>50579</v>
      </c>
      <c r="K58" s="1">
        <v>18969</v>
      </c>
      <c r="L58" s="1">
        <v>8130</v>
      </c>
      <c r="M58" s="1">
        <v>14</v>
      </c>
      <c r="N58" s="1" t="s">
        <v>28</v>
      </c>
      <c r="O58" s="1" t="s">
        <v>42</v>
      </c>
      <c r="P58" s="1" t="s">
        <v>22</v>
      </c>
      <c r="Q58" s="1" t="s">
        <v>23</v>
      </c>
      <c r="R58">
        <v>0.96251733321555</v>
      </c>
    </row>
    <row r="59" spans="1:18" x14ac:dyDescent="0.2">
      <c r="A59" s="1">
        <v>150756</v>
      </c>
      <c r="B59" s="1" t="s">
        <v>113</v>
      </c>
      <c r="C59" s="1" t="s">
        <v>102</v>
      </c>
      <c r="D59" s="1">
        <v>0.83699999999999997</v>
      </c>
      <c r="E59" s="1">
        <v>1031</v>
      </c>
      <c r="F59" s="1">
        <v>44638</v>
      </c>
      <c r="G59" s="1">
        <v>0.67130000000000001</v>
      </c>
      <c r="H59" s="1">
        <v>0.81820000000000004</v>
      </c>
      <c r="I59" s="1">
        <v>0.25829999999999997</v>
      </c>
      <c r="J59" s="1">
        <v>53957</v>
      </c>
      <c r="K59" s="1">
        <v>25250</v>
      </c>
      <c r="L59" s="1">
        <v>8708</v>
      </c>
      <c r="M59" s="1">
        <v>11</v>
      </c>
      <c r="N59" s="1" t="s">
        <v>20</v>
      </c>
      <c r="O59" s="1" t="s">
        <v>42</v>
      </c>
      <c r="P59" s="1" t="s">
        <v>22</v>
      </c>
      <c r="Q59" s="1" t="s">
        <v>23</v>
      </c>
      <c r="R59">
        <v>0.96121982942994966</v>
      </c>
    </row>
    <row r="60" spans="1:18" x14ac:dyDescent="0.2">
      <c r="A60" s="1">
        <v>173328</v>
      </c>
      <c r="B60" s="1" t="s">
        <v>114</v>
      </c>
      <c r="C60" s="1" t="s">
        <v>54</v>
      </c>
      <c r="D60" s="1">
        <v>0.78869999999999996</v>
      </c>
      <c r="E60" s="1">
        <v>3018</v>
      </c>
      <c r="F60" s="1">
        <v>25600</v>
      </c>
      <c r="G60" s="1">
        <v>0.45900000000000002</v>
      </c>
      <c r="H60" s="1">
        <v>0.67390000000000005</v>
      </c>
      <c r="I60" s="1">
        <v>0.35220000000000001</v>
      </c>
      <c r="J60" s="1">
        <v>59871</v>
      </c>
      <c r="K60" s="1">
        <v>17832</v>
      </c>
      <c r="L60" s="1">
        <v>7654</v>
      </c>
      <c r="M60" s="1">
        <v>16</v>
      </c>
      <c r="N60" s="1" t="s">
        <v>20</v>
      </c>
      <c r="O60" s="1" t="s">
        <v>29</v>
      </c>
      <c r="P60" s="1" t="s">
        <v>22</v>
      </c>
      <c r="Q60" s="1" t="s">
        <v>23</v>
      </c>
      <c r="R60">
        <v>0.95923869780768733</v>
      </c>
    </row>
    <row r="61" spans="1:18" x14ac:dyDescent="0.2">
      <c r="A61" s="1">
        <v>153162</v>
      </c>
      <c r="B61" s="1" t="s">
        <v>115</v>
      </c>
      <c r="C61" s="1" t="s">
        <v>81</v>
      </c>
      <c r="D61" s="1">
        <v>0.79900000000000004</v>
      </c>
      <c r="E61" s="1">
        <v>1086</v>
      </c>
      <c r="F61" s="1">
        <v>52660</v>
      </c>
      <c r="G61" s="1">
        <v>0.61819999999999997</v>
      </c>
      <c r="H61" s="1">
        <v>0.79530000000000001</v>
      </c>
      <c r="I61" s="1">
        <v>0.32069999999999999</v>
      </c>
      <c r="J61" s="1">
        <v>53460</v>
      </c>
      <c r="K61" s="1">
        <v>27000</v>
      </c>
      <c r="L61" s="1">
        <v>7926</v>
      </c>
      <c r="M61" s="1">
        <v>14</v>
      </c>
      <c r="N61" s="1" t="s">
        <v>20</v>
      </c>
      <c r="O61" s="1" t="s">
        <v>42</v>
      </c>
      <c r="P61" s="1" t="s">
        <v>22</v>
      </c>
      <c r="Q61" s="1" t="s">
        <v>23</v>
      </c>
      <c r="R61">
        <v>0.95852594968736837</v>
      </c>
    </row>
    <row r="62" spans="1:18" x14ac:dyDescent="0.2">
      <c r="A62" s="1">
        <v>214768</v>
      </c>
      <c r="B62" s="1" t="s">
        <v>116</v>
      </c>
      <c r="C62" s="1" t="s">
        <v>98</v>
      </c>
      <c r="D62" s="1">
        <v>0.96409999999999996</v>
      </c>
      <c r="E62" s="1">
        <v>501</v>
      </c>
      <c r="F62" s="1">
        <v>25392</v>
      </c>
      <c r="G62" s="1">
        <v>0.26150000000000001</v>
      </c>
      <c r="H62" s="1">
        <v>0.75139999999999996</v>
      </c>
      <c r="I62" s="1">
        <v>0.42749999999999999</v>
      </c>
      <c r="J62" s="1">
        <v>63435</v>
      </c>
      <c r="K62" s="1">
        <v>25000</v>
      </c>
      <c r="L62" s="1">
        <v>9943</v>
      </c>
      <c r="M62" s="1">
        <v>12</v>
      </c>
      <c r="N62" s="1" t="s">
        <v>28</v>
      </c>
      <c r="O62" s="1" t="s">
        <v>21</v>
      </c>
      <c r="P62" s="1" t="s">
        <v>39</v>
      </c>
      <c r="Q62" s="1" t="s">
        <v>23</v>
      </c>
      <c r="R62">
        <v>0.95834992428350985</v>
      </c>
    </row>
    <row r="63" spans="1:18" x14ac:dyDescent="0.2">
      <c r="A63" s="1">
        <v>186618</v>
      </c>
      <c r="B63" s="1" t="s">
        <v>117</v>
      </c>
      <c r="C63" s="1" t="s">
        <v>66</v>
      </c>
      <c r="D63" s="1">
        <v>0.71030000000000004</v>
      </c>
      <c r="E63" s="1">
        <v>557</v>
      </c>
      <c r="F63" s="1">
        <v>36741</v>
      </c>
      <c r="G63" s="1">
        <v>0.51100000000000001</v>
      </c>
      <c r="H63" s="1">
        <v>0.64710000000000001</v>
      </c>
      <c r="I63" s="1">
        <v>0.57909999999999995</v>
      </c>
      <c r="J63" s="1">
        <v>53038</v>
      </c>
      <c r="K63" s="1">
        <v>24934</v>
      </c>
      <c r="L63" s="1">
        <v>7875</v>
      </c>
      <c r="M63" s="1">
        <v>8</v>
      </c>
      <c r="N63" s="1" t="s">
        <v>20</v>
      </c>
      <c r="O63" s="1" t="s">
        <v>21</v>
      </c>
      <c r="P63" s="1" t="s">
        <v>39</v>
      </c>
      <c r="Q63" s="1" t="s">
        <v>23</v>
      </c>
      <c r="R63">
        <v>0.95730596809235269</v>
      </c>
    </row>
    <row r="64" spans="1:18" x14ac:dyDescent="0.2">
      <c r="A64" s="1">
        <v>228431</v>
      </c>
      <c r="B64" s="1" t="s">
        <v>118</v>
      </c>
      <c r="C64" s="1" t="s">
        <v>36</v>
      </c>
      <c r="D64" s="1">
        <v>0.93989999999999996</v>
      </c>
      <c r="E64" s="1">
        <v>8728</v>
      </c>
      <c r="F64" s="1">
        <v>23426</v>
      </c>
      <c r="G64" s="1">
        <v>0.5333</v>
      </c>
      <c r="H64" s="1">
        <v>0.71689999999999998</v>
      </c>
      <c r="I64" s="1">
        <v>0.38869999999999999</v>
      </c>
      <c r="J64" s="1">
        <v>49634</v>
      </c>
      <c r="K64" s="1">
        <v>23409</v>
      </c>
      <c r="L64" s="1">
        <v>8694</v>
      </c>
      <c r="M64" s="1">
        <v>16</v>
      </c>
      <c r="N64" s="1" t="s">
        <v>28</v>
      </c>
      <c r="O64" s="1" t="s">
        <v>42</v>
      </c>
      <c r="P64" s="1" t="s">
        <v>30</v>
      </c>
      <c r="Q64" s="1" t="s">
        <v>31</v>
      </c>
      <c r="R64">
        <v>0.9554198602187054</v>
      </c>
    </row>
    <row r="65" spans="1:18" x14ac:dyDescent="0.2">
      <c r="A65" s="1">
        <v>228343</v>
      </c>
      <c r="B65" s="1" t="s">
        <v>119</v>
      </c>
      <c r="C65" s="1" t="s">
        <v>36</v>
      </c>
      <c r="D65" s="1">
        <v>0.43049999999999999</v>
      </c>
      <c r="E65" s="1">
        <v>1440</v>
      </c>
      <c r="F65" s="1">
        <v>53813</v>
      </c>
      <c r="G65" s="1">
        <v>0.72789999999999999</v>
      </c>
      <c r="H65" s="1">
        <v>0.80600000000000005</v>
      </c>
      <c r="I65" s="1">
        <v>0.25330000000000003</v>
      </c>
      <c r="J65" s="1">
        <v>56878</v>
      </c>
      <c r="K65" s="1">
        <v>25000</v>
      </c>
      <c r="L65" s="1">
        <v>8920</v>
      </c>
      <c r="M65" s="1">
        <v>11</v>
      </c>
      <c r="N65" s="1" t="s">
        <v>20</v>
      </c>
      <c r="O65" s="1" t="s">
        <v>29</v>
      </c>
      <c r="P65" s="1" t="s">
        <v>30</v>
      </c>
      <c r="Q65" s="1" t="s">
        <v>23</v>
      </c>
      <c r="R65">
        <v>0.95479338786193535</v>
      </c>
    </row>
    <row r="66" spans="1:18" x14ac:dyDescent="0.2">
      <c r="A66" s="1">
        <v>213251</v>
      </c>
      <c r="B66" s="1" t="s">
        <v>120</v>
      </c>
      <c r="C66" s="1" t="s">
        <v>98</v>
      </c>
      <c r="D66" s="1">
        <v>0.78910000000000002</v>
      </c>
      <c r="E66" s="1">
        <v>1191</v>
      </c>
      <c r="F66" s="1">
        <v>58580</v>
      </c>
      <c r="G66" s="1">
        <v>0.73499999999999999</v>
      </c>
      <c r="H66" s="1">
        <v>0.83330000000000004</v>
      </c>
      <c r="I66" s="1">
        <v>0.29039999999999999</v>
      </c>
      <c r="J66" s="1">
        <v>56918</v>
      </c>
      <c r="K66" s="1">
        <v>27000</v>
      </c>
      <c r="L66" s="1">
        <v>9004</v>
      </c>
      <c r="M66" s="1">
        <v>11</v>
      </c>
      <c r="N66" s="1" t="s">
        <v>20</v>
      </c>
      <c r="O66" s="1" t="s">
        <v>42</v>
      </c>
      <c r="P66" s="1" t="s">
        <v>39</v>
      </c>
      <c r="Q66" s="1" t="s">
        <v>23</v>
      </c>
      <c r="R66">
        <v>0.95462564241895453</v>
      </c>
    </row>
    <row r="67" spans="1:18" x14ac:dyDescent="0.2">
      <c r="A67" s="1">
        <v>192749</v>
      </c>
      <c r="B67" s="1" t="s">
        <v>121</v>
      </c>
      <c r="C67" s="1" t="s">
        <v>58</v>
      </c>
      <c r="D67" s="1">
        <v>0.87339999999999995</v>
      </c>
      <c r="E67" s="1">
        <v>1362</v>
      </c>
      <c r="F67" s="1">
        <v>44604</v>
      </c>
      <c r="G67" s="1">
        <v>0.58420000000000005</v>
      </c>
      <c r="H67" s="1">
        <v>0.73870000000000002</v>
      </c>
      <c r="I67" s="1">
        <v>0.35139999999999999</v>
      </c>
      <c r="J67" s="1">
        <v>58832</v>
      </c>
      <c r="K67" s="1">
        <v>25000</v>
      </c>
      <c r="L67" s="1">
        <v>8614</v>
      </c>
      <c r="M67" s="1">
        <v>12</v>
      </c>
      <c r="N67" s="1" t="s">
        <v>20</v>
      </c>
      <c r="O67" s="1" t="s">
        <v>21</v>
      </c>
      <c r="P67" s="1" t="s">
        <v>39</v>
      </c>
      <c r="Q67" s="1" t="s">
        <v>23</v>
      </c>
      <c r="R67">
        <v>0.95401488158903958</v>
      </c>
    </row>
    <row r="68" spans="1:18" x14ac:dyDescent="0.2">
      <c r="A68" s="1">
        <v>152318</v>
      </c>
      <c r="B68" s="1" t="s">
        <v>122</v>
      </c>
      <c r="C68" s="1" t="s">
        <v>102</v>
      </c>
      <c r="D68" s="1">
        <v>0.76859999999999995</v>
      </c>
      <c r="E68" s="1">
        <v>2309</v>
      </c>
      <c r="F68" s="1">
        <v>58649</v>
      </c>
      <c r="G68" s="1">
        <v>0.78159999999999996</v>
      </c>
      <c r="H68" s="1">
        <v>0.91669999999999996</v>
      </c>
      <c r="I68" s="1">
        <v>0.1181</v>
      </c>
      <c r="J68" s="1">
        <v>101253</v>
      </c>
      <c r="K68" s="1">
        <v>25000</v>
      </c>
      <c r="L68" s="1">
        <v>11761</v>
      </c>
      <c r="M68" s="1">
        <v>12</v>
      </c>
      <c r="N68" s="1" t="s">
        <v>20</v>
      </c>
      <c r="O68" s="1" t="s">
        <v>29</v>
      </c>
      <c r="P68" s="1" t="s">
        <v>22</v>
      </c>
      <c r="Q68" s="1" t="s">
        <v>23</v>
      </c>
      <c r="R68">
        <v>0.95385086148708909</v>
      </c>
    </row>
    <row r="69" spans="1:18" x14ac:dyDescent="0.2">
      <c r="A69" s="1">
        <v>441937</v>
      </c>
      <c r="B69" s="1" t="s">
        <v>123</v>
      </c>
      <c r="C69" s="1" t="s">
        <v>33</v>
      </c>
      <c r="D69" s="1">
        <v>0.94810000000000005</v>
      </c>
      <c r="E69" s="1">
        <v>5013</v>
      </c>
      <c r="F69" s="1">
        <v>19759</v>
      </c>
      <c r="G69" s="1">
        <v>0.51319999999999999</v>
      </c>
      <c r="H69" s="1">
        <v>0.72430000000000005</v>
      </c>
      <c r="I69" s="1">
        <v>0.46600000000000003</v>
      </c>
      <c r="J69" s="1">
        <v>62152</v>
      </c>
      <c r="K69" s="1">
        <v>15000</v>
      </c>
      <c r="L69" s="1">
        <v>12682</v>
      </c>
      <c r="M69" s="1">
        <v>16</v>
      </c>
      <c r="N69" s="1" t="s">
        <v>28</v>
      </c>
      <c r="O69" s="1" t="s">
        <v>42</v>
      </c>
      <c r="P69" s="1" t="s">
        <v>22</v>
      </c>
      <c r="Q69" s="1" t="s">
        <v>23</v>
      </c>
      <c r="R69">
        <v>0.95330721077122171</v>
      </c>
    </row>
    <row r="70" spans="1:18" x14ac:dyDescent="0.2">
      <c r="A70" s="1">
        <v>193399</v>
      </c>
      <c r="B70" s="1" t="s">
        <v>124</v>
      </c>
      <c r="C70" s="1" t="s">
        <v>58</v>
      </c>
      <c r="D70" s="1">
        <v>0.85109999999999997</v>
      </c>
      <c r="E70" s="1">
        <v>2692</v>
      </c>
      <c r="F70" s="1">
        <v>44540</v>
      </c>
      <c r="G70" s="1">
        <v>0.56830000000000003</v>
      </c>
      <c r="H70" s="1">
        <v>0.73050000000000004</v>
      </c>
      <c r="I70" s="1">
        <v>0.46210000000000001</v>
      </c>
      <c r="J70" s="1">
        <v>65756</v>
      </c>
      <c r="K70" s="1">
        <v>25000</v>
      </c>
      <c r="L70" s="1">
        <v>10648</v>
      </c>
      <c r="M70" s="1">
        <v>12</v>
      </c>
      <c r="N70" s="1" t="s">
        <v>20</v>
      </c>
      <c r="O70" s="1" t="s">
        <v>29</v>
      </c>
      <c r="P70" s="1" t="s">
        <v>39</v>
      </c>
      <c r="Q70" s="1" t="s">
        <v>23</v>
      </c>
      <c r="R70">
        <v>0.95296591055710222</v>
      </c>
    </row>
    <row r="71" spans="1:18" x14ac:dyDescent="0.2">
      <c r="A71" s="1">
        <v>140553</v>
      </c>
      <c r="B71" s="1" t="s">
        <v>125</v>
      </c>
      <c r="C71" s="1" t="s">
        <v>126</v>
      </c>
      <c r="D71" s="1">
        <v>0.43959999999999999</v>
      </c>
      <c r="E71" s="1">
        <v>2844</v>
      </c>
      <c r="F71" s="1">
        <v>32893</v>
      </c>
      <c r="G71" s="1">
        <v>0.59440000000000004</v>
      </c>
      <c r="H71" s="1">
        <v>0.86909999999999998</v>
      </c>
      <c r="I71" s="1">
        <v>0.44669999999999999</v>
      </c>
      <c r="J71" s="1">
        <v>52889</v>
      </c>
      <c r="K71" s="1">
        <v>25000</v>
      </c>
      <c r="L71" s="1">
        <v>8703</v>
      </c>
      <c r="M71" s="1">
        <v>14</v>
      </c>
      <c r="N71" s="1" t="s">
        <v>20</v>
      </c>
      <c r="O71" s="1" t="s">
        <v>29</v>
      </c>
      <c r="P71" s="1" t="s">
        <v>30</v>
      </c>
      <c r="Q71" s="1" t="s">
        <v>23</v>
      </c>
      <c r="R71">
        <v>0.9515433636488575</v>
      </c>
    </row>
    <row r="72" spans="1:18" x14ac:dyDescent="0.2">
      <c r="A72" s="1">
        <v>179946</v>
      </c>
      <c r="B72" s="1" t="s">
        <v>127</v>
      </c>
      <c r="C72" s="1" t="s">
        <v>77</v>
      </c>
      <c r="D72" s="1">
        <v>0.79200000000000004</v>
      </c>
      <c r="E72" s="1">
        <v>638</v>
      </c>
      <c r="F72" s="1">
        <v>35214</v>
      </c>
      <c r="G72" s="1">
        <v>0.55489999999999995</v>
      </c>
      <c r="H72" s="1">
        <v>0.7097</v>
      </c>
      <c r="I72" s="1">
        <v>0.38279999999999997</v>
      </c>
      <c r="J72" s="1">
        <v>52199</v>
      </c>
      <c r="K72" s="1">
        <v>27000</v>
      </c>
      <c r="L72" s="1">
        <v>7642</v>
      </c>
      <c r="M72" s="1">
        <v>9</v>
      </c>
      <c r="N72" s="1" t="s">
        <v>20</v>
      </c>
      <c r="O72" s="1" t="s">
        <v>42</v>
      </c>
      <c r="P72" s="1" t="s">
        <v>22</v>
      </c>
      <c r="Q72" s="1" t="s">
        <v>23</v>
      </c>
      <c r="R72">
        <v>0.94955925673005892</v>
      </c>
    </row>
    <row r="73" spans="1:18" x14ac:dyDescent="0.2">
      <c r="A73" s="1">
        <v>166018</v>
      </c>
      <c r="B73" s="1" t="s">
        <v>128</v>
      </c>
      <c r="C73" s="1" t="s">
        <v>129</v>
      </c>
      <c r="D73" s="1">
        <v>0.75280000000000002</v>
      </c>
      <c r="E73" s="1">
        <v>839</v>
      </c>
      <c r="F73" s="1">
        <v>58896</v>
      </c>
      <c r="G73" s="1">
        <v>0.54259999999999997</v>
      </c>
      <c r="H73" s="1">
        <v>0.78380000000000005</v>
      </c>
      <c r="I73" s="1">
        <v>0.39329999999999998</v>
      </c>
      <c r="J73" s="1">
        <v>46938</v>
      </c>
      <c r="K73" s="1">
        <v>26893</v>
      </c>
      <c r="L73" s="1">
        <v>10085</v>
      </c>
      <c r="M73" s="1">
        <v>13</v>
      </c>
      <c r="N73" s="1" t="s">
        <v>20</v>
      </c>
      <c r="O73" s="1" t="s">
        <v>42</v>
      </c>
      <c r="P73" s="1" t="s">
        <v>39</v>
      </c>
      <c r="Q73" s="1" t="s">
        <v>31</v>
      </c>
      <c r="R73">
        <v>0.94841529470307451</v>
      </c>
    </row>
    <row r="74" spans="1:18" x14ac:dyDescent="0.2">
      <c r="A74" s="1">
        <v>446640</v>
      </c>
      <c r="B74" s="1" t="s">
        <v>130</v>
      </c>
      <c r="C74" s="1" t="s">
        <v>98</v>
      </c>
      <c r="D74" s="1">
        <v>0.87350000000000005</v>
      </c>
      <c r="E74" s="1">
        <v>615</v>
      </c>
      <c r="F74" s="1">
        <v>24400</v>
      </c>
      <c r="G74" s="1">
        <v>0.3387</v>
      </c>
      <c r="H74" s="1">
        <v>0.73880000000000001</v>
      </c>
      <c r="I74" s="1">
        <v>0.47349999999999998</v>
      </c>
      <c r="J74" s="1">
        <v>52374</v>
      </c>
      <c r="K74" s="1">
        <v>27000</v>
      </c>
      <c r="L74" s="1">
        <v>9125</v>
      </c>
      <c r="M74" s="1">
        <v>18</v>
      </c>
      <c r="N74" s="1" t="s">
        <v>20</v>
      </c>
      <c r="O74" s="1" t="s">
        <v>29</v>
      </c>
      <c r="P74" s="1" t="s">
        <v>39</v>
      </c>
      <c r="Q74" s="1" t="s">
        <v>23</v>
      </c>
      <c r="R74">
        <v>0.9468876223271957</v>
      </c>
    </row>
    <row r="75" spans="1:18" x14ac:dyDescent="0.2">
      <c r="A75" s="1">
        <v>228149</v>
      </c>
      <c r="B75" s="1" t="s">
        <v>131</v>
      </c>
      <c r="C75" s="1" t="s">
        <v>36</v>
      </c>
      <c r="D75" s="1">
        <v>0.97760000000000002</v>
      </c>
      <c r="E75" s="1">
        <v>1951</v>
      </c>
      <c r="F75" s="1">
        <v>37434</v>
      </c>
      <c r="G75" s="1">
        <v>0.58930000000000005</v>
      </c>
      <c r="H75" s="1">
        <v>0.73</v>
      </c>
      <c r="I75" s="1">
        <v>0.3861</v>
      </c>
      <c r="J75" s="1">
        <v>56955</v>
      </c>
      <c r="K75" s="1">
        <v>25563</v>
      </c>
      <c r="L75" s="1">
        <v>10724</v>
      </c>
      <c r="M75" s="1">
        <v>11</v>
      </c>
      <c r="N75" s="1" t="s">
        <v>20</v>
      </c>
      <c r="O75" s="1" t="s">
        <v>29</v>
      </c>
      <c r="P75" s="1" t="s">
        <v>30</v>
      </c>
      <c r="Q75" s="1" t="s">
        <v>23</v>
      </c>
      <c r="R75">
        <v>0.94667556951177523</v>
      </c>
    </row>
    <row r="76" spans="1:18" x14ac:dyDescent="0.2">
      <c r="A76" s="1">
        <v>232186</v>
      </c>
      <c r="B76" s="1" t="s">
        <v>132</v>
      </c>
      <c r="C76" s="1" t="s">
        <v>52</v>
      </c>
      <c r="D76" s="1">
        <v>0.87480000000000002</v>
      </c>
      <c r="E76" s="1">
        <v>27752</v>
      </c>
      <c r="F76" s="1">
        <v>38688</v>
      </c>
      <c r="G76" s="1">
        <v>0.6784</v>
      </c>
      <c r="H76" s="1">
        <v>0.8599</v>
      </c>
      <c r="I76" s="1">
        <v>0.30130000000000001</v>
      </c>
      <c r="J76" s="1">
        <v>76343</v>
      </c>
      <c r="K76" s="1">
        <v>19500</v>
      </c>
      <c r="L76" s="1">
        <v>14486</v>
      </c>
      <c r="M76" s="1">
        <v>16</v>
      </c>
      <c r="N76" s="1" t="s">
        <v>28</v>
      </c>
      <c r="O76" s="1" t="s">
        <v>21</v>
      </c>
      <c r="P76" s="1" t="s">
        <v>30</v>
      </c>
      <c r="Q76" s="1" t="s">
        <v>23</v>
      </c>
      <c r="R76">
        <v>0.94504337759268042</v>
      </c>
    </row>
    <row r="77" spans="1:18" x14ac:dyDescent="0.2">
      <c r="A77" s="1">
        <v>155511</v>
      </c>
      <c r="B77" s="1" t="s">
        <v>133</v>
      </c>
      <c r="C77" s="1" t="s">
        <v>56</v>
      </c>
      <c r="D77" s="1">
        <v>0.76759999999999995</v>
      </c>
      <c r="E77" s="1">
        <v>872</v>
      </c>
      <c r="F77" s="1">
        <v>37310</v>
      </c>
      <c r="G77" s="1">
        <v>0.3392</v>
      </c>
      <c r="H77" s="1">
        <v>0.65149999999999997</v>
      </c>
      <c r="I77" s="1">
        <v>0.37940000000000002</v>
      </c>
      <c r="J77" s="1">
        <v>52084</v>
      </c>
      <c r="K77" s="1">
        <v>25242</v>
      </c>
      <c r="L77" s="1">
        <v>7375</v>
      </c>
      <c r="M77" s="1">
        <v>16</v>
      </c>
      <c r="N77" s="1" t="s">
        <v>20</v>
      </c>
      <c r="O77" s="1" t="s">
        <v>42</v>
      </c>
      <c r="P77" s="1" t="s">
        <v>22</v>
      </c>
      <c r="Q77" s="1" t="s">
        <v>23</v>
      </c>
      <c r="R77">
        <v>0.94240969128578234</v>
      </c>
    </row>
    <row r="78" spans="1:18" x14ac:dyDescent="0.2">
      <c r="A78" s="1">
        <v>179265</v>
      </c>
      <c r="B78" s="1" t="s">
        <v>134</v>
      </c>
      <c r="C78" s="1" t="s">
        <v>77</v>
      </c>
      <c r="D78" s="1">
        <v>0.89839999999999998</v>
      </c>
      <c r="E78" s="1">
        <v>337</v>
      </c>
      <c r="F78" s="1">
        <v>32550</v>
      </c>
      <c r="G78" s="1">
        <v>0.61680000000000001</v>
      </c>
      <c r="H78" s="1">
        <v>0.69230000000000003</v>
      </c>
      <c r="I78" s="1">
        <v>0.31269999999999998</v>
      </c>
      <c r="J78" s="1">
        <v>137047</v>
      </c>
      <c r="K78" s="1">
        <v>17755</v>
      </c>
      <c r="L78" s="1">
        <v>10471</v>
      </c>
      <c r="M78" s="1">
        <v>9</v>
      </c>
      <c r="N78" s="1" t="s">
        <v>20</v>
      </c>
      <c r="O78" s="1" t="s">
        <v>29</v>
      </c>
      <c r="P78" s="1" t="s">
        <v>22</v>
      </c>
      <c r="Q78" s="1" t="s">
        <v>23</v>
      </c>
      <c r="R78">
        <v>0.94150584342738386</v>
      </c>
    </row>
    <row r="79" spans="1:18" x14ac:dyDescent="0.2">
      <c r="A79" s="1">
        <v>216366</v>
      </c>
      <c r="B79" s="1" t="s">
        <v>135</v>
      </c>
      <c r="C79" s="1" t="s">
        <v>98</v>
      </c>
      <c r="D79" s="1">
        <v>0.80969999999999998</v>
      </c>
      <c r="E79" s="1">
        <v>3755</v>
      </c>
      <c r="F79" s="1">
        <v>47505</v>
      </c>
      <c r="G79" s="1">
        <v>0.68569999999999998</v>
      </c>
      <c r="H79" s="1">
        <v>0.8246</v>
      </c>
      <c r="I79" s="1">
        <v>0.37469999999999998</v>
      </c>
      <c r="J79" s="1">
        <v>77449</v>
      </c>
      <c r="K79" s="1">
        <v>14744</v>
      </c>
      <c r="L79" s="1">
        <v>10627</v>
      </c>
      <c r="M79" s="1">
        <v>12</v>
      </c>
      <c r="N79" s="1" t="s">
        <v>20</v>
      </c>
      <c r="O79" s="1" t="s">
        <v>29</v>
      </c>
      <c r="P79" s="1" t="s">
        <v>39</v>
      </c>
      <c r="Q79" s="1" t="s">
        <v>23</v>
      </c>
      <c r="R79">
        <v>0.94071924041024135</v>
      </c>
    </row>
    <row r="80" spans="1:18" x14ac:dyDescent="0.2">
      <c r="A80" s="1">
        <v>121309</v>
      </c>
      <c r="B80" s="1" t="s">
        <v>136</v>
      </c>
      <c r="C80" s="1" t="s">
        <v>33</v>
      </c>
      <c r="D80" s="1">
        <v>0.83679999999999999</v>
      </c>
      <c r="E80" s="1">
        <v>3188</v>
      </c>
      <c r="F80" s="1">
        <v>46250</v>
      </c>
      <c r="G80" s="1">
        <v>0.77170000000000005</v>
      </c>
      <c r="H80" s="1">
        <v>0.85540000000000005</v>
      </c>
      <c r="I80" s="1">
        <v>0.21440000000000001</v>
      </c>
      <c r="J80" s="1">
        <v>63998</v>
      </c>
      <c r="K80" s="1">
        <v>22990</v>
      </c>
      <c r="L80" s="1">
        <v>11862</v>
      </c>
      <c r="M80" s="1">
        <v>13</v>
      </c>
      <c r="N80" s="1" t="s">
        <v>20</v>
      </c>
      <c r="O80" s="1" t="s">
        <v>29</v>
      </c>
      <c r="P80" s="1" t="s">
        <v>22</v>
      </c>
      <c r="Q80" s="1" t="s">
        <v>23</v>
      </c>
      <c r="R80">
        <v>0.9404528266056158</v>
      </c>
    </row>
    <row r="81" spans="1:18" x14ac:dyDescent="0.2">
      <c r="A81" s="1">
        <v>190044</v>
      </c>
      <c r="B81" s="1" t="s">
        <v>137</v>
      </c>
      <c r="C81" s="1" t="s">
        <v>58</v>
      </c>
      <c r="D81" s="1">
        <v>0.77359999999999995</v>
      </c>
      <c r="E81" s="1">
        <v>2196</v>
      </c>
      <c r="F81" s="1">
        <v>59398</v>
      </c>
      <c r="G81" s="1">
        <v>0.74909999999999999</v>
      </c>
      <c r="H81" s="1">
        <v>0.8478</v>
      </c>
      <c r="I81" s="1">
        <v>0.2157</v>
      </c>
      <c r="J81" s="1">
        <v>89696</v>
      </c>
      <c r="K81" s="1">
        <v>26000</v>
      </c>
      <c r="L81" s="1">
        <v>11357</v>
      </c>
      <c r="M81" s="1">
        <v>13</v>
      </c>
      <c r="N81" s="1" t="s">
        <v>20</v>
      </c>
      <c r="O81" s="1" t="s">
        <v>42</v>
      </c>
      <c r="P81" s="1" t="s">
        <v>39</v>
      </c>
      <c r="Q81" s="1" t="s">
        <v>23</v>
      </c>
      <c r="R81">
        <v>0.94041791598047919</v>
      </c>
    </row>
    <row r="82" spans="1:18" x14ac:dyDescent="0.2">
      <c r="A82" s="1">
        <v>213321</v>
      </c>
      <c r="B82" s="1" t="s">
        <v>138</v>
      </c>
      <c r="C82" s="1" t="s">
        <v>98</v>
      </c>
      <c r="D82" s="1">
        <v>0.93110000000000004</v>
      </c>
      <c r="E82" s="1">
        <v>1484</v>
      </c>
      <c r="F82" s="1">
        <v>44100</v>
      </c>
      <c r="G82" s="1">
        <v>0.59889999999999999</v>
      </c>
      <c r="H82" s="1">
        <v>0.75700000000000001</v>
      </c>
      <c r="I82" s="1">
        <v>0.30380000000000001</v>
      </c>
      <c r="J82" s="1">
        <v>59498</v>
      </c>
      <c r="K82" s="1">
        <v>27000</v>
      </c>
      <c r="L82" s="1">
        <v>8851</v>
      </c>
      <c r="M82" s="1">
        <v>13</v>
      </c>
      <c r="N82" s="1" t="s">
        <v>20</v>
      </c>
      <c r="O82" s="1" t="s">
        <v>29</v>
      </c>
      <c r="P82" s="1" t="s">
        <v>39</v>
      </c>
      <c r="Q82" s="1" t="s">
        <v>23</v>
      </c>
      <c r="R82">
        <v>0.94041134993059972</v>
      </c>
    </row>
    <row r="83" spans="1:18" x14ac:dyDescent="0.2">
      <c r="A83" s="1">
        <v>232423</v>
      </c>
      <c r="B83" s="1" t="s">
        <v>139</v>
      </c>
      <c r="C83" s="1" t="s">
        <v>52</v>
      </c>
      <c r="D83" s="1">
        <v>0.71519999999999995</v>
      </c>
      <c r="E83" s="1">
        <v>20888</v>
      </c>
      <c r="F83" s="1">
        <v>31604</v>
      </c>
      <c r="G83" s="1">
        <v>0.79720000000000002</v>
      </c>
      <c r="H83" s="1">
        <v>0.91979999999999995</v>
      </c>
      <c r="I83" s="1">
        <v>0.17119999999999999</v>
      </c>
      <c r="J83" s="1">
        <v>69954</v>
      </c>
      <c r="K83" s="1">
        <v>20093</v>
      </c>
      <c r="L83" s="1">
        <v>10916</v>
      </c>
      <c r="M83" s="1">
        <v>17</v>
      </c>
      <c r="N83" s="1" t="s">
        <v>28</v>
      </c>
      <c r="O83" s="1" t="s">
        <v>29</v>
      </c>
      <c r="P83" s="1" t="s">
        <v>30</v>
      </c>
      <c r="Q83" s="1" t="s">
        <v>23</v>
      </c>
      <c r="R83">
        <v>0.93992507756269106</v>
      </c>
    </row>
    <row r="84" spans="1:18" x14ac:dyDescent="0.2">
      <c r="A84" s="1">
        <v>174437</v>
      </c>
      <c r="B84" s="1" t="s">
        <v>140</v>
      </c>
      <c r="C84" s="1" t="s">
        <v>54</v>
      </c>
      <c r="D84" s="1">
        <v>0.98980000000000001</v>
      </c>
      <c r="E84" s="1">
        <v>709</v>
      </c>
      <c r="F84" s="1">
        <v>32220</v>
      </c>
      <c r="G84" s="1">
        <v>0.66339999999999999</v>
      </c>
      <c r="H84" s="1">
        <v>0.82210000000000005</v>
      </c>
      <c r="I84" s="1">
        <v>0.42559999999999998</v>
      </c>
      <c r="J84" s="1">
        <v>45064</v>
      </c>
      <c r="K84" s="1">
        <v>23200</v>
      </c>
      <c r="L84" s="1">
        <v>6701</v>
      </c>
      <c r="M84" s="1">
        <v>14</v>
      </c>
      <c r="N84" s="1" t="s">
        <v>20</v>
      </c>
      <c r="O84" s="1" t="s">
        <v>29</v>
      </c>
      <c r="P84" s="1" t="s">
        <v>22</v>
      </c>
      <c r="Q84" s="1" t="s">
        <v>31</v>
      </c>
      <c r="R84">
        <v>0.93942854360734152</v>
      </c>
    </row>
    <row r="85" spans="1:18" x14ac:dyDescent="0.2">
      <c r="A85" s="1">
        <v>466930</v>
      </c>
      <c r="B85" s="1" t="s">
        <v>141</v>
      </c>
      <c r="C85" s="1" t="s">
        <v>36</v>
      </c>
      <c r="D85" s="1">
        <v>0.8387</v>
      </c>
      <c r="E85" s="1">
        <v>2270</v>
      </c>
      <c r="F85" s="1">
        <v>20380</v>
      </c>
      <c r="G85" s="1">
        <v>0.25</v>
      </c>
      <c r="H85" s="1">
        <v>0.60870000000000002</v>
      </c>
      <c r="I85" s="1">
        <v>0.5373</v>
      </c>
      <c r="J85" s="1">
        <v>92405</v>
      </c>
      <c r="K85" s="1">
        <v>20919</v>
      </c>
      <c r="L85" s="1">
        <v>8197</v>
      </c>
      <c r="M85" s="1">
        <v>10</v>
      </c>
      <c r="N85" s="1" t="s">
        <v>142</v>
      </c>
      <c r="O85" s="1" t="s">
        <v>29</v>
      </c>
      <c r="P85" s="1" t="s">
        <v>30</v>
      </c>
      <c r="Q85" s="1" t="s">
        <v>23</v>
      </c>
      <c r="R85">
        <v>0.93879338436828452</v>
      </c>
    </row>
    <row r="86" spans="1:18" x14ac:dyDescent="0.2">
      <c r="A86" s="1">
        <v>202514</v>
      </c>
      <c r="B86" s="1" t="s">
        <v>143</v>
      </c>
      <c r="C86" s="1" t="s">
        <v>19</v>
      </c>
      <c r="D86" s="1">
        <v>0.47549999999999998</v>
      </c>
      <c r="E86" s="1">
        <v>499</v>
      </c>
      <c r="F86" s="1">
        <v>29320</v>
      </c>
      <c r="G86" s="1">
        <v>0.30570000000000003</v>
      </c>
      <c r="H86" s="1">
        <v>0.55649999999999999</v>
      </c>
      <c r="I86" s="1">
        <v>0.49780000000000002</v>
      </c>
      <c r="J86" s="1">
        <v>49351</v>
      </c>
      <c r="K86" s="1">
        <v>26813</v>
      </c>
      <c r="L86" s="1">
        <v>6646</v>
      </c>
      <c r="M86" s="1">
        <v>11</v>
      </c>
      <c r="N86" s="1" t="s">
        <v>20</v>
      </c>
      <c r="O86" s="1" t="s">
        <v>42</v>
      </c>
      <c r="P86" s="1" t="s">
        <v>22</v>
      </c>
      <c r="Q86" s="1" t="s">
        <v>31</v>
      </c>
      <c r="R86">
        <v>0.93669384446132786</v>
      </c>
    </row>
    <row r="87" spans="1:18" x14ac:dyDescent="0.2">
      <c r="A87" s="1">
        <v>147776</v>
      </c>
      <c r="B87" s="1" t="s">
        <v>144</v>
      </c>
      <c r="C87" s="1" t="s">
        <v>25</v>
      </c>
      <c r="D87" s="1">
        <v>0.746</v>
      </c>
      <c r="E87" s="1">
        <v>3982</v>
      </c>
      <c r="F87" s="1">
        <v>22726</v>
      </c>
      <c r="G87" s="1">
        <v>0.2165</v>
      </c>
      <c r="H87" s="1">
        <v>0.52329999999999999</v>
      </c>
      <c r="I87" s="1">
        <v>0.55669999999999997</v>
      </c>
      <c r="J87" s="1">
        <v>52234</v>
      </c>
      <c r="K87" s="1">
        <v>14600</v>
      </c>
      <c r="L87" s="1">
        <v>9265</v>
      </c>
      <c r="M87" s="1">
        <v>9</v>
      </c>
      <c r="N87" s="1" t="s">
        <v>28</v>
      </c>
      <c r="O87" s="1" t="s">
        <v>29</v>
      </c>
      <c r="P87" s="1" t="s">
        <v>22</v>
      </c>
      <c r="Q87" s="1" t="s">
        <v>23</v>
      </c>
      <c r="R87">
        <v>0.93658762488127034</v>
      </c>
    </row>
    <row r="88" spans="1:18" x14ac:dyDescent="0.2">
      <c r="A88" s="1">
        <v>196866</v>
      </c>
      <c r="B88" s="1" t="s">
        <v>145</v>
      </c>
      <c r="C88" s="1" t="s">
        <v>58</v>
      </c>
      <c r="D88" s="1">
        <v>0.43919999999999998</v>
      </c>
      <c r="E88" s="1">
        <v>2046</v>
      </c>
      <c r="F88" s="1">
        <v>69039</v>
      </c>
      <c r="G88" s="1">
        <v>0.80389999999999995</v>
      </c>
      <c r="H88" s="1">
        <v>0.90180000000000005</v>
      </c>
      <c r="I88" s="1">
        <v>0.14360000000000001</v>
      </c>
      <c r="J88" s="1">
        <v>88604</v>
      </c>
      <c r="K88" s="1">
        <v>25337</v>
      </c>
      <c r="L88" s="1">
        <v>12031</v>
      </c>
      <c r="M88" s="1">
        <v>9</v>
      </c>
      <c r="N88" s="1" t="s">
        <v>20</v>
      </c>
      <c r="O88" s="1" t="s">
        <v>29</v>
      </c>
      <c r="P88" s="1" t="s">
        <v>39</v>
      </c>
      <c r="Q88" s="1" t="s">
        <v>23</v>
      </c>
      <c r="R88">
        <v>0.93625730452908251</v>
      </c>
    </row>
    <row r="89" spans="1:18" x14ac:dyDescent="0.2">
      <c r="A89" s="1">
        <v>130493</v>
      </c>
      <c r="B89" s="1" t="s">
        <v>146</v>
      </c>
      <c r="C89" s="1" t="s">
        <v>147</v>
      </c>
      <c r="D89" s="1">
        <v>0.91469999999999996</v>
      </c>
      <c r="E89" s="1">
        <v>6295</v>
      </c>
      <c r="F89" s="1">
        <v>27378</v>
      </c>
      <c r="G89" s="1">
        <v>0.49930000000000002</v>
      </c>
      <c r="H89" s="1">
        <v>0.77869999999999995</v>
      </c>
      <c r="I89" s="1">
        <v>0.4083</v>
      </c>
      <c r="J89" s="1">
        <v>55043</v>
      </c>
      <c r="K89" s="1">
        <v>22250</v>
      </c>
      <c r="L89" s="1">
        <v>11216</v>
      </c>
      <c r="M89" s="1">
        <v>11</v>
      </c>
      <c r="N89" s="1" t="s">
        <v>28</v>
      </c>
      <c r="O89" s="1" t="s">
        <v>29</v>
      </c>
      <c r="P89" s="1" t="s">
        <v>39</v>
      </c>
      <c r="Q89" s="1" t="s">
        <v>23</v>
      </c>
      <c r="R89">
        <v>0.93614394943688073</v>
      </c>
    </row>
    <row r="90" spans="1:18" x14ac:dyDescent="0.2">
      <c r="A90" s="1">
        <v>153834</v>
      </c>
      <c r="B90" s="1" t="s">
        <v>148</v>
      </c>
      <c r="C90" s="1" t="s">
        <v>81</v>
      </c>
      <c r="D90" s="1">
        <v>0.71540000000000004</v>
      </c>
      <c r="E90" s="1">
        <v>1379</v>
      </c>
      <c r="F90" s="1">
        <v>52120</v>
      </c>
      <c r="G90" s="1">
        <v>0.71120000000000005</v>
      </c>
      <c r="H90" s="1">
        <v>0.76990000000000003</v>
      </c>
      <c r="I90" s="1">
        <v>0.2044</v>
      </c>
      <c r="J90" s="1">
        <v>59850</v>
      </c>
      <c r="K90" s="1">
        <v>27000</v>
      </c>
      <c r="L90" s="1">
        <v>8115</v>
      </c>
      <c r="M90" s="1">
        <v>9</v>
      </c>
      <c r="N90" s="1" t="s">
        <v>20</v>
      </c>
      <c r="O90" s="1" t="s">
        <v>42</v>
      </c>
      <c r="P90" s="1" t="s">
        <v>22</v>
      </c>
      <c r="Q90" s="1" t="s">
        <v>23</v>
      </c>
      <c r="R90">
        <v>0.93575223270717311</v>
      </c>
    </row>
    <row r="91" spans="1:18" x14ac:dyDescent="0.2">
      <c r="A91" s="1">
        <v>151333</v>
      </c>
      <c r="B91" s="1" t="s">
        <v>149</v>
      </c>
      <c r="C91" s="1" t="s">
        <v>102</v>
      </c>
      <c r="D91" s="1">
        <v>0.86480000000000001</v>
      </c>
      <c r="E91" s="1">
        <v>2352</v>
      </c>
      <c r="F91" s="1">
        <v>22811</v>
      </c>
      <c r="G91" s="1">
        <v>0.45610000000000001</v>
      </c>
      <c r="H91" s="1">
        <v>0.69340000000000002</v>
      </c>
      <c r="I91" s="1">
        <v>0.33400000000000002</v>
      </c>
      <c r="J91" s="1">
        <v>49917</v>
      </c>
      <c r="K91" s="1">
        <v>16961</v>
      </c>
      <c r="L91" s="1">
        <v>7243</v>
      </c>
      <c r="M91" s="1">
        <v>15</v>
      </c>
      <c r="N91" s="1" t="s">
        <v>28</v>
      </c>
      <c r="O91" s="1" t="s">
        <v>29</v>
      </c>
      <c r="P91" s="1" t="s">
        <v>22</v>
      </c>
      <c r="Q91" s="1" t="s">
        <v>31</v>
      </c>
      <c r="R91">
        <v>0.93493638633064058</v>
      </c>
    </row>
    <row r="92" spans="1:18" x14ac:dyDescent="0.2">
      <c r="A92" s="1">
        <v>165662</v>
      </c>
      <c r="B92" s="1" t="s">
        <v>150</v>
      </c>
      <c r="C92" s="1" t="s">
        <v>129</v>
      </c>
      <c r="D92" s="1">
        <v>0.5131</v>
      </c>
      <c r="E92" s="1">
        <v>3870</v>
      </c>
      <c r="F92" s="1">
        <v>57056</v>
      </c>
      <c r="G92" s="1">
        <v>0.77110000000000001</v>
      </c>
      <c r="H92" s="1">
        <v>0.87360000000000004</v>
      </c>
      <c r="I92" s="1">
        <v>0.15509999999999999</v>
      </c>
      <c r="J92" s="1">
        <v>62832</v>
      </c>
      <c r="K92" s="1">
        <v>23000</v>
      </c>
      <c r="L92" s="1">
        <v>11853</v>
      </c>
      <c r="M92" s="1">
        <v>14</v>
      </c>
      <c r="N92" s="1" t="s">
        <v>20</v>
      </c>
      <c r="O92" s="1" t="s">
        <v>29</v>
      </c>
      <c r="P92" s="1" t="s">
        <v>39</v>
      </c>
      <c r="Q92" s="1" t="s">
        <v>23</v>
      </c>
      <c r="R92">
        <v>0.93484012932837901</v>
      </c>
    </row>
    <row r="93" spans="1:18" x14ac:dyDescent="0.2">
      <c r="A93" s="1">
        <v>133881</v>
      </c>
      <c r="B93" s="1" t="s">
        <v>151</v>
      </c>
      <c r="C93" s="1" t="s">
        <v>27</v>
      </c>
      <c r="D93" s="1">
        <v>0.57699999999999996</v>
      </c>
      <c r="E93" s="1">
        <v>3404</v>
      </c>
      <c r="F93" s="1">
        <v>45900</v>
      </c>
      <c r="G93" s="1">
        <v>0.63539999999999996</v>
      </c>
      <c r="H93" s="1">
        <v>0.79949999999999999</v>
      </c>
      <c r="I93" s="1">
        <v>0.21110000000000001</v>
      </c>
      <c r="J93" s="1">
        <v>43137</v>
      </c>
      <c r="K93" s="1">
        <v>27000</v>
      </c>
      <c r="L93" s="1">
        <v>11366</v>
      </c>
      <c r="M93" s="1">
        <v>13</v>
      </c>
      <c r="N93" s="1" t="s">
        <v>20</v>
      </c>
      <c r="O93" s="1" t="s">
        <v>29</v>
      </c>
      <c r="P93" s="1" t="s">
        <v>30</v>
      </c>
      <c r="Q93" s="1" t="s">
        <v>31</v>
      </c>
      <c r="R93">
        <v>0.93356004159259198</v>
      </c>
    </row>
    <row r="94" spans="1:18" x14ac:dyDescent="0.2">
      <c r="A94" s="1">
        <v>456959</v>
      </c>
      <c r="B94" s="1" t="s">
        <v>152</v>
      </c>
      <c r="C94" s="1" t="s">
        <v>54</v>
      </c>
      <c r="D94" s="1">
        <v>0.71</v>
      </c>
      <c r="E94" s="1">
        <v>568</v>
      </c>
      <c r="F94" s="1">
        <v>15016</v>
      </c>
      <c r="G94" s="1">
        <v>0.57399999999999995</v>
      </c>
      <c r="H94" s="1">
        <v>0.70369999999999999</v>
      </c>
      <c r="I94" s="1">
        <v>0.36049999999999999</v>
      </c>
      <c r="J94" s="1">
        <v>69020</v>
      </c>
      <c r="K94" s="1">
        <v>19500</v>
      </c>
      <c r="L94" s="1">
        <v>8587</v>
      </c>
      <c r="M94" s="1">
        <v>13</v>
      </c>
      <c r="N94" s="1" t="s">
        <v>28</v>
      </c>
      <c r="O94" s="1" t="s">
        <v>29</v>
      </c>
      <c r="P94" s="1" t="s">
        <v>22</v>
      </c>
      <c r="Q94" s="1" t="s">
        <v>23</v>
      </c>
      <c r="R94">
        <v>0.93332534999287509</v>
      </c>
    </row>
    <row r="95" spans="1:18" x14ac:dyDescent="0.2">
      <c r="A95" s="1">
        <v>111948</v>
      </c>
      <c r="B95" s="1" t="s">
        <v>153</v>
      </c>
      <c r="C95" s="1" t="s">
        <v>33</v>
      </c>
      <c r="D95" s="1">
        <v>0.65429999999999999</v>
      </c>
      <c r="E95" s="1">
        <v>7478</v>
      </c>
      <c r="F95" s="1">
        <v>64984</v>
      </c>
      <c r="G95" s="1">
        <v>0.81879999999999997</v>
      </c>
      <c r="H95" s="1">
        <v>0.91810000000000003</v>
      </c>
      <c r="I95" s="1">
        <v>0.19389999999999999</v>
      </c>
      <c r="J95" s="1">
        <v>70070</v>
      </c>
      <c r="K95" s="1">
        <v>20500</v>
      </c>
      <c r="L95" s="1">
        <v>13611</v>
      </c>
      <c r="M95" s="1">
        <v>12</v>
      </c>
      <c r="N95" s="1" t="s">
        <v>20</v>
      </c>
      <c r="O95" s="1" t="s">
        <v>29</v>
      </c>
      <c r="P95" s="1" t="s">
        <v>22</v>
      </c>
      <c r="Q95" s="1" t="s">
        <v>23</v>
      </c>
      <c r="R95">
        <v>0.93173379369013687</v>
      </c>
    </row>
    <row r="96" spans="1:18" x14ac:dyDescent="0.2">
      <c r="A96" s="1">
        <v>217624</v>
      </c>
      <c r="B96" s="1" t="s">
        <v>154</v>
      </c>
      <c r="C96" s="1" t="s">
        <v>155</v>
      </c>
      <c r="D96" s="1">
        <v>0.72540000000000004</v>
      </c>
      <c r="E96" s="1">
        <v>576</v>
      </c>
      <c r="F96" s="1">
        <v>14304</v>
      </c>
      <c r="G96" s="1">
        <v>0.1331</v>
      </c>
      <c r="H96" s="1">
        <v>0.44969999999999999</v>
      </c>
      <c r="I96" s="1">
        <v>0.76539999999999997</v>
      </c>
      <c r="J96" s="1">
        <v>30497</v>
      </c>
      <c r="K96" s="1">
        <v>34290</v>
      </c>
      <c r="L96" s="1">
        <v>5502</v>
      </c>
      <c r="M96" s="1">
        <v>12</v>
      </c>
      <c r="N96" s="1" t="s">
        <v>20</v>
      </c>
      <c r="O96" s="1" t="s">
        <v>29</v>
      </c>
      <c r="P96" s="1" t="s">
        <v>30</v>
      </c>
      <c r="Q96" s="1" t="s">
        <v>31</v>
      </c>
      <c r="R96">
        <v>0.93050218605060764</v>
      </c>
    </row>
    <row r="97" spans="1:18" x14ac:dyDescent="0.2">
      <c r="A97" s="1">
        <v>144005</v>
      </c>
      <c r="B97" s="1" t="s">
        <v>156</v>
      </c>
      <c r="C97" s="1" t="s">
        <v>25</v>
      </c>
      <c r="D97" s="1">
        <v>0.43259999999999998</v>
      </c>
      <c r="E97" s="1">
        <v>1384</v>
      </c>
      <c r="F97" s="1">
        <v>12754</v>
      </c>
      <c r="G97" s="1">
        <v>0.15490000000000001</v>
      </c>
      <c r="H97" s="1">
        <v>0.57320000000000004</v>
      </c>
      <c r="I97" s="1">
        <v>0.5786</v>
      </c>
      <c r="J97" s="1">
        <v>42778</v>
      </c>
      <c r="K97" s="1">
        <v>30625</v>
      </c>
      <c r="L97" s="1">
        <v>8878</v>
      </c>
      <c r="M97" s="1">
        <v>9</v>
      </c>
      <c r="N97" s="1" t="s">
        <v>28</v>
      </c>
      <c r="O97" s="1" t="s">
        <v>29</v>
      </c>
      <c r="P97" s="1" t="s">
        <v>22</v>
      </c>
      <c r="Q97" s="1" t="s">
        <v>31</v>
      </c>
      <c r="R97">
        <v>0.93005335937758637</v>
      </c>
    </row>
    <row r="98" spans="1:18" x14ac:dyDescent="0.2">
      <c r="A98" s="1">
        <v>164447</v>
      </c>
      <c r="B98" s="1" t="s">
        <v>157</v>
      </c>
      <c r="C98" s="1" t="s">
        <v>129</v>
      </c>
      <c r="D98" s="1">
        <v>0.99570000000000003</v>
      </c>
      <c r="E98" s="1">
        <v>1017</v>
      </c>
      <c r="F98" s="1">
        <v>44230</v>
      </c>
      <c r="G98" s="1">
        <v>0.45910000000000001</v>
      </c>
      <c r="H98" s="1">
        <v>0.56730000000000003</v>
      </c>
      <c r="I98" s="1">
        <v>0.44800000000000001</v>
      </c>
      <c r="J98" s="1">
        <v>53124</v>
      </c>
      <c r="K98" s="1">
        <v>27000</v>
      </c>
      <c r="L98" s="1">
        <v>7628</v>
      </c>
      <c r="M98" s="1">
        <v>16</v>
      </c>
      <c r="N98" s="1" t="s">
        <v>20</v>
      </c>
      <c r="O98" s="1" t="s">
        <v>29</v>
      </c>
      <c r="P98" s="1" t="s">
        <v>39</v>
      </c>
      <c r="Q98" s="1" t="s">
        <v>23</v>
      </c>
      <c r="R98">
        <v>0.92797120424383939</v>
      </c>
    </row>
    <row r="99" spans="1:18" x14ac:dyDescent="0.2">
      <c r="A99" s="1">
        <v>175272</v>
      </c>
      <c r="B99" s="1" t="s">
        <v>158</v>
      </c>
      <c r="C99" s="1" t="s">
        <v>54</v>
      </c>
      <c r="D99" s="1">
        <v>0.75490000000000002</v>
      </c>
      <c r="E99" s="1">
        <v>5144</v>
      </c>
      <c r="F99" s="1">
        <v>17308</v>
      </c>
      <c r="G99" s="1">
        <v>0.56940000000000002</v>
      </c>
      <c r="H99" s="1">
        <v>0.79039999999999999</v>
      </c>
      <c r="I99" s="1">
        <v>0.2422</v>
      </c>
      <c r="J99" s="1">
        <v>58532</v>
      </c>
      <c r="K99" s="1">
        <v>21500</v>
      </c>
      <c r="L99" s="1">
        <v>10946</v>
      </c>
      <c r="M99" s="1">
        <v>14</v>
      </c>
      <c r="N99" s="1" t="s">
        <v>28</v>
      </c>
      <c r="O99" s="1" t="s">
        <v>42</v>
      </c>
      <c r="P99" s="1" t="s">
        <v>22</v>
      </c>
      <c r="Q99" s="1" t="s">
        <v>23</v>
      </c>
      <c r="R99">
        <v>0.92741274943092267</v>
      </c>
    </row>
    <row r="100" spans="1:18" x14ac:dyDescent="0.2">
      <c r="A100" s="1">
        <v>224527</v>
      </c>
      <c r="B100" s="1" t="s">
        <v>159</v>
      </c>
      <c r="C100" s="1" t="s">
        <v>36</v>
      </c>
      <c r="D100" s="1">
        <v>0.5776</v>
      </c>
      <c r="E100" s="1">
        <v>1352</v>
      </c>
      <c r="F100" s="1">
        <v>30680</v>
      </c>
      <c r="G100" s="1">
        <v>0.47120000000000001</v>
      </c>
      <c r="H100" s="1">
        <v>0.70840000000000003</v>
      </c>
      <c r="I100" s="1">
        <v>0.32190000000000002</v>
      </c>
      <c r="J100" s="1">
        <v>52788</v>
      </c>
      <c r="K100" s="1">
        <v>23250</v>
      </c>
      <c r="L100" s="1">
        <v>7437</v>
      </c>
      <c r="M100" s="1">
        <v>14</v>
      </c>
      <c r="N100" s="1" t="s">
        <v>20</v>
      </c>
      <c r="O100" s="1" t="s">
        <v>42</v>
      </c>
      <c r="P100" s="1" t="s">
        <v>30</v>
      </c>
      <c r="Q100" s="1" t="s">
        <v>23</v>
      </c>
      <c r="R100">
        <v>0.92656338639627511</v>
      </c>
    </row>
    <row r="101" spans="1:18" x14ac:dyDescent="0.2">
      <c r="A101" s="1">
        <v>127060</v>
      </c>
      <c r="B101" s="1" t="s">
        <v>160</v>
      </c>
      <c r="C101" s="1" t="s">
        <v>161</v>
      </c>
      <c r="D101" s="1">
        <v>0.77810000000000001</v>
      </c>
      <c r="E101" s="1">
        <v>6025</v>
      </c>
      <c r="F101" s="1">
        <v>61398</v>
      </c>
      <c r="G101" s="1">
        <v>0.75600000000000001</v>
      </c>
      <c r="H101" s="1">
        <v>0.88939999999999997</v>
      </c>
      <c r="I101" s="1">
        <v>0.14249999999999999</v>
      </c>
      <c r="J101" s="1">
        <v>71155</v>
      </c>
      <c r="K101" s="1">
        <v>21844</v>
      </c>
      <c r="L101" s="1">
        <v>13010</v>
      </c>
      <c r="M101" s="1">
        <v>9</v>
      </c>
      <c r="N101" s="1" t="s">
        <v>20</v>
      </c>
      <c r="O101" s="1" t="s">
        <v>29</v>
      </c>
      <c r="P101" s="1" t="s">
        <v>22</v>
      </c>
      <c r="Q101" s="1" t="s">
        <v>23</v>
      </c>
      <c r="R101">
        <v>0.92531885301296357</v>
      </c>
    </row>
    <row r="102" spans="1:18" x14ac:dyDescent="0.2">
      <c r="A102" s="1">
        <v>220516</v>
      </c>
      <c r="B102" s="1" t="s">
        <v>162</v>
      </c>
      <c r="C102" s="1" t="s">
        <v>163</v>
      </c>
      <c r="D102" s="1">
        <v>0.99719999999999998</v>
      </c>
      <c r="E102" s="1">
        <v>908</v>
      </c>
      <c r="F102" s="1">
        <v>36194</v>
      </c>
      <c r="G102" s="1">
        <v>0.47870000000000001</v>
      </c>
      <c r="H102" s="1">
        <v>0.60119999999999996</v>
      </c>
      <c r="I102" s="1">
        <v>0.41639999999999999</v>
      </c>
      <c r="J102" s="1">
        <v>59831</v>
      </c>
      <c r="K102" s="1">
        <v>22750</v>
      </c>
      <c r="L102" s="1">
        <v>5235</v>
      </c>
      <c r="M102" s="1">
        <v>11</v>
      </c>
      <c r="N102" s="1" t="s">
        <v>20</v>
      </c>
      <c r="O102" s="1" t="s">
        <v>29</v>
      </c>
      <c r="P102" s="1" t="s">
        <v>30</v>
      </c>
      <c r="Q102" s="1" t="s">
        <v>23</v>
      </c>
      <c r="R102">
        <v>0.92469137767039877</v>
      </c>
    </row>
    <row r="103" spans="1:18" x14ac:dyDescent="0.2">
      <c r="A103" s="1">
        <v>139959</v>
      </c>
      <c r="B103" s="1" t="s">
        <v>164</v>
      </c>
      <c r="C103" s="1" t="s">
        <v>126</v>
      </c>
      <c r="D103" s="1">
        <v>0.377</v>
      </c>
      <c r="E103" s="1">
        <v>32137</v>
      </c>
      <c r="F103" s="1">
        <v>31688</v>
      </c>
      <c r="G103" s="1">
        <v>0.89690000000000003</v>
      </c>
      <c r="H103" s="1">
        <v>0.94040000000000001</v>
      </c>
      <c r="I103" s="1">
        <v>0.16750000000000001</v>
      </c>
      <c r="J103" s="1">
        <v>68726</v>
      </c>
      <c r="K103" s="1">
        <v>18500</v>
      </c>
      <c r="L103" s="1">
        <v>12879</v>
      </c>
      <c r="M103" s="1">
        <v>17</v>
      </c>
      <c r="N103" s="1" t="s">
        <v>28</v>
      </c>
      <c r="O103" s="1" t="s">
        <v>29</v>
      </c>
      <c r="P103" s="1" t="s">
        <v>30</v>
      </c>
      <c r="Q103" s="1" t="s">
        <v>23</v>
      </c>
      <c r="R103">
        <v>0.92404468752836588</v>
      </c>
    </row>
    <row r="104" spans="1:18" x14ac:dyDescent="0.2">
      <c r="A104" s="1">
        <v>159939</v>
      </c>
      <c r="B104" s="1" t="s">
        <v>165</v>
      </c>
      <c r="C104" s="1" t="s">
        <v>46</v>
      </c>
      <c r="D104" s="1">
        <v>0.74309999999999998</v>
      </c>
      <c r="E104" s="1">
        <v>4638</v>
      </c>
      <c r="F104" s="1">
        <v>14008</v>
      </c>
      <c r="G104" s="1">
        <v>0.37990000000000002</v>
      </c>
      <c r="H104" s="1">
        <v>0.66790000000000005</v>
      </c>
      <c r="I104" s="1">
        <v>0.39119999999999999</v>
      </c>
      <c r="J104" s="1">
        <v>47872</v>
      </c>
      <c r="K104" s="1">
        <v>18750</v>
      </c>
      <c r="L104" s="1">
        <v>9208</v>
      </c>
      <c r="M104" s="1">
        <v>19</v>
      </c>
      <c r="N104" s="1" t="s">
        <v>28</v>
      </c>
      <c r="O104" s="1" t="s">
        <v>29</v>
      </c>
      <c r="P104" s="1" t="s">
        <v>30</v>
      </c>
      <c r="Q104" s="1" t="s">
        <v>31</v>
      </c>
      <c r="R104">
        <v>0.92260969538597104</v>
      </c>
    </row>
    <row r="105" spans="1:18" x14ac:dyDescent="0.2">
      <c r="A105" s="1">
        <v>220978</v>
      </c>
      <c r="B105" s="1" t="s">
        <v>166</v>
      </c>
      <c r="C105" s="1" t="s">
        <v>163</v>
      </c>
      <c r="D105" s="1">
        <v>0.69089999999999996</v>
      </c>
      <c r="E105" s="1">
        <v>16301</v>
      </c>
      <c r="F105" s="1">
        <v>31574</v>
      </c>
      <c r="G105" s="1">
        <v>0.53700000000000003</v>
      </c>
      <c r="H105" s="1">
        <v>0.79520000000000002</v>
      </c>
      <c r="I105" s="1">
        <v>0.31769999999999998</v>
      </c>
      <c r="J105" s="1">
        <v>48541</v>
      </c>
      <c r="K105" s="1">
        <v>20000</v>
      </c>
      <c r="L105" s="1">
        <v>9739</v>
      </c>
      <c r="M105" s="1">
        <v>17</v>
      </c>
      <c r="N105" s="1" t="s">
        <v>28</v>
      </c>
      <c r="O105" s="1" t="s">
        <v>29</v>
      </c>
      <c r="P105" s="1" t="s">
        <v>30</v>
      </c>
      <c r="Q105" s="1" t="s">
        <v>31</v>
      </c>
      <c r="R105">
        <v>0.9208644993555587</v>
      </c>
    </row>
    <row r="106" spans="1:18" x14ac:dyDescent="0.2">
      <c r="A106" s="1">
        <v>110574</v>
      </c>
      <c r="B106" s="1" t="s">
        <v>167</v>
      </c>
      <c r="C106" s="1" t="s">
        <v>33</v>
      </c>
      <c r="D106" s="1">
        <v>0.97389999999999999</v>
      </c>
      <c r="E106" s="1">
        <v>9809</v>
      </c>
      <c r="F106" s="1">
        <v>20183</v>
      </c>
      <c r="G106" s="1">
        <v>0.47949999999999998</v>
      </c>
      <c r="H106" s="1">
        <v>0.75690000000000002</v>
      </c>
      <c r="I106" s="1">
        <v>0.44400000000000001</v>
      </c>
      <c r="J106" s="1">
        <v>71401</v>
      </c>
      <c r="K106" s="1">
        <v>16544</v>
      </c>
      <c r="L106" s="1">
        <v>12805</v>
      </c>
      <c r="M106" s="1">
        <v>22</v>
      </c>
      <c r="N106" s="1" t="s">
        <v>28</v>
      </c>
      <c r="O106" s="1" t="s">
        <v>21</v>
      </c>
      <c r="P106" s="1" t="s">
        <v>22</v>
      </c>
      <c r="Q106" s="1" t="s">
        <v>23</v>
      </c>
      <c r="R106">
        <v>0.92084546414666912</v>
      </c>
    </row>
    <row r="107" spans="1:18" x14ac:dyDescent="0.2">
      <c r="A107" s="1">
        <v>175342</v>
      </c>
      <c r="B107" s="1" t="s">
        <v>168</v>
      </c>
      <c r="C107" s="1" t="s">
        <v>169</v>
      </c>
      <c r="D107" s="1">
        <v>0.45329999999999998</v>
      </c>
      <c r="E107" s="1">
        <v>2363</v>
      </c>
      <c r="F107" s="1">
        <v>8785</v>
      </c>
      <c r="G107" s="1">
        <v>0.5736</v>
      </c>
      <c r="H107" s="1">
        <v>0.76649999999999996</v>
      </c>
      <c r="I107" s="1">
        <v>0.69779999999999998</v>
      </c>
      <c r="J107" s="1">
        <v>36421</v>
      </c>
      <c r="K107" s="1">
        <v>27000</v>
      </c>
      <c r="L107" s="1">
        <v>7235</v>
      </c>
      <c r="M107" s="1">
        <v>16</v>
      </c>
      <c r="N107" s="1" t="s">
        <v>28</v>
      </c>
      <c r="O107" s="1" t="s">
        <v>42</v>
      </c>
      <c r="P107" s="1" t="s">
        <v>30</v>
      </c>
      <c r="Q107" s="1" t="s">
        <v>31</v>
      </c>
      <c r="R107">
        <v>0.91985100432357347</v>
      </c>
    </row>
    <row r="108" spans="1:18" x14ac:dyDescent="0.2">
      <c r="A108" s="1">
        <v>377564</v>
      </c>
      <c r="B108" s="1" t="s">
        <v>170</v>
      </c>
      <c r="C108" s="1" t="s">
        <v>171</v>
      </c>
      <c r="D108" s="1">
        <v>0.82520000000000004</v>
      </c>
      <c r="E108" s="1">
        <v>4185</v>
      </c>
      <c r="F108" s="1">
        <v>43404</v>
      </c>
      <c r="G108" s="1">
        <v>0.63239999999999996</v>
      </c>
      <c r="H108" s="1">
        <v>0.79969999999999997</v>
      </c>
      <c r="I108" s="1">
        <v>0.39660000000000001</v>
      </c>
      <c r="J108" s="1">
        <v>78466</v>
      </c>
      <c r="K108" s="1">
        <v>14615</v>
      </c>
      <c r="L108" s="1">
        <v>12135</v>
      </c>
      <c r="M108" s="1">
        <v>15</v>
      </c>
      <c r="N108" s="1" t="s">
        <v>28</v>
      </c>
      <c r="O108" s="1" t="s">
        <v>29</v>
      </c>
      <c r="P108" s="1" t="s">
        <v>22</v>
      </c>
      <c r="Q108" s="1" t="s">
        <v>23</v>
      </c>
      <c r="R108">
        <v>0.9193401489227051</v>
      </c>
    </row>
    <row r="109" spans="1:18" x14ac:dyDescent="0.2">
      <c r="A109" s="1">
        <v>121257</v>
      </c>
      <c r="B109" s="1" t="s">
        <v>172</v>
      </c>
      <c r="C109" s="1" t="s">
        <v>33</v>
      </c>
      <c r="D109" s="1">
        <v>0.25159999999999999</v>
      </c>
      <c r="E109" s="1">
        <v>1227</v>
      </c>
      <c r="F109" s="1">
        <v>65192</v>
      </c>
      <c r="G109" s="1">
        <v>0.83389999999999997</v>
      </c>
      <c r="H109" s="1">
        <v>0.93799999999999994</v>
      </c>
      <c r="I109" s="1">
        <v>0.1055</v>
      </c>
      <c r="J109" s="1">
        <v>69512</v>
      </c>
      <c r="K109" s="1">
        <v>16750</v>
      </c>
      <c r="L109" s="1">
        <v>12503</v>
      </c>
      <c r="M109" s="1">
        <v>10</v>
      </c>
      <c r="N109" s="1" t="s">
        <v>20</v>
      </c>
      <c r="O109" s="1" t="s">
        <v>21</v>
      </c>
      <c r="P109" s="1" t="s">
        <v>22</v>
      </c>
      <c r="Q109" s="1" t="s">
        <v>23</v>
      </c>
      <c r="R109">
        <v>0.91836815174915831</v>
      </c>
    </row>
    <row r="110" spans="1:18" x14ac:dyDescent="0.2">
      <c r="A110" s="1">
        <v>110705</v>
      </c>
      <c r="B110" s="1" t="s">
        <v>173</v>
      </c>
      <c r="C110" s="1" t="s">
        <v>33</v>
      </c>
      <c r="D110" s="1">
        <v>0.32969999999999999</v>
      </c>
      <c r="E110" s="1">
        <v>23113</v>
      </c>
      <c r="F110" s="1">
        <v>50614</v>
      </c>
      <c r="G110" s="1">
        <v>0.83030000000000004</v>
      </c>
      <c r="H110" s="1">
        <v>0.93</v>
      </c>
      <c r="I110" s="1">
        <v>0.27850000000000003</v>
      </c>
      <c r="J110" s="1">
        <v>74915</v>
      </c>
      <c r="K110" s="1">
        <v>13993</v>
      </c>
      <c r="L110" s="1">
        <v>20677</v>
      </c>
      <c r="M110" s="1">
        <v>17</v>
      </c>
      <c r="N110" s="1" t="s">
        <v>28</v>
      </c>
      <c r="O110" s="1" t="s">
        <v>21</v>
      </c>
      <c r="P110" s="1" t="s">
        <v>22</v>
      </c>
      <c r="Q110" s="1" t="s">
        <v>23</v>
      </c>
      <c r="R110">
        <v>0.91830475822223934</v>
      </c>
    </row>
    <row r="111" spans="1:18" x14ac:dyDescent="0.2">
      <c r="A111" s="1">
        <v>228501</v>
      </c>
      <c r="B111" s="1" t="s">
        <v>174</v>
      </c>
      <c r="C111" s="1" t="s">
        <v>36</v>
      </c>
      <c r="D111" s="1">
        <v>0.98709999999999998</v>
      </c>
      <c r="E111" s="1">
        <v>1396</v>
      </c>
      <c r="F111" s="1">
        <v>17672</v>
      </c>
      <c r="G111" s="1">
        <v>0.2994</v>
      </c>
      <c r="H111" s="1">
        <v>0.4491</v>
      </c>
      <c r="I111" s="1">
        <v>0.57740000000000002</v>
      </c>
      <c r="J111" s="1">
        <v>41871</v>
      </c>
      <c r="K111" s="1">
        <v>15900</v>
      </c>
      <c r="L111" s="1">
        <v>7971</v>
      </c>
      <c r="M111" s="1">
        <v>11</v>
      </c>
      <c r="N111" s="1" t="s">
        <v>28</v>
      </c>
      <c r="O111" s="1" t="s">
        <v>42</v>
      </c>
      <c r="P111" s="1" t="s">
        <v>30</v>
      </c>
      <c r="Q111" s="1" t="s">
        <v>31</v>
      </c>
      <c r="R111">
        <v>0.91757096123270909</v>
      </c>
    </row>
    <row r="112" spans="1:18" x14ac:dyDescent="0.2">
      <c r="A112" s="1">
        <v>125727</v>
      </c>
      <c r="B112" s="1" t="s">
        <v>175</v>
      </c>
      <c r="C112" s="1" t="s">
        <v>33</v>
      </c>
      <c r="D112" s="1">
        <v>0.77049999999999996</v>
      </c>
      <c r="E112" s="1">
        <v>1302</v>
      </c>
      <c r="F112" s="1">
        <v>53584</v>
      </c>
      <c r="G112" s="1">
        <v>0.70350000000000001</v>
      </c>
      <c r="H112" s="1">
        <v>0.85</v>
      </c>
      <c r="I112" s="1">
        <v>0.20030000000000001</v>
      </c>
      <c r="J112" s="1">
        <v>64778</v>
      </c>
      <c r="K112" s="1">
        <v>23250</v>
      </c>
      <c r="L112" s="1">
        <v>10166</v>
      </c>
      <c r="M112" s="1">
        <v>10</v>
      </c>
      <c r="N112" s="1" t="s">
        <v>20</v>
      </c>
      <c r="O112" s="1" t="s">
        <v>21</v>
      </c>
      <c r="P112" s="1" t="s">
        <v>22</v>
      </c>
      <c r="Q112" s="1" t="s">
        <v>23</v>
      </c>
      <c r="R112">
        <v>0.91656586154629283</v>
      </c>
    </row>
    <row r="113" spans="1:18" x14ac:dyDescent="0.2">
      <c r="A113" s="1">
        <v>101189</v>
      </c>
      <c r="B113" s="1" t="s">
        <v>176</v>
      </c>
      <c r="C113" s="1" t="s">
        <v>177</v>
      </c>
      <c r="D113" s="1">
        <v>0.73070000000000002</v>
      </c>
      <c r="E113" s="1">
        <v>1549</v>
      </c>
      <c r="F113" s="1">
        <v>23920</v>
      </c>
      <c r="G113" s="1">
        <v>0.374</v>
      </c>
      <c r="H113" s="1">
        <v>0.64470000000000005</v>
      </c>
      <c r="I113" s="1">
        <v>0.45619999999999999</v>
      </c>
      <c r="J113" s="1">
        <v>43457</v>
      </c>
      <c r="K113" s="1">
        <v>23000</v>
      </c>
      <c r="L113" s="1">
        <v>7049</v>
      </c>
      <c r="M113" s="1">
        <v>14</v>
      </c>
      <c r="N113" s="1" t="s">
        <v>20</v>
      </c>
      <c r="O113" s="1" t="s">
        <v>29</v>
      </c>
      <c r="P113" s="1" t="s">
        <v>30</v>
      </c>
      <c r="Q113" s="1" t="s">
        <v>31</v>
      </c>
      <c r="R113">
        <v>0.91535352355521282</v>
      </c>
    </row>
    <row r="114" spans="1:18" x14ac:dyDescent="0.2">
      <c r="A114" s="1">
        <v>215293</v>
      </c>
      <c r="B114" s="1" t="s">
        <v>178</v>
      </c>
      <c r="C114" s="1" t="s">
        <v>98</v>
      </c>
      <c r="D114" s="1">
        <v>0.58079999999999998</v>
      </c>
      <c r="E114" s="1">
        <v>20370</v>
      </c>
      <c r="F114" s="1">
        <v>41430</v>
      </c>
      <c r="G114" s="1">
        <v>0.85499999999999998</v>
      </c>
      <c r="H114" s="1">
        <v>0.91990000000000005</v>
      </c>
      <c r="I114" s="1">
        <v>0.13980000000000001</v>
      </c>
      <c r="J114" s="1">
        <v>66125</v>
      </c>
      <c r="K114" s="1">
        <v>24250</v>
      </c>
      <c r="L114" s="1">
        <v>12140</v>
      </c>
      <c r="M114" s="1">
        <v>13</v>
      </c>
      <c r="N114" s="1" t="s">
        <v>28</v>
      </c>
      <c r="O114" s="1" t="s">
        <v>29</v>
      </c>
      <c r="P114" s="1" t="s">
        <v>39</v>
      </c>
      <c r="Q114" s="1" t="s">
        <v>23</v>
      </c>
      <c r="R114">
        <v>0.91447304651832584</v>
      </c>
    </row>
    <row r="115" spans="1:18" x14ac:dyDescent="0.2">
      <c r="A115" s="1">
        <v>151111</v>
      </c>
      <c r="B115" s="1" t="s">
        <v>179</v>
      </c>
      <c r="C115" s="1" t="s">
        <v>102</v>
      </c>
      <c r="D115" s="1">
        <v>0.76370000000000005</v>
      </c>
      <c r="E115" s="1">
        <v>13830</v>
      </c>
      <c r="F115" s="1">
        <v>34891</v>
      </c>
      <c r="G115" s="1">
        <v>0.54449999999999998</v>
      </c>
      <c r="H115" s="1">
        <v>0.72189999999999999</v>
      </c>
      <c r="I115" s="1">
        <v>0.373</v>
      </c>
      <c r="J115" s="1">
        <v>55198</v>
      </c>
      <c r="K115" s="1">
        <v>20000</v>
      </c>
      <c r="L115" s="1">
        <v>9620</v>
      </c>
      <c r="M115" s="1">
        <v>13</v>
      </c>
      <c r="N115" s="1" t="s">
        <v>28</v>
      </c>
      <c r="O115" s="1" t="s">
        <v>29</v>
      </c>
      <c r="P115" s="1" t="s">
        <v>22</v>
      </c>
      <c r="Q115" s="1" t="s">
        <v>23</v>
      </c>
      <c r="R115">
        <v>0.91434199333737753</v>
      </c>
    </row>
    <row r="116" spans="1:18" x14ac:dyDescent="0.2">
      <c r="A116" s="1">
        <v>151777</v>
      </c>
      <c r="B116" s="1" t="s">
        <v>180</v>
      </c>
      <c r="C116" s="1" t="s">
        <v>102</v>
      </c>
      <c r="D116" s="1">
        <v>0.71060000000000001</v>
      </c>
      <c r="E116" s="1">
        <v>936</v>
      </c>
      <c r="F116" s="1">
        <v>37135</v>
      </c>
      <c r="G116" s="1">
        <v>0.46079999999999999</v>
      </c>
      <c r="H116" s="1">
        <v>0.66320000000000001</v>
      </c>
      <c r="I116" s="1">
        <v>0.44700000000000001</v>
      </c>
      <c r="J116" s="1">
        <v>51504</v>
      </c>
      <c r="K116" s="1">
        <v>26854</v>
      </c>
      <c r="L116" s="1">
        <v>8154</v>
      </c>
      <c r="M116" s="1">
        <v>12</v>
      </c>
      <c r="N116" s="1" t="s">
        <v>20</v>
      </c>
      <c r="O116" s="1" t="s">
        <v>42</v>
      </c>
      <c r="P116" s="1" t="s">
        <v>22</v>
      </c>
      <c r="Q116" s="1" t="s">
        <v>23</v>
      </c>
      <c r="R116">
        <v>0.91403582378522175</v>
      </c>
    </row>
    <row r="117" spans="1:18" x14ac:dyDescent="0.2">
      <c r="A117" s="1">
        <v>240444</v>
      </c>
      <c r="B117" s="1" t="s">
        <v>181</v>
      </c>
      <c r="C117" s="1" t="s">
        <v>50</v>
      </c>
      <c r="D117" s="1">
        <v>0.45200000000000001</v>
      </c>
      <c r="E117" s="1">
        <v>36902</v>
      </c>
      <c r="F117" s="1">
        <v>42103</v>
      </c>
      <c r="G117" s="1">
        <v>0.89549999999999996</v>
      </c>
      <c r="H117" s="1">
        <v>0.96160000000000001</v>
      </c>
      <c r="I117" s="1">
        <v>0.15939999999999999</v>
      </c>
      <c r="J117" s="1">
        <v>73792</v>
      </c>
      <c r="K117" s="1">
        <v>20484</v>
      </c>
      <c r="L117" s="1">
        <v>15643</v>
      </c>
      <c r="M117" s="1">
        <v>18</v>
      </c>
      <c r="N117" s="1" t="s">
        <v>28</v>
      </c>
      <c r="O117" s="1" t="s">
        <v>29</v>
      </c>
      <c r="P117" s="1" t="s">
        <v>22</v>
      </c>
      <c r="Q117" s="1" t="s">
        <v>23</v>
      </c>
      <c r="R117">
        <v>0.91270700735460308</v>
      </c>
    </row>
    <row r="118" spans="1:18" x14ac:dyDescent="0.2">
      <c r="A118" s="1">
        <v>159416</v>
      </c>
      <c r="B118" s="1" t="s">
        <v>182</v>
      </c>
      <c r="C118" s="1" t="s">
        <v>46</v>
      </c>
      <c r="D118" s="1">
        <v>0.50549999999999995</v>
      </c>
      <c r="E118" s="1">
        <v>2153</v>
      </c>
      <c r="F118" s="1">
        <v>7518</v>
      </c>
      <c r="G118" s="1">
        <v>0.37540000000000001</v>
      </c>
      <c r="H118" s="1">
        <v>0.83150000000000002</v>
      </c>
      <c r="I118" s="1">
        <v>0.38619999999999999</v>
      </c>
      <c r="J118" s="1">
        <v>47477</v>
      </c>
      <c r="K118" s="1">
        <v>22500</v>
      </c>
      <c r="L118" s="1">
        <v>9562</v>
      </c>
      <c r="M118" s="1">
        <v>30</v>
      </c>
      <c r="N118" s="1" t="s">
        <v>28</v>
      </c>
      <c r="O118" s="1" t="s">
        <v>29</v>
      </c>
      <c r="P118" s="1" t="s">
        <v>30</v>
      </c>
      <c r="Q118" s="1" t="s">
        <v>31</v>
      </c>
      <c r="R118">
        <v>0.91245715614195033</v>
      </c>
    </row>
    <row r="119" spans="1:18" x14ac:dyDescent="0.2">
      <c r="A119" s="1">
        <v>200800</v>
      </c>
      <c r="B119" s="1" t="s">
        <v>183</v>
      </c>
      <c r="C119" s="1" t="s">
        <v>19</v>
      </c>
      <c r="D119" s="1">
        <v>0.59670000000000001</v>
      </c>
      <c r="E119" s="1">
        <v>9052</v>
      </c>
      <c r="F119" s="1">
        <v>20815</v>
      </c>
      <c r="G119" s="1">
        <v>0.51859999999999995</v>
      </c>
      <c r="H119" s="1">
        <v>0.7298</v>
      </c>
      <c r="I119" s="1">
        <v>0.29099999999999998</v>
      </c>
      <c r="J119" s="1">
        <v>46600</v>
      </c>
      <c r="K119" s="1">
        <v>23250</v>
      </c>
      <c r="L119" s="1">
        <v>10255</v>
      </c>
      <c r="M119" s="1">
        <v>17</v>
      </c>
      <c r="N119" s="1" t="s">
        <v>28</v>
      </c>
      <c r="O119" s="1" t="s">
        <v>29</v>
      </c>
      <c r="P119" s="1" t="s">
        <v>22</v>
      </c>
      <c r="Q119" s="1" t="s">
        <v>31</v>
      </c>
      <c r="R119">
        <v>0.91178158856251024</v>
      </c>
    </row>
    <row r="120" spans="1:18" x14ac:dyDescent="0.2">
      <c r="A120" s="1">
        <v>180595</v>
      </c>
      <c r="B120" s="1" t="s">
        <v>184</v>
      </c>
      <c r="C120" s="1" t="s">
        <v>95</v>
      </c>
      <c r="D120" s="1">
        <v>0.69610000000000005</v>
      </c>
      <c r="E120" s="1">
        <v>840</v>
      </c>
      <c r="F120" s="1">
        <v>35582</v>
      </c>
      <c r="G120" s="1">
        <v>0.48409999999999997</v>
      </c>
      <c r="H120" s="1">
        <v>0.6905</v>
      </c>
      <c r="I120" s="1">
        <v>0.31109999999999999</v>
      </c>
      <c r="J120" s="1">
        <v>49036</v>
      </c>
      <c r="K120" s="1">
        <v>26000</v>
      </c>
      <c r="L120" s="1">
        <v>6957</v>
      </c>
      <c r="M120" s="1">
        <v>14</v>
      </c>
      <c r="N120" s="1" t="s">
        <v>20</v>
      </c>
      <c r="O120" s="1" t="s">
        <v>29</v>
      </c>
      <c r="P120" s="1" t="s">
        <v>22</v>
      </c>
      <c r="Q120" s="1" t="s">
        <v>31</v>
      </c>
      <c r="R120">
        <v>0.91158954116882063</v>
      </c>
    </row>
    <row r="121" spans="1:18" x14ac:dyDescent="0.2">
      <c r="A121" s="1">
        <v>195304</v>
      </c>
      <c r="B121" s="1" t="s">
        <v>185</v>
      </c>
      <c r="C121" s="1" t="s">
        <v>58</v>
      </c>
      <c r="D121" s="1">
        <v>0.61729999999999996</v>
      </c>
      <c r="E121" s="1">
        <v>1530</v>
      </c>
      <c r="F121" s="1">
        <v>66862</v>
      </c>
      <c r="G121" s="1">
        <v>0.71330000000000005</v>
      </c>
      <c r="H121" s="1">
        <v>0.87350000000000005</v>
      </c>
      <c r="I121" s="1">
        <v>0.1183</v>
      </c>
      <c r="J121" s="1">
        <v>53603</v>
      </c>
      <c r="K121" s="1">
        <v>27000</v>
      </c>
      <c r="L121" s="1">
        <v>11235</v>
      </c>
      <c r="M121" s="1">
        <v>10</v>
      </c>
      <c r="N121" s="1" t="s">
        <v>20</v>
      </c>
      <c r="O121" s="1" t="s">
        <v>21</v>
      </c>
      <c r="P121" s="1" t="s">
        <v>39</v>
      </c>
      <c r="Q121" s="1" t="s">
        <v>23</v>
      </c>
      <c r="R121">
        <v>0.91125399694548015</v>
      </c>
    </row>
    <row r="122" spans="1:18" x14ac:dyDescent="0.2">
      <c r="A122" s="1">
        <v>177339</v>
      </c>
      <c r="B122" s="1" t="s">
        <v>186</v>
      </c>
      <c r="C122" s="1" t="s">
        <v>77</v>
      </c>
      <c r="D122" s="1">
        <v>0.71609999999999996</v>
      </c>
      <c r="E122" s="1">
        <v>1229</v>
      </c>
      <c r="F122" s="1">
        <v>28548</v>
      </c>
      <c r="G122" s="1">
        <v>0.65029999999999999</v>
      </c>
      <c r="H122" s="1">
        <v>0.76359999999999995</v>
      </c>
      <c r="I122" s="1">
        <v>0.3125</v>
      </c>
      <c r="J122" s="1">
        <v>46573</v>
      </c>
      <c r="K122" s="1">
        <v>24736</v>
      </c>
      <c r="L122" s="1">
        <v>5330</v>
      </c>
      <c r="M122" s="1">
        <v>15</v>
      </c>
      <c r="N122" s="1" t="s">
        <v>20</v>
      </c>
      <c r="O122" s="1" t="s">
        <v>29</v>
      </c>
      <c r="P122" s="1" t="s">
        <v>22</v>
      </c>
      <c r="Q122" s="1" t="s">
        <v>31</v>
      </c>
      <c r="R122">
        <v>0.91054289281608225</v>
      </c>
    </row>
    <row r="123" spans="1:18" x14ac:dyDescent="0.2">
      <c r="A123" s="1">
        <v>214041</v>
      </c>
      <c r="B123" s="1" t="s">
        <v>187</v>
      </c>
      <c r="C123" s="1" t="s">
        <v>98</v>
      </c>
      <c r="D123" s="1">
        <v>0.8619</v>
      </c>
      <c r="E123" s="1">
        <v>5728</v>
      </c>
      <c r="F123" s="1">
        <v>22952</v>
      </c>
      <c r="G123" s="1">
        <v>0.57630000000000003</v>
      </c>
      <c r="H123" s="1">
        <v>0.77110000000000001</v>
      </c>
      <c r="I123" s="1">
        <v>0.27310000000000001</v>
      </c>
      <c r="J123" s="1">
        <v>55246</v>
      </c>
      <c r="K123" s="1">
        <v>23507</v>
      </c>
      <c r="L123" s="1">
        <v>11531</v>
      </c>
      <c r="M123" s="1">
        <v>19</v>
      </c>
      <c r="N123" s="1" t="s">
        <v>28</v>
      </c>
      <c r="O123" s="1" t="s">
        <v>21</v>
      </c>
      <c r="P123" s="1" t="s">
        <v>39</v>
      </c>
      <c r="Q123" s="1" t="s">
        <v>23</v>
      </c>
      <c r="R123">
        <v>0.91028301647384169</v>
      </c>
    </row>
    <row r="124" spans="1:18" x14ac:dyDescent="0.2">
      <c r="A124" s="1">
        <v>139630</v>
      </c>
      <c r="B124" s="1" t="s">
        <v>188</v>
      </c>
      <c r="C124" s="1" t="s">
        <v>126</v>
      </c>
      <c r="D124" s="1">
        <v>0.74</v>
      </c>
      <c r="E124" s="1">
        <v>775</v>
      </c>
      <c r="F124" s="1">
        <v>25500</v>
      </c>
      <c r="G124" s="1">
        <v>0.42280000000000001</v>
      </c>
      <c r="H124" s="1">
        <v>0.70940000000000003</v>
      </c>
      <c r="I124" s="1">
        <v>0.28689999999999999</v>
      </c>
      <c r="J124" s="1">
        <v>38208</v>
      </c>
      <c r="K124" s="1">
        <v>24325</v>
      </c>
      <c r="L124" s="1">
        <v>5038</v>
      </c>
      <c r="M124" s="1">
        <v>11</v>
      </c>
      <c r="N124" s="1" t="s">
        <v>20</v>
      </c>
      <c r="O124" s="1" t="s">
        <v>42</v>
      </c>
      <c r="P124" s="1" t="s">
        <v>30</v>
      </c>
      <c r="Q124" s="1" t="s">
        <v>31</v>
      </c>
      <c r="R124">
        <v>0.90997182281702937</v>
      </c>
    </row>
    <row r="125" spans="1:18" x14ac:dyDescent="0.2">
      <c r="A125" s="1">
        <v>140988</v>
      </c>
      <c r="B125" s="1" t="s">
        <v>189</v>
      </c>
      <c r="C125" s="1" t="s">
        <v>126</v>
      </c>
      <c r="D125" s="1">
        <v>0.96460000000000001</v>
      </c>
      <c r="E125" s="1">
        <v>1028</v>
      </c>
      <c r="F125" s="1">
        <v>24630</v>
      </c>
      <c r="G125" s="1">
        <v>0.37690000000000001</v>
      </c>
      <c r="H125" s="1">
        <v>0.60529999999999995</v>
      </c>
      <c r="I125" s="1">
        <v>0.37519999999999998</v>
      </c>
      <c r="J125" s="1">
        <v>44604</v>
      </c>
      <c r="K125" s="1">
        <v>25000</v>
      </c>
      <c r="L125" s="1">
        <v>5054</v>
      </c>
      <c r="M125" s="1">
        <v>14</v>
      </c>
      <c r="N125" s="1" t="s">
        <v>20</v>
      </c>
      <c r="O125" s="1" t="s">
        <v>29</v>
      </c>
      <c r="P125" s="1" t="s">
        <v>30</v>
      </c>
      <c r="Q125" s="1" t="s">
        <v>31</v>
      </c>
      <c r="R125">
        <v>0.9092587190921898</v>
      </c>
    </row>
    <row r="126" spans="1:18" x14ac:dyDescent="0.2">
      <c r="A126" s="1">
        <v>221838</v>
      </c>
      <c r="B126" s="1" t="s">
        <v>190</v>
      </c>
      <c r="C126" s="1" t="s">
        <v>163</v>
      </c>
      <c r="D126" s="1">
        <v>0.70109999999999995</v>
      </c>
      <c r="E126" s="1">
        <v>4848</v>
      </c>
      <c r="F126" s="1">
        <v>22416</v>
      </c>
      <c r="G126" s="1">
        <v>0.33989999999999998</v>
      </c>
      <c r="H126" s="1">
        <v>0.33500000000000002</v>
      </c>
      <c r="I126" s="1">
        <v>0.51129999999999998</v>
      </c>
      <c r="J126" s="1">
        <v>42730</v>
      </c>
      <c r="K126" s="1">
        <v>27000</v>
      </c>
      <c r="L126" s="1">
        <v>8732</v>
      </c>
      <c r="M126" s="1">
        <v>13</v>
      </c>
      <c r="N126" s="1" t="s">
        <v>28</v>
      </c>
      <c r="O126" s="1" t="s">
        <v>29</v>
      </c>
      <c r="P126" s="1" t="s">
        <v>30</v>
      </c>
      <c r="Q126" s="1" t="s">
        <v>31</v>
      </c>
      <c r="R126">
        <v>0.90567239612730688</v>
      </c>
    </row>
    <row r="127" spans="1:18" x14ac:dyDescent="0.2">
      <c r="A127" s="1">
        <v>145646</v>
      </c>
      <c r="B127" s="1" t="s">
        <v>191</v>
      </c>
      <c r="C127" s="1" t="s">
        <v>25</v>
      </c>
      <c r="D127" s="1">
        <v>0.3931</v>
      </c>
      <c r="E127" s="1">
        <v>1582</v>
      </c>
      <c r="F127" s="1">
        <v>57704</v>
      </c>
      <c r="G127" s="1">
        <v>0.747</v>
      </c>
      <c r="H127" s="1">
        <v>0.80049999999999999</v>
      </c>
      <c r="I127" s="1">
        <v>0.26329999999999998</v>
      </c>
      <c r="J127" s="1">
        <v>70871</v>
      </c>
      <c r="K127" s="1">
        <v>27000</v>
      </c>
      <c r="L127" s="1">
        <v>8828</v>
      </c>
      <c r="M127" s="1">
        <v>12</v>
      </c>
      <c r="N127" s="1" t="s">
        <v>20</v>
      </c>
      <c r="O127" s="1" t="s">
        <v>29</v>
      </c>
      <c r="P127" s="1" t="s">
        <v>22</v>
      </c>
      <c r="Q127" s="1" t="s">
        <v>23</v>
      </c>
      <c r="R127">
        <v>0.90549533941592197</v>
      </c>
    </row>
    <row r="128" spans="1:18" x14ac:dyDescent="0.2">
      <c r="A128" s="1">
        <v>204501</v>
      </c>
      <c r="B128" s="1" t="s">
        <v>192</v>
      </c>
      <c r="C128" s="1" t="s">
        <v>19</v>
      </c>
      <c r="D128" s="1">
        <v>0.34179999999999999</v>
      </c>
      <c r="E128" s="1">
        <v>2887</v>
      </c>
      <c r="F128" s="1">
        <v>67366</v>
      </c>
      <c r="G128" s="1">
        <v>0.80889999999999995</v>
      </c>
      <c r="H128" s="1">
        <v>0.91</v>
      </c>
      <c r="I128" s="1">
        <v>9.64E-2</v>
      </c>
      <c r="J128" s="1">
        <v>58343</v>
      </c>
      <c r="K128" s="1">
        <v>26000</v>
      </c>
      <c r="L128" s="1">
        <v>11232</v>
      </c>
      <c r="M128" s="1">
        <v>9</v>
      </c>
      <c r="N128" s="1" t="s">
        <v>20</v>
      </c>
      <c r="O128" s="1" t="s">
        <v>42</v>
      </c>
      <c r="P128" s="1" t="s">
        <v>22</v>
      </c>
      <c r="Q128" s="1" t="s">
        <v>23</v>
      </c>
      <c r="R128">
        <v>0.903858567650345</v>
      </c>
    </row>
    <row r="129" spans="1:18" x14ac:dyDescent="0.2">
      <c r="A129" s="1">
        <v>196167</v>
      </c>
      <c r="B129" s="1" t="s">
        <v>193</v>
      </c>
      <c r="C129" s="1" t="s">
        <v>58</v>
      </c>
      <c r="D129" s="1">
        <v>0.66449999999999998</v>
      </c>
      <c r="E129" s="1">
        <v>3869</v>
      </c>
      <c r="F129" s="1">
        <v>19569</v>
      </c>
      <c r="G129" s="1">
        <v>0.71450000000000002</v>
      </c>
      <c r="H129" s="1">
        <v>0.86990000000000001</v>
      </c>
      <c r="I129" s="1">
        <v>0.27639999999999998</v>
      </c>
      <c r="J129" s="1">
        <v>67316</v>
      </c>
      <c r="K129" s="1">
        <v>19500</v>
      </c>
      <c r="L129" s="1">
        <v>8765</v>
      </c>
      <c r="M129" s="1">
        <v>16</v>
      </c>
      <c r="N129" s="1" t="s">
        <v>28</v>
      </c>
      <c r="O129" s="1" t="s">
        <v>42</v>
      </c>
      <c r="P129" s="1" t="s">
        <v>39</v>
      </c>
      <c r="Q129" s="1" t="s">
        <v>23</v>
      </c>
      <c r="R129">
        <v>0.90343510698722884</v>
      </c>
    </row>
    <row r="130" spans="1:18" x14ac:dyDescent="0.2">
      <c r="A130" s="1">
        <v>138868</v>
      </c>
      <c r="B130" s="1" t="s">
        <v>194</v>
      </c>
      <c r="C130" s="1" t="s">
        <v>126</v>
      </c>
      <c r="D130" s="1">
        <v>0.44259999999999999</v>
      </c>
      <c r="E130" s="1">
        <v>1996</v>
      </c>
      <c r="F130" s="1">
        <v>24000</v>
      </c>
      <c r="G130" s="1">
        <v>0.3407</v>
      </c>
      <c r="H130" s="1">
        <v>0.74129999999999996</v>
      </c>
      <c r="I130" s="1">
        <v>0.24679999999999999</v>
      </c>
      <c r="J130" s="1">
        <v>38740</v>
      </c>
      <c r="K130" s="1">
        <v>25250</v>
      </c>
      <c r="L130" s="1">
        <v>5969</v>
      </c>
      <c r="M130" s="1">
        <v>15</v>
      </c>
      <c r="N130" s="1" t="s">
        <v>20</v>
      </c>
      <c r="O130" s="1" t="s">
        <v>42</v>
      </c>
      <c r="P130" s="1" t="s">
        <v>30</v>
      </c>
      <c r="Q130" s="1" t="s">
        <v>31</v>
      </c>
      <c r="R130">
        <v>0.90308660379272732</v>
      </c>
    </row>
    <row r="131" spans="1:18" x14ac:dyDescent="0.2">
      <c r="A131" s="1">
        <v>173045</v>
      </c>
      <c r="B131" s="1" t="s">
        <v>195</v>
      </c>
      <c r="C131" s="1" t="s">
        <v>54</v>
      </c>
      <c r="D131" s="1">
        <v>0.81979999999999997</v>
      </c>
      <c r="E131" s="1">
        <v>2494</v>
      </c>
      <c r="F131" s="1">
        <v>45452</v>
      </c>
      <c r="G131" s="1">
        <v>0.51670000000000005</v>
      </c>
      <c r="H131" s="1">
        <v>0.72330000000000005</v>
      </c>
      <c r="I131" s="1">
        <v>0.56140000000000001</v>
      </c>
      <c r="J131" s="1">
        <v>58829</v>
      </c>
      <c r="K131" s="1">
        <v>25347</v>
      </c>
      <c r="L131" s="1">
        <v>8416</v>
      </c>
      <c r="M131" s="1">
        <v>14</v>
      </c>
      <c r="N131" s="1" t="s">
        <v>20</v>
      </c>
      <c r="O131" s="1" t="s">
        <v>29</v>
      </c>
      <c r="P131" s="1" t="s">
        <v>22</v>
      </c>
      <c r="Q131" s="1" t="s">
        <v>23</v>
      </c>
      <c r="R131">
        <v>0.90201451361819951</v>
      </c>
    </row>
    <row r="132" spans="1:18" x14ac:dyDescent="0.2">
      <c r="A132" s="1">
        <v>236230</v>
      </c>
      <c r="B132" s="1" t="s">
        <v>196</v>
      </c>
      <c r="C132" s="1" t="s">
        <v>171</v>
      </c>
      <c r="D132" s="1">
        <v>0.7802</v>
      </c>
      <c r="E132" s="1">
        <v>2401</v>
      </c>
      <c r="F132" s="1">
        <v>52254</v>
      </c>
      <c r="G132" s="1">
        <v>0.68569999999999998</v>
      </c>
      <c r="H132" s="1">
        <v>0.81940000000000002</v>
      </c>
      <c r="I132" s="1">
        <v>0.35270000000000001</v>
      </c>
      <c r="J132" s="1">
        <v>66990</v>
      </c>
      <c r="K132" s="1">
        <v>22578</v>
      </c>
      <c r="L132" s="1">
        <v>8581</v>
      </c>
      <c r="M132" s="1">
        <v>12</v>
      </c>
      <c r="N132" s="1" t="s">
        <v>20</v>
      </c>
      <c r="O132" s="1" t="s">
        <v>21</v>
      </c>
      <c r="P132" s="1" t="s">
        <v>22</v>
      </c>
      <c r="Q132" s="1" t="s">
        <v>23</v>
      </c>
      <c r="R132">
        <v>0.90176682262287466</v>
      </c>
    </row>
    <row r="133" spans="1:18" x14ac:dyDescent="0.2">
      <c r="A133" s="1">
        <v>171492</v>
      </c>
      <c r="B133" s="1" t="s">
        <v>197</v>
      </c>
      <c r="C133" s="1" t="s">
        <v>109</v>
      </c>
      <c r="D133" s="1">
        <v>0.64510000000000001</v>
      </c>
      <c r="E133" s="1">
        <v>1974</v>
      </c>
      <c r="F133" s="1">
        <v>34400</v>
      </c>
      <c r="G133" s="1">
        <v>0.63319999999999999</v>
      </c>
      <c r="H133" s="1">
        <v>0.78620000000000001</v>
      </c>
      <c r="I133" s="1">
        <v>0.25690000000000002</v>
      </c>
      <c r="J133" s="1">
        <v>63075</v>
      </c>
      <c r="K133" s="1">
        <v>20842</v>
      </c>
      <c r="L133" s="1">
        <v>8840</v>
      </c>
      <c r="M133" s="1">
        <v>14</v>
      </c>
      <c r="N133" s="1" t="s">
        <v>20</v>
      </c>
      <c r="O133" s="1" t="s">
        <v>29</v>
      </c>
      <c r="P133" s="1" t="s">
        <v>22</v>
      </c>
      <c r="Q133" s="1" t="s">
        <v>23</v>
      </c>
      <c r="R133">
        <v>0.90136484633882508</v>
      </c>
    </row>
    <row r="134" spans="1:18" x14ac:dyDescent="0.2">
      <c r="A134" s="1">
        <v>170976</v>
      </c>
      <c r="B134" s="1" t="s">
        <v>198</v>
      </c>
      <c r="C134" s="1" t="s">
        <v>109</v>
      </c>
      <c r="D134" s="1">
        <v>0.15640000000000001</v>
      </c>
      <c r="E134" s="1">
        <v>34177</v>
      </c>
      <c r="F134" s="1">
        <v>60946</v>
      </c>
      <c r="G134" s="1">
        <v>0.93200000000000005</v>
      </c>
      <c r="H134" s="1">
        <v>0.97470000000000001</v>
      </c>
      <c r="I134" s="1">
        <v>0.18129999999999999</v>
      </c>
      <c r="J134" s="1">
        <v>83648</v>
      </c>
      <c r="K134" s="1">
        <v>19500</v>
      </c>
      <c r="L134" s="1">
        <v>13384</v>
      </c>
      <c r="M134" s="1">
        <v>11</v>
      </c>
      <c r="N134" s="1" t="s">
        <v>28</v>
      </c>
      <c r="O134" s="1" t="s">
        <v>29</v>
      </c>
      <c r="P134" s="1" t="s">
        <v>22</v>
      </c>
      <c r="Q134" s="1" t="s">
        <v>23</v>
      </c>
      <c r="R134">
        <v>0.90110061569243238</v>
      </c>
    </row>
    <row r="135" spans="1:18" x14ac:dyDescent="0.2">
      <c r="A135" s="1">
        <v>202134</v>
      </c>
      <c r="B135" s="1" t="s">
        <v>199</v>
      </c>
      <c r="C135" s="1" t="s">
        <v>19</v>
      </c>
      <c r="D135" s="1">
        <v>0.91300000000000003</v>
      </c>
      <c r="E135" s="1">
        <v>8969</v>
      </c>
      <c r="F135" s="1">
        <v>18510</v>
      </c>
      <c r="G135" s="1">
        <v>0.50570000000000004</v>
      </c>
      <c r="H135" s="1">
        <v>0.70320000000000005</v>
      </c>
      <c r="I135" s="1">
        <v>0.40510000000000002</v>
      </c>
      <c r="J135" s="1">
        <v>52131</v>
      </c>
      <c r="K135" s="1">
        <v>21797</v>
      </c>
      <c r="L135" s="1">
        <v>9480</v>
      </c>
      <c r="M135" s="1">
        <v>16</v>
      </c>
      <c r="N135" s="1" t="s">
        <v>28</v>
      </c>
      <c r="O135" s="1" t="s">
        <v>29</v>
      </c>
      <c r="P135" s="1" t="s">
        <v>22</v>
      </c>
      <c r="Q135" s="1" t="s">
        <v>23</v>
      </c>
      <c r="R135">
        <v>0.90099647850844433</v>
      </c>
    </row>
    <row r="136" spans="1:18" x14ac:dyDescent="0.2">
      <c r="A136" s="1">
        <v>168254</v>
      </c>
      <c r="B136" s="1" t="s">
        <v>200</v>
      </c>
      <c r="C136" s="1" t="s">
        <v>129</v>
      </c>
      <c r="D136" s="1">
        <v>0.83479999999999999</v>
      </c>
      <c r="E136" s="1">
        <v>2603</v>
      </c>
      <c r="F136" s="1">
        <v>47820</v>
      </c>
      <c r="G136" s="1">
        <v>0.63980000000000004</v>
      </c>
      <c r="H136" s="1">
        <v>0.73970000000000002</v>
      </c>
      <c r="I136" s="1">
        <v>0.24460000000000001</v>
      </c>
      <c r="J136" s="1">
        <v>73157</v>
      </c>
      <c r="K136" s="1">
        <v>25500</v>
      </c>
      <c r="L136" s="1">
        <v>10676</v>
      </c>
      <c r="M136" s="1">
        <v>12</v>
      </c>
      <c r="N136" s="1" t="s">
        <v>20</v>
      </c>
      <c r="O136" s="1" t="s">
        <v>29</v>
      </c>
      <c r="P136" s="1" t="s">
        <v>39</v>
      </c>
      <c r="Q136" s="1" t="s">
        <v>23</v>
      </c>
      <c r="R136">
        <v>0.90041229440149662</v>
      </c>
    </row>
    <row r="137" spans="1:18" x14ac:dyDescent="0.2">
      <c r="A137" s="1">
        <v>440828</v>
      </c>
      <c r="B137" s="1" t="s">
        <v>201</v>
      </c>
      <c r="C137" s="1" t="s">
        <v>79</v>
      </c>
      <c r="D137" s="1">
        <v>0.63109999999999999</v>
      </c>
      <c r="E137" s="1">
        <v>1044</v>
      </c>
      <c r="F137" s="1">
        <v>37356</v>
      </c>
      <c r="G137" s="1">
        <v>0.55559999999999998</v>
      </c>
      <c r="H137" s="1">
        <v>0.75</v>
      </c>
      <c r="I137" s="1">
        <v>0.27410000000000001</v>
      </c>
      <c r="J137" s="1">
        <v>64010</v>
      </c>
      <c r="K137" s="1">
        <v>21221</v>
      </c>
      <c r="L137" s="1">
        <v>11502</v>
      </c>
      <c r="M137" s="1">
        <v>9</v>
      </c>
      <c r="N137" s="1" t="s">
        <v>28</v>
      </c>
      <c r="O137" s="1" t="s">
        <v>29</v>
      </c>
      <c r="P137" s="1" t="s">
        <v>22</v>
      </c>
      <c r="Q137" s="1" t="s">
        <v>23</v>
      </c>
      <c r="R137">
        <v>0.90014511582694612</v>
      </c>
    </row>
    <row r="138" spans="1:18" x14ac:dyDescent="0.2">
      <c r="A138" s="1">
        <v>157757</v>
      </c>
      <c r="B138" s="1" t="s">
        <v>202</v>
      </c>
      <c r="C138" s="1" t="s">
        <v>104</v>
      </c>
      <c r="D138" s="1">
        <v>0.99450000000000005</v>
      </c>
      <c r="E138" s="1">
        <v>583</v>
      </c>
      <c r="F138" s="1">
        <v>29200</v>
      </c>
      <c r="G138" s="1">
        <v>0.51670000000000005</v>
      </c>
      <c r="H138" s="1">
        <v>0.64039999999999997</v>
      </c>
      <c r="I138" s="1">
        <v>0.35830000000000001</v>
      </c>
      <c r="J138" s="1">
        <v>49438</v>
      </c>
      <c r="K138" s="1">
        <v>25250</v>
      </c>
      <c r="L138" s="1">
        <v>8066</v>
      </c>
      <c r="M138" s="1">
        <v>9</v>
      </c>
      <c r="N138" s="1" t="s">
        <v>20</v>
      </c>
      <c r="O138" s="1" t="s">
        <v>29</v>
      </c>
      <c r="P138" s="1" t="s">
        <v>30</v>
      </c>
      <c r="Q138" s="1" t="s">
        <v>31</v>
      </c>
      <c r="R138">
        <v>0.89916004162128715</v>
      </c>
    </row>
    <row r="139" spans="1:18" x14ac:dyDescent="0.2">
      <c r="A139" s="1">
        <v>234085</v>
      </c>
      <c r="B139" s="1" t="s">
        <v>203</v>
      </c>
      <c r="C139" s="1" t="s">
        <v>52</v>
      </c>
      <c r="D139" s="1">
        <v>0.71250000000000002</v>
      </c>
      <c r="E139" s="1">
        <v>1527</v>
      </c>
      <c r="F139" s="1">
        <v>52638</v>
      </c>
      <c r="G139" s="1">
        <v>0.7621</v>
      </c>
      <c r="H139" s="1">
        <v>0.80979999999999996</v>
      </c>
      <c r="I139" s="1">
        <v>0.16470000000000001</v>
      </c>
      <c r="J139" s="1">
        <v>77369</v>
      </c>
      <c r="K139" s="1">
        <v>22996</v>
      </c>
      <c r="L139" s="1">
        <v>9070</v>
      </c>
      <c r="M139" s="1">
        <v>9</v>
      </c>
      <c r="N139" s="1" t="s">
        <v>28</v>
      </c>
      <c r="O139" s="1" t="s">
        <v>42</v>
      </c>
      <c r="P139" s="1" t="s">
        <v>30</v>
      </c>
      <c r="Q139" s="1" t="s">
        <v>23</v>
      </c>
      <c r="R139">
        <v>0.89915559040746906</v>
      </c>
    </row>
    <row r="140" spans="1:18" x14ac:dyDescent="0.2">
      <c r="A140" s="1">
        <v>219091</v>
      </c>
      <c r="B140" s="1" t="s">
        <v>204</v>
      </c>
      <c r="C140" s="1" t="s">
        <v>41</v>
      </c>
      <c r="D140" s="1">
        <v>0.73380000000000001</v>
      </c>
      <c r="E140" s="1">
        <v>670</v>
      </c>
      <c r="F140" s="1">
        <v>33790</v>
      </c>
      <c r="G140" s="1">
        <v>0.48320000000000002</v>
      </c>
      <c r="H140" s="1">
        <v>0.75139999999999996</v>
      </c>
      <c r="I140" s="1">
        <v>0.2712</v>
      </c>
      <c r="J140" s="1">
        <v>53728</v>
      </c>
      <c r="K140" s="1">
        <v>27000</v>
      </c>
      <c r="L140" s="1">
        <v>6962</v>
      </c>
      <c r="M140" s="1">
        <v>12</v>
      </c>
      <c r="N140" s="1" t="s">
        <v>20</v>
      </c>
      <c r="O140" s="1" t="s">
        <v>42</v>
      </c>
      <c r="P140" s="1" t="s">
        <v>22</v>
      </c>
      <c r="Q140" s="1" t="s">
        <v>23</v>
      </c>
      <c r="R140">
        <v>0.8983472003968167</v>
      </c>
    </row>
    <row r="141" spans="1:18" x14ac:dyDescent="0.2">
      <c r="A141" s="1">
        <v>222831</v>
      </c>
      <c r="B141" s="1" t="s">
        <v>205</v>
      </c>
      <c r="C141" s="1" t="s">
        <v>36</v>
      </c>
      <c r="D141" s="1">
        <v>0.83009999999999995</v>
      </c>
      <c r="E141" s="1">
        <v>5643</v>
      </c>
      <c r="F141" s="1">
        <v>18300</v>
      </c>
      <c r="G141" s="1">
        <v>0.43969999999999998</v>
      </c>
      <c r="H141" s="1">
        <v>0.68640000000000001</v>
      </c>
      <c r="I141" s="1">
        <v>0.27639999999999998</v>
      </c>
      <c r="J141" s="1">
        <v>50116</v>
      </c>
      <c r="K141" s="1">
        <v>20000</v>
      </c>
      <c r="L141" s="1">
        <v>8211</v>
      </c>
      <c r="M141" s="1">
        <v>19</v>
      </c>
      <c r="N141" s="1" t="s">
        <v>28</v>
      </c>
      <c r="O141" s="1" t="s">
        <v>29</v>
      </c>
      <c r="P141" s="1" t="s">
        <v>30</v>
      </c>
      <c r="Q141" s="1" t="s">
        <v>23</v>
      </c>
      <c r="R141">
        <v>0.89608486667961396</v>
      </c>
    </row>
    <row r="142" spans="1:18" x14ac:dyDescent="0.2">
      <c r="A142" s="1">
        <v>148405</v>
      </c>
      <c r="B142" s="1" t="s">
        <v>206</v>
      </c>
      <c r="C142" s="1" t="s">
        <v>25</v>
      </c>
      <c r="D142" s="1">
        <v>0.92910000000000004</v>
      </c>
      <c r="E142" s="1">
        <v>972</v>
      </c>
      <c r="F142" s="1">
        <v>37780</v>
      </c>
      <c r="G142" s="1">
        <v>0.47199999999999998</v>
      </c>
      <c r="H142" s="1">
        <v>0.65259999999999996</v>
      </c>
      <c r="I142" s="1">
        <v>0.48349999999999999</v>
      </c>
      <c r="J142" s="1">
        <v>54794</v>
      </c>
      <c r="K142" s="1">
        <v>22274</v>
      </c>
      <c r="L142" s="1">
        <v>6658</v>
      </c>
      <c r="M142" s="1">
        <v>10</v>
      </c>
      <c r="N142" s="1" t="s">
        <v>20</v>
      </c>
      <c r="O142" s="1" t="s">
        <v>29</v>
      </c>
      <c r="P142" s="1" t="s">
        <v>22</v>
      </c>
      <c r="Q142" s="1" t="s">
        <v>23</v>
      </c>
      <c r="R142">
        <v>0.89590152262128664</v>
      </c>
    </row>
    <row r="143" spans="1:18" x14ac:dyDescent="0.2">
      <c r="A143" s="1">
        <v>126562</v>
      </c>
      <c r="B143" s="1" t="s">
        <v>207</v>
      </c>
      <c r="C143" s="1" t="s">
        <v>161</v>
      </c>
      <c r="D143" s="1">
        <v>0.74680000000000002</v>
      </c>
      <c r="E143" s="1">
        <v>10519</v>
      </c>
      <c r="F143" s="1">
        <v>29391</v>
      </c>
      <c r="G143" s="1">
        <v>0.46150000000000002</v>
      </c>
      <c r="H143" s="1">
        <v>0.72650000000000003</v>
      </c>
      <c r="I143" s="1">
        <v>0.2616</v>
      </c>
      <c r="J143" s="1">
        <v>64270</v>
      </c>
      <c r="K143" s="1">
        <v>20500</v>
      </c>
      <c r="L143" s="1">
        <v>12152</v>
      </c>
      <c r="M143" s="1">
        <v>17</v>
      </c>
      <c r="N143" s="1" t="s">
        <v>28</v>
      </c>
      <c r="O143" s="1" t="s">
        <v>29</v>
      </c>
      <c r="P143" s="1" t="s">
        <v>22</v>
      </c>
      <c r="Q143" s="1" t="s">
        <v>23</v>
      </c>
      <c r="R143">
        <v>0.89567162386886268</v>
      </c>
    </row>
    <row r="144" spans="1:18" x14ac:dyDescent="0.2">
      <c r="A144" s="1">
        <v>137476</v>
      </c>
      <c r="B144" s="1" t="s">
        <v>208</v>
      </c>
      <c r="C144" s="1" t="s">
        <v>27</v>
      </c>
      <c r="D144" s="1">
        <v>0.97909999999999997</v>
      </c>
      <c r="E144" s="1">
        <v>2214</v>
      </c>
      <c r="F144" s="1">
        <v>34770</v>
      </c>
      <c r="G144" s="1">
        <v>0.48060000000000003</v>
      </c>
      <c r="H144" s="1">
        <v>0.56559999999999999</v>
      </c>
      <c r="I144" s="1">
        <v>0.2697</v>
      </c>
      <c r="J144" s="1">
        <v>54272</v>
      </c>
      <c r="K144" s="1">
        <v>19125</v>
      </c>
      <c r="L144" s="1">
        <v>8625</v>
      </c>
      <c r="M144" s="1">
        <v>17</v>
      </c>
      <c r="N144" s="1" t="s">
        <v>20</v>
      </c>
      <c r="O144" s="1" t="s">
        <v>21</v>
      </c>
      <c r="P144" s="1" t="s">
        <v>30</v>
      </c>
      <c r="Q144" s="1" t="s">
        <v>23</v>
      </c>
      <c r="R144">
        <v>0.8956277564610694</v>
      </c>
    </row>
    <row r="145" spans="1:18" x14ac:dyDescent="0.2">
      <c r="A145" s="1">
        <v>211468</v>
      </c>
      <c r="B145" s="1" t="s">
        <v>209</v>
      </c>
      <c r="C145" s="1" t="s">
        <v>98</v>
      </c>
      <c r="D145" s="1">
        <v>0.8407</v>
      </c>
      <c r="E145" s="1">
        <v>834</v>
      </c>
      <c r="F145" s="1">
        <v>46314</v>
      </c>
      <c r="G145" s="1">
        <v>0.60389999999999999</v>
      </c>
      <c r="H145" s="1">
        <v>0.7097</v>
      </c>
      <c r="I145" s="1">
        <v>0.43569999999999998</v>
      </c>
      <c r="J145" s="1">
        <v>59460</v>
      </c>
      <c r="K145" s="1">
        <v>27000</v>
      </c>
      <c r="L145" s="1">
        <v>7285</v>
      </c>
      <c r="M145" s="1">
        <v>9</v>
      </c>
      <c r="N145" s="1" t="s">
        <v>20</v>
      </c>
      <c r="O145" s="1" t="s">
        <v>29</v>
      </c>
      <c r="P145" s="1" t="s">
        <v>39</v>
      </c>
      <c r="Q145" s="1" t="s">
        <v>23</v>
      </c>
      <c r="R145">
        <v>0.89538130611418831</v>
      </c>
    </row>
    <row r="146" spans="1:18" x14ac:dyDescent="0.2">
      <c r="A146" s="1">
        <v>198543</v>
      </c>
      <c r="B146" s="1" t="s">
        <v>210</v>
      </c>
      <c r="C146" s="1" t="s">
        <v>86</v>
      </c>
      <c r="D146" s="1">
        <v>0.82150000000000001</v>
      </c>
      <c r="E146" s="1">
        <v>5762</v>
      </c>
      <c r="F146" s="1">
        <v>8353</v>
      </c>
      <c r="G146" s="1">
        <v>0.3846</v>
      </c>
      <c r="H146" s="1">
        <v>0.75290000000000001</v>
      </c>
      <c r="I146" s="1">
        <v>0.56599999999999995</v>
      </c>
      <c r="J146" s="1">
        <v>40144</v>
      </c>
      <c r="K146" s="1">
        <v>22987</v>
      </c>
      <c r="L146" s="1">
        <v>9421</v>
      </c>
      <c r="M146" s="1">
        <v>20</v>
      </c>
      <c r="N146" s="1" t="s">
        <v>28</v>
      </c>
      <c r="O146" s="1" t="s">
        <v>29</v>
      </c>
      <c r="P146" s="1" t="s">
        <v>30</v>
      </c>
      <c r="Q146" s="1" t="s">
        <v>31</v>
      </c>
      <c r="R146">
        <v>0.89503778385110899</v>
      </c>
    </row>
    <row r="147" spans="1:18" x14ac:dyDescent="0.2">
      <c r="A147" s="1">
        <v>136774</v>
      </c>
      <c r="B147" s="1" t="s">
        <v>211</v>
      </c>
      <c r="C147" s="1" t="s">
        <v>27</v>
      </c>
      <c r="D147" s="1">
        <v>0.69650000000000001</v>
      </c>
      <c r="E147" s="1">
        <v>1662</v>
      </c>
      <c r="F147" s="1">
        <v>57900</v>
      </c>
      <c r="G147" s="1">
        <v>0.72070000000000001</v>
      </c>
      <c r="H147" s="1">
        <v>0.86350000000000005</v>
      </c>
      <c r="I147" s="1">
        <v>0.21079999999999999</v>
      </c>
      <c r="J147" s="1">
        <v>43325</v>
      </c>
      <c r="K147" s="1">
        <v>27000</v>
      </c>
      <c r="L147" s="1">
        <v>9869</v>
      </c>
      <c r="M147" s="1">
        <v>11</v>
      </c>
      <c r="N147" s="1" t="s">
        <v>20</v>
      </c>
      <c r="O147" s="1" t="s">
        <v>29</v>
      </c>
      <c r="P147" s="1" t="s">
        <v>30</v>
      </c>
      <c r="Q147" s="1" t="s">
        <v>31</v>
      </c>
      <c r="R147">
        <v>0.89488053122636224</v>
      </c>
    </row>
    <row r="148" spans="1:18" x14ac:dyDescent="0.2">
      <c r="A148" s="1">
        <v>145691</v>
      </c>
      <c r="B148" s="1" t="s">
        <v>212</v>
      </c>
      <c r="C148" s="1" t="s">
        <v>25</v>
      </c>
      <c r="D148" s="1">
        <v>0.78190000000000004</v>
      </c>
      <c r="E148" s="1">
        <v>930</v>
      </c>
      <c r="F148" s="1">
        <v>38676</v>
      </c>
      <c r="G148" s="1">
        <v>0.63819999999999999</v>
      </c>
      <c r="H148" s="1">
        <v>0.70630000000000004</v>
      </c>
      <c r="I148" s="1">
        <v>0.38390000000000002</v>
      </c>
      <c r="J148" s="1">
        <v>52575</v>
      </c>
      <c r="K148" s="1">
        <v>25565</v>
      </c>
      <c r="L148" s="1">
        <v>7671</v>
      </c>
      <c r="M148" s="1">
        <v>12</v>
      </c>
      <c r="N148" s="1" t="s">
        <v>20</v>
      </c>
      <c r="O148" s="1" t="s">
        <v>42</v>
      </c>
      <c r="P148" s="1" t="s">
        <v>22</v>
      </c>
      <c r="Q148" s="1" t="s">
        <v>23</v>
      </c>
      <c r="R148">
        <v>0.89406600008431181</v>
      </c>
    </row>
    <row r="149" spans="1:18" x14ac:dyDescent="0.2">
      <c r="A149" s="1">
        <v>100706</v>
      </c>
      <c r="B149" s="1" t="s">
        <v>213</v>
      </c>
      <c r="C149" s="1" t="s">
        <v>177</v>
      </c>
      <c r="D149" s="1">
        <v>0.68569999999999998</v>
      </c>
      <c r="E149" s="1">
        <v>6591</v>
      </c>
      <c r="F149" s="1">
        <v>26408</v>
      </c>
      <c r="G149" s="1">
        <v>0.64290000000000003</v>
      </c>
      <c r="H149" s="1">
        <v>0.84250000000000003</v>
      </c>
      <c r="I149" s="1">
        <v>0.24640000000000001</v>
      </c>
      <c r="J149" s="1">
        <v>61767</v>
      </c>
      <c r="K149" s="1">
        <v>20705</v>
      </c>
      <c r="L149" s="1">
        <v>10639</v>
      </c>
      <c r="M149" s="1">
        <v>17</v>
      </c>
      <c r="N149" s="1" t="s">
        <v>28</v>
      </c>
      <c r="O149" s="1" t="s">
        <v>29</v>
      </c>
      <c r="P149" s="1" t="s">
        <v>30</v>
      </c>
      <c r="Q149" s="1" t="s">
        <v>23</v>
      </c>
      <c r="R149">
        <v>0.89053757594699257</v>
      </c>
    </row>
    <row r="150" spans="1:18" x14ac:dyDescent="0.2">
      <c r="A150" s="1">
        <v>157818</v>
      </c>
      <c r="B150" s="1" t="s">
        <v>214</v>
      </c>
      <c r="C150" s="1" t="s">
        <v>104</v>
      </c>
      <c r="D150" s="1">
        <v>0.86550000000000005</v>
      </c>
      <c r="E150" s="1">
        <v>1005</v>
      </c>
      <c r="F150" s="1">
        <v>46870</v>
      </c>
      <c r="G150" s="1">
        <v>0.71479999999999999</v>
      </c>
      <c r="H150" s="1">
        <v>0.87050000000000005</v>
      </c>
      <c r="I150" s="1">
        <v>0.26250000000000001</v>
      </c>
      <c r="J150" s="1">
        <v>54705</v>
      </c>
      <c r="K150" s="1">
        <v>27000</v>
      </c>
      <c r="L150" s="1">
        <v>10145</v>
      </c>
      <c r="M150" s="1">
        <v>10</v>
      </c>
      <c r="N150" s="1" t="s">
        <v>20</v>
      </c>
      <c r="O150" s="1" t="s">
        <v>29</v>
      </c>
      <c r="P150" s="1" t="s">
        <v>30</v>
      </c>
      <c r="Q150" s="1" t="s">
        <v>23</v>
      </c>
      <c r="R150">
        <v>0.89000586187265152</v>
      </c>
    </row>
    <row r="151" spans="1:18" x14ac:dyDescent="0.2">
      <c r="A151" s="1">
        <v>105899</v>
      </c>
      <c r="B151" s="1" t="s">
        <v>215</v>
      </c>
      <c r="C151" s="1" t="s">
        <v>216</v>
      </c>
      <c r="D151" s="1">
        <v>0.70620000000000005</v>
      </c>
      <c r="E151" s="1">
        <v>1165</v>
      </c>
      <c r="F151" s="1">
        <v>35098</v>
      </c>
      <c r="G151" s="1">
        <v>0.3987</v>
      </c>
      <c r="H151" s="1">
        <v>0.53720000000000001</v>
      </c>
      <c r="I151" s="1">
        <v>0.33879999999999999</v>
      </c>
      <c r="J151" s="1">
        <v>51612</v>
      </c>
      <c r="K151" s="1">
        <v>23000</v>
      </c>
      <c r="L151" s="1">
        <v>5223</v>
      </c>
      <c r="M151" s="1">
        <v>16</v>
      </c>
      <c r="N151" s="1" t="s">
        <v>20</v>
      </c>
      <c r="O151" s="1" t="s">
        <v>21</v>
      </c>
      <c r="P151" s="1" t="s">
        <v>22</v>
      </c>
      <c r="Q151" s="1" t="s">
        <v>23</v>
      </c>
      <c r="R151">
        <v>0.88975761887150984</v>
      </c>
    </row>
    <row r="152" spans="1:18" x14ac:dyDescent="0.2">
      <c r="A152" s="1">
        <v>224323</v>
      </c>
      <c r="B152" s="1" t="s">
        <v>217</v>
      </c>
      <c r="C152" s="1" t="s">
        <v>36</v>
      </c>
      <c r="D152" s="1">
        <v>0.53439999999999999</v>
      </c>
      <c r="E152" s="1">
        <v>1403</v>
      </c>
      <c r="F152" s="1">
        <v>53930</v>
      </c>
      <c r="G152" s="1">
        <v>0.73070000000000002</v>
      </c>
      <c r="H152" s="1">
        <v>0.77229999999999999</v>
      </c>
      <c r="I152" s="1">
        <v>0.25929999999999997</v>
      </c>
      <c r="J152" s="1">
        <v>58285</v>
      </c>
      <c r="K152" s="1">
        <v>23117</v>
      </c>
      <c r="L152" s="1">
        <v>8867</v>
      </c>
      <c r="M152" s="1">
        <v>11</v>
      </c>
      <c r="N152" s="1" t="s">
        <v>20</v>
      </c>
      <c r="O152" s="1" t="s">
        <v>29</v>
      </c>
      <c r="P152" s="1" t="s">
        <v>30</v>
      </c>
      <c r="Q152" s="1" t="s">
        <v>23</v>
      </c>
      <c r="R152">
        <v>0.88873469873168087</v>
      </c>
    </row>
    <row r="153" spans="1:18" x14ac:dyDescent="0.2">
      <c r="A153" s="1">
        <v>202480</v>
      </c>
      <c r="B153" s="1" t="s">
        <v>218</v>
      </c>
      <c r="C153" s="1" t="s">
        <v>19</v>
      </c>
      <c r="D153" s="1">
        <v>0.65449999999999997</v>
      </c>
      <c r="E153" s="1">
        <v>7682</v>
      </c>
      <c r="F153" s="1">
        <v>49140</v>
      </c>
      <c r="G153" s="1">
        <v>0.80179999999999996</v>
      </c>
      <c r="H153" s="1">
        <v>0.89059999999999995</v>
      </c>
      <c r="I153" s="1">
        <v>0.15809999999999999</v>
      </c>
      <c r="J153" s="1">
        <v>75537</v>
      </c>
      <c r="K153" s="1">
        <v>23250</v>
      </c>
      <c r="L153" s="1">
        <v>9699</v>
      </c>
      <c r="M153" s="1">
        <v>14</v>
      </c>
      <c r="N153" s="1" t="s">
        <v>20</v>
      </c>
      <c r="O153" s="1" t="s">
        <v>29</v>
      </c>
      <c r="P153" s="1" t="s">
        <v>22</v>
      </c>
      <c r="Q153" s="1" t="s">
        <v>23</v>
      </c>
      <c r="R153">
        <v>0.88651394927311611</v>
      </c>
    </row>
    <row r="154" spans="1:18" x14ac:dyDescent="0.2">
      <c r="A154" s="1">
        <v>120254</v>
      </c>
      <c r="B154" s="1" t="s">
        <v>219</v>
      </c>
      <c r="C154" s="1" t="s">
        <v>33</v>
      </c>
      <c r="D154" s="1">
        <v>0.44169999999999998</v>
      </c>
      <c r="E154" s="1">
        <v>1877</v>
      </c>
      <c r="F154" s="1">
        <v>66274</v>
      </c>
      <c r="G154" s="1">
        <v>0.80879999999999996</v>
      </c>
      <c r="H154" s="1">
        <v>0.89849999999999997</v>
      </c>
      <c r="I154" s="1">
        <v>0.1656</v>
      </c>
      <c r="J154" s="1">
        <v>75951</v>
      </c>
      <c r="K154" s="1">
        <v>23000</v>
      </c>
      <c r="L154" s="1">
        <v>12349</v>
      </c>
      <c r="M154" s="1">
        <v>9</v>
      </c>
      <c r="N154" s="1" t="s">
        <v>20</v>
      </c>
      <c r="O154" s="1" t="s">
        <v>29</v>
      </c>
      <c r="P154" s="1" t="s">
        <v>22</v>
      </c>
      <c r="Q154" s="1" t="s">
        <v>23</v>
      </c>
      <c r="R154">
        <v>0.88619293585320358</v>
      </c>
    </row>
    <row r="155" spans="1:18" x14ac:dyDescent="0.2">
      <c r="A155" s="1">
        <v>180878</v>
      </c>
      <c r="B155" s="1" t="s">
        <v>220</v>
      </c>
      <c r="C155" s="1" t="s">
        <v>221</v>
      </c>
      <c r="D155" s="1">
        <v>0.67369999999999997</v>
      </c>
      <c r="E155" s="1">
        <v>553</v>
      </c>
      <c r="F155" s="1">
        <v>20640</v>
      </c>
      <c r="G155" s="1">
        <v>0.7</v>
      </c>
      <c r="H155" s="1">
        <v>0.71109999999999995</v>
      </c>
      <c r="I155" s="1">
        <v>0.2787</v>
      </c>
      <c r="J155" s="1">
        <v>70845</v>
      </c>
      <c r="K155" s="1">
        <v>24985</v>
      </c>
      <c r="L155" s="1">
        <v>9196</v>
      </c>
      <c r="M155" s="1">
        <v>9</v>
      </c>
      <c r="N155" s="1" t="s">
        <v>20</v>
      </c>
      <c r="O155" s="1" t="s">
        <v>29</v>
      </c>
      <c r="P155" s="1" t="s">
        <v>22</v>
      </c>
      <c r="Q155" s="1" t="s">
        <v>23</v>
      </c>
      <c r="R155">
        <v>0.88601824501697879</v>
      </c>
    </row>
    <row r="156" spans="1:18" x14ac:dyDescent="0.2">
      <c r="A156" s="1">
        <v>232706</v>
      </c>
      <c r="B156" s="1" t="s">
        <v>222</v>
      </c>
      <c r="C156" s="1" t="s">
        <v>52</v>
      </c>
      <c r="D156" s="1">
        <v>0.93159999999999998</v>
      </c>
      <c r="E156" s="1">
        <v>1810</v>
      </c>
      <c r="F156" s="1">
        <v>40920</v>
      </c>
      <c r="G156" s="1">
        <v>0.53510000000000002</v>
      </c>
      <c r="H156" s="1">
        <v>0.72589999999999999</v>
      </c>
      <c r="I156" s="1">
        <v>0.2306</v>
      </c>
      <c r="J156" s="1">
        <v>67516</v>
      </c>
      <c r="K156" s="1">
        <v>25000</v>
      </c>
      <c r="L156" s="1">
        <v>9455</v>
      </c>
      <c r="M156" s="1">
        <v>14</v>
      </c>
      <c r="N156" s="1" t="s">
        <v>20</v>
      </c>
      <c r="O156" s="1" t="s">
        <v>29</v>
      </c>
      <c r="P156" s="1" t="s">
        <v>30</v>
      </c>
      <c r="Q156" s="1" t="s">
        <v>23</v>
      </c>
      <c r="R156">
        <v>0.88586604556811477</v>
      </c>
    </row>
    <row r="157" spans="1:18" x14ac:dyDescent="0.2">
      <c r="A157" s="1">
        <v>245953</v>
      </c>
      <c r="B157" s="1" t="s">
        <v>223</v>
      </c>
      <c r="C157" s="1" t="s">
        <v>224</v>
      </c>
      <c r="D157" s="1">
        <v>0.91759999999999997</v>
      </c>
      <c r="E157" s="1">
        <v>1666</v>
      </c>
      <c r="F157" s="1">
        <v>21294</v>
      </c>
      <c r="G157" s="1">
        <v>0.44230000000000003</v>
      </c>
      <c r="H157" s="1">
        <v>0.65149999999999997</v>
      </c>
      <c r="I157" s="1">
        <v>0.52869999999999995</v>
      </c>
      <c r="J157" s="1">
        <v>46116</v>
      </c>
      <c r="K157" s="1">
        <v>26394</v>
      </c>
      <c r="L157" s="1">
        <v>5970</v>
      </c>
      <c r="M157" s="1">
        <v>14</v>
      </c>
      <c r="N157" s="1" t="s">
        <v>20</v>
      </c>
      <c r="O157" s="1" t="s">
        <v>29</v>
      </c>
      <c r="P157" s="1" t="s">
        <v>30</v>
      </c>
      <c r="Q157" s="1" t="s">
        <v>31</v>
      </c>
      <c r="R157">
        <v>0.88289817580874064</v>
      </c>
    </row>
    <row r="158" spans="1:18" x14ac:dyDescent="0.2">
      <c r="A158" s="1">
        <v>169479</v>
      </c>
      <c r="B158" s="1" t="s">
        <v>225</v>
      </c>
      <c r="C158" s="1" t="s">
        <v>109</v>
      </c>
      <c r="D158" s="1">
        <v>0.97840000000000005</v>
      </c>
      <c r="E158" s="1">
        <v>3134</v>
      </c>
      <c r="F158" s="1">
        <v>24466</v>
      </c>
      <c r="G158" s="1">
        <v>0.56589999999999996</v>
      </c>
      <c r="H158" s="1">
        <v>0.82050000000000001</v>
      </c>
      <c r="I158" s="1">
        <v>0.33800000000000002</v>
      </c>
      <c r="J158" s="1">
        <v>45099</v>
      </c>
      <c r="K158" s="1">
        <v>26000</v>
      </c>
      <c r="L158" s="1">
        <v>7047</v>
      </c>
      <c r="M158" s="1">
        <v>18</v>
      </c>
      <c r="N158" s="1" t="s">
        <v>20</v>
      </c>
      <c r="O158" s="1" t="s">
        <v>21</v>
      </c>
      <c r="P158" s="1" t="s">
        <v>22</v>
      </c>
      <c r="Q158" s="1" t="s">
        <v>31</v>
      </c>
      <c r="R158">
        <v>0.88278766615152804</v>
      </c>
    </row>
    <row r="159" spans="1:18" x14ac:dyDescent="0.2">
      <c r="A159" s="1">
        <v>141361</v>
      </c>
      <c r="B159" s="1" t="s">
        <v>226</v>
      </c>
      <c r="C159" s="1" t="s">
        <v>126</v>
      </c>
      <c r="D159" s="1">
        <v>0.62639999999999996</v>
      </c>
      <c r="E159" s="1">
        <v>755</v>
      </c>
      <c r="F159" s="1">
        <v>32305</v>
      </c>
      <c r="G159" s="1">
        <v>0.41749999999999998</v>
      </c>
      <c r="H159" s="1">
        <v>0.64610000000000001</v>
      </c>
      <c r="I159" s="1">
        <v>0.20380000000000001</v>
      </c>
      <c r="J159" s="1">
        <v>47195</v>
      </c>
      <c r="K159" s="1">
        <v>27000</v>
      </c>
      <c r="L159" s="1">
        <v>6302</v>
      </c>
      <c r="M159" s="1">
        <v>13</v>
      </c>
      <c r="N159" s="1" t="s">
        <v>20</v>
      </c>
      <c r="O159" s="1" t="s">
        <v>42</v>
      </c>
      <c r="P159" s="1" t="s">
        <v>30</v>
      </c>
      <c r="Q159" s="1" t="s">
        <v>31</v>
      </c>
      <c r="R159">
        <v>0.88170059148920876</v>
      </c>
    </row>
    <row r="160" spans="1:18" x14ac:dyDescent="0.2">
      <c r="A160" s="1">
        <v>188526</v>
      </c>
      <c r="B160" s="1" t="s">
        <v>227</v>
      </c>
      <c r="C160" s="1" t="s">
        <v>58</v>
      </c>
      <c r="D160" s="1">
        <v>0.52690000000000003</v>
      </c>
      <c r="E160" s="1">
        <v>481</v>
      </c>
      <c r="F160" s="1">
        <v>41475</v>
      </c>
      <c r="G160" s="1">
        <v>0.6754</v>
      </c>
      <c r="H160" s="1">
        <v>0.85819999999999996</v>
      </c>
      <c r="I160" s="1">
        <v>0.2888</v>
      </c>
      <c r="J160" s="1">
        <v>131426</v>
      </c>
      <c r="K160" s="1">
        <v>25500</v>
      </c>
      <c r="L160" s="1">
        <v>10066</v>
      </c>
      <c r="M160" s="1">
        <v>10</v>
      </c>
      <c r="N160" s="1" t="s">
        <v>20</v>
      </c>
      <c r="O160" s="1" t="s">
        <v>29</v>
      </c>
      <c r="P160" s="1" t="s">
        <v>39</v>
      </c>
      <c r="Q160" s="1" t="s">
        <v>23</v>
      </c>
      <c r="R160">
        <v>0.88133033127527227</v>
      </c>
    </row>
    <row r="161" spans="1:18" x14ac:dyDescent="0.2">
      <c r="A161" s="1">
        <v>168740</v>
      </c>
      <c r="B161" s="1" t="s">
        <v>228</v>
      </c>
      <c r="C161" s="1" t="s">
        <v>109</v>
      </c>
      <c r="D161" s="1">
        <v>0.81850000000000001</v>
      </c>
      <c r="E161" s="1">
        <v>1224</v>
      </c>
      <c r="F161" s="1">
        <v>35056</v>
      </c>
      <c r="G161" s="1">
        <v>0.71530000000000005</v>
      </c>
      <c r="H161" s="1">
        <v>0.83209999999999995</v>
      </c>
      <c r="I161" s="1">
        <v>0.24709999999999999</v>
      </c>
      <c r="J161" s="1">
        <v>53187</v>
      </c>
      <c r="K161" s="1">
        <v>26000</v>
      </c>
      <c r="L161" s="1">
        <v>7256</v>
      </c>
      <c r="M161" s="1">
        <v>10</v>
      </c>
      <c r="N161" s="1" t="s">
        <v>20</v>
      </c>
      <c r="O161" s="1" t="s">
        <v>42</v>
      </c>
      <c r="P161" s="1" t="s">
        <v>22</v>
      </c>
      <c r="Q161" s="1" t="s">
        <v>23</v>
      </c>
      <c r="R161">
        <v>0.87986509772694432</v>
      </c>
    </row>
    <row r="162" spans="1:18" x14ac:dyDescent="0.2">
      <c r="A162" s="1">
        <v>226091</v>
      </c>
      <c r="B162" s="1" t="s">
        <v>229</v>
      </c>
      <c r="C162" s="1" t="s">
        <v>36</v>
      </c>
      <c r="D162" s="1">
        <v>0.86409999999999998</v>
      </c>
      <c r="E162" s="1">
        <v>8150</v>
      </c>
      <c r="F162" s="1">
        <v>18745</v>
      </c>
      <c r="G162" s="1">
        <v>0.37319999999999998</v>
      </c>
      <c r="H162" s="1">
        <v>0.61870000000000003</v>
      </c>
      <c r="I162" s="1">
        <v>0.46489999999999998</v>
      </c>
      <c r="J162" s="1">
        <v>49652</v>
      </c>
      <c r="K162" s="1">
        <v>21250</v>
      </c>
      <c r="L162" s="1">
        <v>9286</v>
      </c>
      <c r="M162" s="1">
        <v>20</v>
      </c>
      <c r="N162" s="1" t="s">
        <v>28</v>
      </c>
      <c r="O162" s="1" t="s">
        <v>29</v>
      </c>
      <c r="P162" s="1" t="s">
        <v>30</v>
      </c>
      <c r="Q162" s="1" t="s">
        <v>31</v>
      </c>
      <c r="R162">
        <v>0.87817417743299209</v>
      </c>
    </row>
    <row r="163" spans="1:18" x14ac:dyDescent="0.2">
      <c r="A163" s="1">
        <v>180984</v>
      </c>
      <c r="B163" s="1" t="s">
        <v>230</v>
      </c>
      <c r="C163" s="1" t="s">
        <v>221</v>
      </c>
      <c r="D163" s="1">
        <v>0.85719999999999996</v>
      </c>
      <c r="E163" s="1">
        <v>1283</v>
      </c>
      <c r="F163" s="1">
        <v>40640</v>
      </c>
      <c r="G163" s="1">
        <v>0.64890000000000003</v>
      </c>
      <c r="H163" s="1">
        <v>0.79530000000000001</v>
      </c>
      <c r="I163" s="1">
        <v>0.1138</v>
      </c>
      <c r="J163" s="1">
        <v>52415</v>
      </c>
      <c r="K163" s="1">
        <v>25750</v>
      </c>
      <c r="L163" s="1">
        <v>6919</v>
      </c>
      <c r="M163" s="1">
        <v>14</v>
      </c>
      <c r="N163" s="1" t="s">
        <v>20</v>
      </c>
      <c r="O163" s="1" t="s">
        <v>42</v>
      </c>
      <c r="P163" s="1" t="s">
        <v>22</v>
      </c>
      <c r="Q163" s="1" t="s">
        <v>23</v>
      </c>
      <c r="R163">
        <v>0.87699099678536818</v>
      </c>
    </row>
    <row r="164" spans="1:18" x14ac:dyDescent="0.2">
      <c r="A164" s="1">
        <v>180416</v>
      </c>
      <c r="B164" s="1" t="s">
        <v>231</v>
      </c>
      <c r="C164" s="1" t="s">
        <v>95</v>
      </c>
      <c r="D164" s="1">
        <v>0.91049999999999998</v>
      </c>
      <c r="E164" s="1">
        <v>1480</v>
      </c>
      <c r="F164" s="1">
        <v>26150</v>
      </c>
      <c r="G164" s="1">
        <v>0.58240000000000003</v>
      </c>
      <c r="H164" s="1">
        <v>0.76739999999999997</v>
      </c>
      <c r="I164" s="1">
        <v>0.23760000000000001</v>
      </c>
      <c r="J164" s="1">
        <v>54329</v>
      </c>
      <c r="K164" s="1">
        <v>18750</v>
      </c>
      <c r="L164" s="1">
        <v>8585</v>
      </c>
      <c r="M164" s="1">
        <v>14</v>
      </c>
      <c r="N164" s="1" t="s">
        <v>28</v>
      </c>
      <c r="O164" s="1" t="s">
        <v>42</v>
      </c>
      <c r="P164" s="1" t="s">
        <v>22</v>
      </c>
      <c r="Q164" s="1" t="s">
        <v>23</v>
      </c>
      <c r="R164">
        <v>0.87510657895512511</v>
      </c>
    </row>
    <row r="165" spans="1:18" x14ac:dyDescent="0.2">
      <c r="A165" s="1">
        <v>214634</v>
      </c>
      <c r="B165" s="1" t="s">
        <v>232</v>
      </c>
      <c r="C165" s="1" t="s">
        <v>98</v>
      </c>
      <c r="D165" s="1">
        <v>0.92200000000000004</v>
      </c>
      <c r="E165" s="1">
        <v>256</v>
      </c>
      <c r="F165" s="1">
        <v>23560</v>
      </c>
      <c r="G165" s="1">
        <v>0.4194</v>
      </c>
      <c r="H165" s="1">
        <v>0.65790000000000004</v>
      </c>
      <c r="I165" s="1">
        <v>0.3916</v>
      </c>
      <c r="J165" s="1">
        <v>63435</v>
      </c>
      <c r="K165" s="1">
        <v>25000</v>
      </c>
      <c r="L165" s="1">
        <v>9036</v>
      </c>
      <c r="M165" s="1">
        <v>7</v>
      </c>
      <c r="N165" s="1" t="s">
        <v>28</v>
      </c>
      <c r="O165" s="1" t="s">
        <v>42</v>
      </c>
      <c r="P165" s="1" t="s">
        <v>39</v>
      </c>
      <c r="Q165" s="1" t="s">
        <v>23</v>
      </c>
      <c r="R165">
        <v>0.87414074873035652</v>
      </c>
    </row>
    <row r="166" spans="1:18" x14ac:dyDescent="0.2">
      <c r="A166" s="1">
        <v>214698</v>
      </c>
      <c r="B166" s="1" t="s">
        <v>233</v>
      </c>
      <c r="C166" s="1" t="s">
        <v>98</v>
      </c>
      <c r="D166" s="1">
        <v>0.95650000000000002</v>
      </c>
      <c r="E166" s="1">
        <v>482</v>
      </c>
      <c r="F166" s="1">
        <v>24134</v>
      </c>
      <c r="G166" s="1">
        <v>0.21740000000000001</v>
      </c>
      <c r="H166" s="1">
        <v>0.75609999999999999</v>
      </c>
      <c r="I166" s="1">
        <v>0.31940000000000002</v>
      </c>
      <c r="J166" s="1">
        <v>63435</v>
      </c>
      <c r="K166" s="1">
        <v>25000</v>
      </c>
      <c r="L166" s="1">
        <v>9688</v>
      </c>
      <c r="M166" s="1">
        <v>12</v>
      </c>
      <c r="N166" s="1" t="s">
        <v>28</v>
      </c>
      <c r="O166" s="1" t="s">
        <v>21</v>
      </c>
      <c r="P166" s="1" t="s">
        <v>39</v>
      </c>
      <c r="Q166" s="1" t="s">
        <v>23</v>
      </c>
      <c r="R166">
        <v>0.87413862973384449</v>
      </c>
    </row>
    <row r="167" spans="1:18" x14ac:dyDescent="0.2">
      <c r="A167" s="1">
        <v>147679</v>
      </c>
      <c r="B167" s="1" t="s">
        <v>234</v>
      </c>
      <c r="C167" s="1" t="s">
        <v>25</v>
      </c>
      <c r="D167" s="1">
        <v>0.68510000000000004</v>
      </c>
      <c r="E167" s="1">
        <v>1818</v>
      </c>
      <c r="F167" s="1">
        <v>36710</v>
      </c>
      <c r="G167" s="1">
        <v>0.57720000000000005</v>
      </c>
      <c r="H167" s="1">
        <v>0.61660000000000004</v>
      </c>
      <c r="I167" s="1">
        <v>0.44340000000000002</v>
      </c>
      <c r="J167" s="1">
        <v>59572</v>
      </c>
      <c r="K167" s="1">
        <v>25500</v>
      </c>
      <c r="L167" s="1">
        <v>8245</v>
      </c>
      <c r="M167" s="1">
        <v>12</v>
      </c>
      <c r="N167" s="1" t="s">
        <v>20</v>
      </c>
      <c r="O167" s="1" t="s">
        <v>29</v>
      </c>
      <c r="P167" s="1" t="s">
        <v>22</v>
      </c>
      <c r="Q167" s="1" t="s">
        <v>23</v>
      </c>
      <c r="R167">
        <v>0.87365458508940075</v>
      </c>
    </row>
    <row r="168" spans="1:18" x14ac:dyDescent="0.2">
      <c r="A168" s="1">
        <v>110680</v>
      </c>
      <c r="B168" s="1" t="s">
        <v>235</v>
      </c>
      <c r="C168" s="1" t="s">
        <v>33</v>
      </c>
      <c r="D168" s="1">
        <v>0.2671</v>
      </c>
      <c r="E168" s="1">
        <v>34948</v>
      </c>
      <c r="F168" s="1">
        <v>50958</v>
      </c>
      <c r="G168" s="1">
        <v>0.86050000000000004</v>
      </c>
      <c r="H168" s="1">
        <v>0.94020000000000004</v>
      </c>
      <c r="I168" s="1">
        <v>0.34200000000000003</v>
      </c>
      <c r="J168" s="1">
        <v>84943</v>
      </c>
      <c r="K168" s="1">
        <v>15500</v>
      </c>
      <c r="L168" s="1">
        <v>19117</v>
      </c>
      <c r="M168" s="1">
        <v>19</v>
      </c>
      <c r="N168" s="1" t="s">
        <v>28</v>
      </c>
      <c r="O168" s="1" t="s">
        <v>29</v>
      </c>
      <c r="P168" s="1" t="s">
        <v>22</v>
      </c>
      <c r="Q168" s="1" t="s">
        <v>23</v>
      </c>
      <c r="R168">
        <v>0.8713919817854856</v>
      </c>
    </row>
    <row r="169" spans="1:18" x14ac:dyDescent="0.2">
      <c r="A169" s="1">
        <v>130697</v>
      </c>
      <c r="B169" s="1" t="s">
        <v>236</v>
      </c>
      <c r="C169" s="1" t="s">
        <v>147</v>
      </c>
      <c r="D169" s="1">
        <v>0.16489999999999999</v>
      </c>
      <c r="E169" s="1">
        <v>3067</v>
      </c>
      <c r="F169" s="1">
        <v>70342</v>
      </c>
      <c r="G169" s="1">
        <v>0.9264</v>
      </c>
      <c r="H169" s="1">
        <v>0.94879999999999998</v>
      </c>
      <c r="I169" s="1">
        <v>0.1419</v>
      </c>
      <c r="J169" s="1">
        <v>73897</v>
      </c>
      <c r="K169" s="1">
        <v>17000</v>
      </c>
      <c r="L169" s="1">
        <v>14100</v>
      </c>
      <c r="M169" s="1">
        <v>8</v>
      </c>
      <c r="N169" s="1" t="s">
        <v>20</v>
      </c>
      <c r="O169" s="1" t="s">
        <v>29</v>
      </c>
      <c r="P169" s="1" t="s">
        <v>39</v>
      </c>
      <c r="Q169" s="1" t="s">
        <v>23</v>
      </c>
      <c r="R169">
        <v>0.87131883704129642</v>
      </c>
    </row>
    <row r="170" spans="1:18" x14ac:dyDescent="0.2">
      <c r="A170" s="1">
        <v>132602</v>
      </c>
      <c r="B170" s="1" t="s">
        <v>237</v>
      </c>
      <c r="C170" s="1" t="s">
        <v>27</v>
      </c>
      <c r="D170" s="1">
        <v>0.88239999999999996</v>
      </c>
      <c r="E170" s="1">
        <v>2732</v>
      </c>
      <c r="F170" s="1">
        <v>14794</v>
      </c>
      <c r="G170" s="1">
        <v>0.30520000000000003</v>
      </c>
      <c r="H170" s="1">
        <v>0.61750000000000005</v>
      </c>
      <c r="I170" s="1">
        <v>0.78300000000000003</v>
      </c>
      <c r="J170" s="1">
        <v>38518</v>
      </c>
      <c r="K170" s="1">
        <v>31000</v>
      </c>
      <c r="L170" s="1">
        <v>7167</v>
      </c>
      <c r="M170" s="1">
        <v>17</v>
      </c>
      <c r="N170" s="1" t="s">
        <v>20</v>
      </c>
      <c r="O170" s="1" t="s">
        <v>29</v>
      </c>
      <c r="P170" s="1" t="s">
        <v>30</v>
      </c>
      <c r="Q170" s="1" t="s">
        <v>31</v>
      </c>
      <c r="R170">
        <v>0.8706506635775062</v>
      </c>
    </row>
    <row r="171" spans="1:18" x14ac:dyDescent="0.2">
      <c r="A171" s="1">
        <v>152080</v>
      </c>
      <c r="B171" s="1" t="s">
        <v>238</v>
      </c>
      <c r="C171" s="1" t="s">
        <v>102</v>
      </c>
      <c r="D171" s="1">
        <v>0.11269999999999999</v>
      </c>
      <c r="E171" s="1">
        <v>8818</v>
      </c>
      <c r="F171" s="1">
        <v>65025</v>
      </c>
      <c r="G171" s="1">
        <v>0.95169999999999999</v>
      </c>
      <c r="H171" s="1">
        <v>0.99080000000000001</v>
      </c>
      <c r="I171" s="1">
        <v>0.13739999999999999</v>
      </c>
      <c r="J171" s="1">
        <v>99980</v>
      </c>
      <c r="K171" s="1">
        <v>19000</v>
      </c>
      <c r="L171" s="1">
        <v>16830</v>
      </c>
      <c r="M171" s="1">
        <v>8</v>
      </c>
      <c r="N171" s="1" t="s">
        <v>20</v>
      </c>
      <c r="O171" s="1" t="s">
        <v>21</v>
      </c>
      <c r="P171" s="1" t="s">
        <v>22</v>
      </c>
      <c r="Q171" s="1" t="s">
        <v>23</v>
      </c>
      <c r="R171">
        <v>0.87032953990236284</v>
      </c>
    </row>
    <row r="172" spans="1:18" x14ac:dyDescent="0.2">
      <c r="A172" s="1">
        <v>141981</v>
      </c>
      <c r="B172" s="1" t="s">
        <v>239</v>
      </c>
      <c r="C172" s="1" t="s">
        <v>240</v>
      </c>
      <c r="D172" s="1">
        <v>0.95340000000000003</v>
      </c>
      <c r="E172" s="1">
        <v>2519</v>
      </c>
      <c r="F172" s="1">
        <v>20544</v>
      </c>
      <c r="G172" s="1">
        <v>0.4955</v>
      </c>
      <c r="H172" s="1">
        <v>0.77949999999999997</v>
      </c>
      <c r="I172" s="1">
        <v>0.3206</v>
      </c>
      <c r="J172" s="1">
        <v>52075</v>
      </c>
      <c r="K172" s="1">
        <v>14500</v>
      </c>
      <c r="L172" s="1">
        <v>11565</v>
      </c>
      <c r="M172" s="1">
        <v>17</v>
      </c>
      <c r="N172" s="1" t="s">
        <v>28</v>
      </c>
      <c r="O172" s="1" t="s">
        <v>21</v>
      </c>
      <c r="P172" s="1" t="s">
        <v>22</v>
      </c>
      <c r="Q172" s="1" t="s">
        <v>23</v>
      </c>
      <c r="R172">
        <v>0.86982410816708489</v>
      </c>
    </row>
    <row r="173" spans="1:18" x14ac:dyDescent="0.2">
      <c r="A173" s="1">
        <v>166656</v>
      </c>
      <c r="B173" s="1" t="s">
        <v>241</v>
      </c>
      <c r="C173" s="1" t="s">
        <v>129</v>
      </c>
      <c r="D173" s="1">
        <v>0.85209999999999997</v>
      </c>
      <c r="E173" s="1">
        <v>3451</v>
      </c>
      <c r="F173" s="1">
        <v>40530</v>
      </c>
      <c r="G173" s="1">
        <v>0.62019999999999997</v>
      </c>
      <c r="H173" s="1">
        <v>0.73960000000000004</v>
      </c>
      <c r="I173" s="1">
        <v>0.30059999999999998</v>
      </c>
      <c r="J173" s="1">
        <v>125557</v>
      </c>
      <c r="K173" s="1">
        <v>25000</v>
      </c>
      <c r="L173" s="1">
        <v>11769</v>
      </c>
      <c r="M173" s="1">
        <v>9</v>
      </c>
      <c r="N173" s="1" t="s">
        <v>20</v>
      </c>
      <c r="O173" s="1" t="s">
        <v>29</v>
      </c>
      <c r="P173" s="1" t="s">
        <v>39</v>
      </c>
      <c r="Q173" s="1" t="s">
        <v>23</v>
      </c>
      <c r="R173">
        <v>0.86961868458689673</v>
      </c>
    </row>
    <row r="174" spans="1:18" x14ac:dyDescent="0.2">
      <c r="A174" s="1">
        <v>214795</v>
      </c>
      <c r="B174" s="1" t="s">
        <v>242</v>
      </c>
      <c r="C174" s="1" t="s">
        <v>98</v>
      </c>
      <c r="D174" s="1">
        <v>0.98209999999999997</v>
      </c>
      <c r="E174" s="1">
        <v>559</v>
      </c>
      <c r="F174" s="1">
        <v>24134</v>
      </c>
      <c r="G174" s="1">
        <v>0.33650000000000002</v>
      </c>
      <c r="H174" s="1">
        <v>0.8286</v>
      </c>
      <c r="I174" s="1">
        <v>0.26750000000000002</v>
      </c>
      <c r="J174" s="1">
        <v>63435</v>
      </c>
      <c r="K174" s="1">
        <v>25000</v>
      </c>
      <c r="L174" s="1">
        <v>9579</v>
      </c>
      <c r="M174" s="1">
        <v>10</v>
      </c>
      <c r="N174" s="1" t="s">
        <v>28</v>
      </c>
      <c r="O174" s="1" t="s">
        <v>42</v>
      </c>
      <c r="P174" s="1" t="s">
        <v>39</v>
      </c>
      <c r="Q174" s="1" t="s">
        <v>23</v>
      </c>
      <c r="R174">
        <v>0.86924856790479554</v>
      </c>
    </row>
    <row r="175" spans="1:18" x14ac:dyDescent="0.2">
      <c r="A175" s="1">
        <v>211088</v>
      </c>
      <c r="B175" s="1" t="s">
        <v>243</v>
      </c>
      <c r="C175" s="1" t="s">
        <v>98</v>
      </c>
      <c r="D175" s="1">
        <v>0.80220000000000002</v>
      </c>
      <c r="E175" s="1">
        <v>1948</v>
      </c>
      <c r="F175" s="1">
        <v>49610</v>
      </c>
      <c r="G175" s="1">
        <v>0.66739999999999999</v>
      </c>
      <c r="H175" s="1">
        <v>0.78800000000000003</v>
      </c>
      <c r="I175" s="1">
        <v>0.28310000000000002</v>
      </c>
      <c r="J175" s="1">
        <v>58336</v>
      </c>
      <c r="K175" s="1">
        <v>27000</v>
      </c>
      <c r="L175" s="1">
        <v>8854</v>
      </c>
      <c r="M175" s="1">
        <v>10</v>
      </c>
      <c r="N175" s="1" t="s">
        <v>20</v>
      </c>
      <c r="O175" s="1" t="s">
        <v>21</v>
      </c>
      <c r="P175" s="1" t="s">
        <v>39</v>
      </c>
      <c r="Q175" s="1" t="s">
        <v>23</v>
      </c>
      <c r="R175">
        <v>0.86756705988076854</v>
      </c>
    </row>
    <row r="176" spans="1:18" x14ac:dyDescent="0.2">
      <c r="A176" s="1">
        <v>124292</v>
      </c>
      <c r="B176" s="1" t="s">
        <v>244</v>
      </c>
      <c r="C176" s="1" t="s">
        <v>33</v>
      </c>
      <c r="D176" s="1">
        <v>0.83089999999999997</v>
      </c>
      <c r="E176" s="1">
        <v>566</v>
      </c>
      <c r="F176" s="1">
        <v>30200</v>
      </c>
      <c r="G176" s="1">
        <v>0.84299999999999997</v>
      </c>
      <c r="H176" s="1">
        <v>0.91610000000000003</v>
      </c>
      <c r="I176" s="1">
        <v>0.26719999999999999</v>
      </c>
      <c r="J176" s="1">
        <v>55619</v>
      </c>
      <c r="K176" s="1">
        <v>18000</v>
      </c>
      <c r="L176" s="1">
        <v>9628</v>
      </c>
      <c r="M176" s="1">
        <v>11</v>
      </c>
      <c r="N176" s="1" t="s">
        <v>20</v>
      </c>
      <c r="O176" s="1" t="s">
        <v>42</v>
      </c>
      <c r="P176" s="1" t="s">
        <v>22</v>
      </c>
      <c r="Q176" s="1" t="s">
        <v>23</v>
      </c>
      <c r="R176">
        <v>0.86515340580755573</v>
      </c>
    </row>
    <row r="177" spans="1:18" x14ac:dyDescent="0.2">
      <c r="A177" s="1">
        <v>229780</v>
      </c>
      <c r="B177" s="1" t="s">
        <v>245</v>
      </c>
      <c r="C177" s="1" t="s">
        <v>36</v>
      </c>
      <c r="D177" s="1">
        <v>0.55959999999999999</v>
      </c>
      <c r="E177" s="1">
        <v>2041</v>
      </c>
      <c r="F177" s="1">
        <v>23782</v>
      </c>
      <c r="G177" s="1">
        <v>0.19289999999999999</v>
      </c>
      <c r="H177" s="1">
        <v>0.44529999999999997</v>
      </c>
      <c r="I177" s="1">
        <v>0.45700000000000002</v>
      </c>
      <c r="J177" s="1">
        <v>51838</v>
      </c>
      <c r="K177" s="1">
        <v>23106</v>
      </c>
      <c r="L177" s="1">
        <v>5999</v>
      </c>
      <c r="M177" s="1">
        <v>10</v>
      </c>
      <c r="N177" s="1" t="s">
        <v>20</v>
      </c>
      <c r="O177" s="1" t="s">
        <v>42</v>
      </c>
      <c r="P177" s="1" t="s">
        <v>30</v>
      </c>
      <c r="Q177" s="1" t="s">
        <v>23</v>
      </c>
      <c r="R177">
        <v>0.86418720732053045</v>
      </c>
    </row>
    <row r="178" spans="1:18" x14ac:dyDescent="0.2">
      <c r="A178" s="1">
        <v>195526</v>
      </c>
      <c r="B178" s="1" t="s">
        <v>246</v>
      </c>
      <c r="C178" s="1" t="s">
        <v>58</v>
      </c>
      <c r="D178" s="1">
        <v>0.21049999999999999</v>
      </c>
      <c r="E178" s="1">
        <v>2694</v>
      </c>
      <c r="F178" s="1">
        <v>67290</v>
      </c>
      <c r="G178" s="1">
        <v>0.82569999999999999</v>
      </c>
      <c r="H178" s="1">
        <v>0.89649999999999996</v>
      </c>
      <c r="I178" s="1">
        <v>0.1275</v>
      </c>
      <c r="J178" s="1">
        <v>69363</v>
      </c>
      <c r="K178" s="1">
        <v>19500</v>
      </c>
      <c r="L178" s="1">
        <v>11403</v>
      </c>
      <c r="M178" s="1">
        <v>8</v>
      </c>
      <c r="N178" s="1" t="s">
        <v>20</v>
      </c>
      <c r="O178" s="1" t="s">
        <v>21</v>
      </c>
      <c r="P178" s="1" t="s">
        <v>39</v>
      </c>
      <c r="Q178" s="1" t="s">
        <v>23</v>
      </c>
      <c r="R178">
        <v>0.8639790478973286</v>
      </c>
    </row>
    <row r="179" spans="1:18" x14ac:dyDescent="0.2">
      <c r="A179" s="1">
        <v>159568</v>
      </c>
      <c r="B179" s="1" t="s">
        <v>247</v>
      </c>
      <c r="C179" s="1" t="s">
        <v>46</v>
      </c>
      <c r="D179" s="1">
        <v>0.77190000000000003</v>
      </c>
      <c r="E179" s="1">
        <v>672</v>
      </c>
      <c r="F179" s="1">
        <v>20266</v>
      </c>
      <c r="G179" s="1">
        <v>0.43869999999999998</v>
      </c>
      <c r="H179" s="1">
        <v>0.52429999999999999</v>
      </c>
      <c r="I179" s="1">
        <v>0.43090000000000001</v>
      </c>
      <c r="J179" s="1">
        <v>51700</v>
      </c>
      <c r="K179" s="1">
        <v>21875</v>
      </c>
      <c r="L179" s="1">
        <v>6137</v>
      </c>
      <c r="M179" s="1">
        <v>10</v>
      </c>
      <c r="N179" s="1" t="s">
        <v>20</v>
      </c>
      <c r="O179" s="1" t="s">
        <v>21</v>
      </c>
      <c r="P179" s="1" t="s">
        <v>30</v>
      </c>
      <c r="Q179" s="1" t="s">
        <v>23</v>
      </c>
      <c r="R179">
        <v>0.86381802013193731</v>
      </c>
    </row>
    <row r="180" spans="1:18" x14ac:dyDescent="0.2">
      <c r="A180" s="1">
        <v>122728</v>
      </c>
      <c r="B180" s="1" t="s">
        <v>248</v>
      </c>
      <c r="C180" s="1" t="s">
        <v>33</v>
      </c>
      <c r="D180" s="1">
        <v>0.93330000000000002</v>
      </c>
      <c r="E180" s="1">
        <v>1294</v>
      </c>
      <c r="F180" s="1">
        <v>37150</v>
      </c>
      <c r="G180" s="1">
        <v>0.55979999999999996</v>
      </c>
      <c r="H180" s="1">
        <v>0.76880000000000004</v>
      </c>
      <c r="I180" s="1">
        <v>0.31719999999999998</v>
      </c>
      <c r="J180" s="1">
        <v>56257</v>
      </c>
      <c r="K180" s="1">
        <v>23700</v>
      </c>
      <c r="L180" s="1">
        <v>8173</v>
      </c>
      <c r="M180" s="1">
        <v>10</v>
      </c>
      <c r="N180" s="1" t="s">
        <v>20</v>
      </c>
      <c r="O180" s="1" t="s">
        <v>21</v>
      </c>
      <c r="P180" s="1" t="s">
        <v>22</v>
      </c>
      <c r="Q180" s="1" t="s">
        <v>23</v>
      </c>
      <c r="R180">
        <v>0.86315494957176941</v>
      </c>
    </row>
    <row r="181" spans="1:18" x14ac:dyDescent="0.2">
      <c r="A181" s="1">
        <v>159966</v>
      </c>
      <c r="B181" s="1" t="s">
        <v>249</v>
      </c>
      <c r="C181" s="1" t="s">
        <v>46</v>
      </c>
      <c r="D181" s="1">
        <v>0.90800000000000003</v>
      </c>
      <c r="E181" s="1">
        <v>4737</v>
      </c>
      <c r="F181" s="1">
        <v>9242</v>
      </c>
      <c r="G181" s="1">
        <v>0.53800000000000003</v>
      </c>
      <c r="H181" s="1">
        <v>0.76600000000000001</v>
      </c>
      <c r="I181" s="1">
        <v>0.3407</v>
      </c>
      <c r="J181" s="1">
        <v>45454</v>
      </c>
      <c r="K181" s="1">
        <v>22675</v>
      </c>
      <c r="L181" s="1">
        <v>6998</v>
      </c>
      <c r="M181" s="1">
        <v>19</v>
      </c>
      <c r="N181" s="1" t="s">
        <v>28</v>
      </c>
      <c r="O181" s="1" t="s">
        <v>29</v>
      </c>
      <c r="P181" s="1" t="s">
        <v>30</v>
      </c>
      <c r="Q181" s="1" t="s">
        <v>31</v>
      </c>
      <c r="R181">
        <v>0.86231186930102499</v>
      </c>
    </row>
    <row r="182" spans="1:18" x14ac:dyDescent="0.2">
      <c r="A182" s="1">
        <v>193292</v>
      </c>
      <c r="B182" s="1" t="s">
        <v>250</v>
      </c>
      <c r="C182" s="1" t="s">
        <v>58</v>
      </c>
      <c r="D182" s="1">
        <v>0.81740000000000002</v>
      </c>
      <c r="E182" s="1">
        <v>3162</v>
      </c>
      <c r="F182" s="1">
        <v>39790</v>
      </c>
      <c r="G182" s="1">
        <v>0.69930000000000003</v>
      </c>
      <c r="H182" s="1">
        <v>0.85170000000000001</v>
      </c>
      <c r="I182" s="1">
        <v>0.33660000000000001</v>
      </c>
      <c r="J182" s="1">
        <v>77789</v>
      </c>
      <c r="K182" s="1">
        <v>27000</v>
      </c>
      <c r="L182" s="1">
        <v>11277</v>
      </c>
      <c r="M182" s="1">
        <v>12</v>
      </c>
      <c r="N182" s="1" t="s">
        <v>20</v>
      </c>
      <c r="O182" s="1" t="s">
        <v>21</v>
      </c>
      <c r="P182" s="1" t="s">
        <v>39</v>
      </c>
      <c r="Q182" s="1" t="s">
        <v>23</v>
      </c>
      <c r="R182">
        <v>0.86217945443407684</v>
      </c>
    </row>
    <row r="183" spans="1:18" x14ac:dyDescent="0.2">
      <c r="A183" s="1">
        <v>199139</v>
      </c>
      <c r="B183" s="1" t="s">
        <v>251</v>
      </c>
      <c r="C183" s="1" t="s">
        <v>86</v>
      </c>
      <c r="D183" s="1">
        <v>0.79600000000000004</v>
      </c>
      <c r="E183" s="1">
        <v>24453</v>
      </c>
      <c r="F183" s="1">
        <v>22492</v>
      </c>
      <c r="G183" s="1">
        <v>0.68969999999999998</v>
      </c>
      <c r="H183" s="1">
        <v>0.8498</v>
      </c>
      <c r="I183" s="1">
        <v>0.33939999999999998</v>
      </c>
      <c r="J183" s="1">
        <v>57289</v>
      </c>
      <c r="K183" s="1">
        <v>21500</v>
      </c>
      <c r="L183" s="1">
        <v>11828</v>
      </c>
      <c r="M183" s="1">
        <v>21</v>
      </c>
      <c r="N183" s="1" t="s">
        <v>28</v>
      </c>
      <c r="O183" s="1" t="s">
        <v>29</v>
      </c>
      <c r="P183" s="1" t="s">
        <v>30</v>
      </c>
      <c r="Q183" s="1" t="s">
        <v>23</v>
      </c>
      <c r="R183">
        <v>0.86070314649836233</v>
      </c>
    </row>
    <row r="184" spans="1:18" x14ac:dyDescent="0.2">
      <c r="A184" s="1">
        <v>209825</v>
      </c>
      <c r="B184" s="1" t="s">
        <v>252</v>
      </c>
      <c r="C184" s="1" t="s">
        <v>79</v>
      </c>
      <c r="D184" s="1">
        <v>0.89170000000000005</v>
      </c>
      <c r="E184" s="1">
        <v>2957</v>
      </c>
      <c r="F184" s="1">
        <v>58100</v>
      </c>
      <c r="G184" s="1">
        <v>0.7984</v>
      </c>
      <c r="H184" s="1">
        <v>0.88319999999999999</v>
      </c>
      <c r="I184" s="1">
        <v>0.221</v>
      </c>
      <c r="J184" s="1">
        <v>82804</v>
      </c>
      <c r="K184" s="1">
        <v>21370</v>
      </c>
      <c r="L184" s="1">
        <v>10167</v>
      </c>
      <c r="M184" s="1">
        <v>9</v>
      </c>
      <c r="N184" s="1" t="s">
        <v>20</v>
      </c>
      <c r="O184" s="1" t="s">
        <v>29</v>
      </c>
      <c r="P184" s="1" t="s">
        <v>22</v>
      </c>
      <c r="Q184" s="1" t="s">
        <v>23</v>
      </c>
      <c r="R184">
        <v>0.86046402130444022</v>
      </c>
    </row>
    <row r="185" spans="1:18" x14ac:dyDescent="0.2">
      <c r="A185" s="1">
        <v>110547</v>
      </c>
      <c r="B185" s="1" t="s">
        <v>253</v>
      </c>
      <c r="C185" s="1" t="s">
        <v>33</v>
      </c>
      <c r="D185" s="1">
        <v>0.93300000000000005</v>
      </c>
      <c r="E185" s="1">
        <v>12538</v>
      </c>
      <c r="F185" s="1">
        <v>20049</v>
      </c>
      <c r="G185" s="1">
        <v>0.4279</v>
      </c>
      <c r="H185" s="1">
        <v>0.73650000000000004</v>
      </c>
      <c r="I185" s="1">
        <v>0.63329999999999997</v>
      </c>
      <c r="J185" s="1">
        <v>57162</v>
      </c>
      <c r="K185" s="1">
        <v>13807</v>
      </c>
      <c r="L185" s="1">
        <v>11789</v>
      </c>
      <c r="M185" s="1">
        <v>21</v>
      </c>
      <c r="N185" s="1" t="s">
        <v>28</v>
      </c>
      <c r="O185" s="1" t="s">
        <v>29</v>
      </c>
      <c r="P185" s="1" t="s">
        <v>22</v>
      </c>
      <c r="Q185" s="1" t="s">
        <v>23</v>
      </c>
      <c r="R185">
        <v>0.86029589430143261</v>
      </c>
    </row>
    <row r="186" spans="1:18" x14ac:dyDescent="0.2">
      <c r="A186" s="1">
        <v>237969</v>
      </c>
      <c r="B186" s="1" t="s">
        <v>254</v>
      </c>
      <c r="C186" s="1" t="s">
        <v>255</v>
      </c>
      <c r="D186" s="1">
        <v>0.93340000000000001</v>
      </c>
      <c r="E186" s="1">
        <v>954</v>
      </c>
      <c r="F186" s="1">
        <v>34090</v>
      </c>
      <c r="G186" s="1">
        <v>0.57140000000000002</v>
      </c>
      <c r="H186" s="1">
        <v>0.67320000000000002</v>
      </c>
      <c r="I186" s="1">
        <v>0.37630000000000002</v>
      </c>
      <c r="J186" s="1">
        <v>51593</v>
      </c>
      <c r="K186" s="1">
        <v>27000</v>
      </c>
      <c r="L186" s="1">
        <v>6450</v>
      </c>
      <c r="M186" s="1">
        <v>13</v>
      </c>
      <c r="N186" s="1" t="s">
        <v>20</v>
      </c>
      <c r="O186" s="1" t="s">
        <v>42</v>
      </c>
      <c r="P186" s="1" t="s">
        <v>30</v>
      </c>
      <c r="Q186" s="1" t="s">
        <v>23</v>
      </c>
      <c r="R186">
        <v>0.86028216849658556</v>
      </c>
    </row>
    <row r="187" spans="1:18" x14ac:dyDescent="0.2">
      <c r="A187" s="1">
        <v>199272</v>
      </c>
      <c r="B187" s="1" t="s">
        <v>256</v>
      </c>
      <c r="C187" s="1" t="s">
        <v>86</v>
      </c>
      <c r="D187" s="1">
        <v>0.9425</v>
      </c>
      <c r="E187" s="1">
        <v>666</v>
      </c>
      <c r="F187" s="1">
        <v>34176</v>
      </c>
      <c r="G187" s="1">
        <v>0.4481</v>
      </c>
      <c r="H187" s="1">
        <v>0.73580000000000001</v>
      </c>
      <c r="I187" s="1">
        <v>0.34250000000000003</v>
      </c>
      <c r="J187" s="1">
        <v>46643</v>
      </c>
      <c r="K187" s="1">
        <v>22250</v>
      </c>
      <c r="L187" s="1">
        <v>6905</v>
      </c>
      <c r="M187" s="1">
        <v>13</v>
      </c>
      <c r="N187" s="1" t="s">
        <v>20</v>
      </c>
      <c r="O187" s="1" t="s">
        <v>29</v>
      </c>
      <c r="P187" s="1" t="s">
        <v>30</v>
      </c>
      <c r="Q187" s="1" t="s">
        <v>31</v>
      </c>
      <c r="R187">
        <v>0.86016394207093705</v>
      </c>
    </row>
    <row r="188" spans="1:18" x14ac:dyDescent="0.2">
      <c r="A188" s="1">
        <v>199193</v>
      </c>
      <c r="B188" s="1" t="s">
        <v>257</v>
      </c>
      <c r="C188" s="1" t="s">
        <v>86</v>
      </c>
      <c r="D188" s="1">
        <v>0.41739999999999999</v>
      </c>
      <c r="E188" s="1">
        <v>27371</v>
      </c>
      <c r="F188" s="1">
        <v>32847</v>
      </c>
      <c r="G188" s="1">
        <v>0.84760000000000002</v>
      </c>
      <c r="H188" s="1">
        <v>0.94469999999999998</v>
      </c>
      <c r="I188" s="1">
        <v>0.1958</v>
      </c>
      <c r="J188" s="1">
        <v>68758</v>
      </c>
      <c r="K188" s="1">
        <v>20121</v>
      </c>
      <c r="L188" s="1">
        <v>12820</v>
      </c>
      <c r="M188" s="1">
        <v>15</v>
      </c>
      <c r="N188" s="1" t="s">
        <v>28</v>
      </c>
      <c r="O188" s="1" t="s">
        <v>29</v>
      </c>
      <c r="P188" s="1" t="s">
        <v>30</v>
      </c>
      <c r="Q188" s="1" t="s">
        <v>23</v>
      </c>
      <c r="R188">
        <v>0.85902003698580287</v>
      </c>
    </row>
    <row r="189" spans="1:18" x14ac:dyDescent="0.2">
      <c r="A189" s="1">
        <v>150455</v>
      </c>
      <c r="B189" s="1" t="s">
        <v>258</v>
      </c>
      <c r="C189" s="1" t="s">
        <v>102</v>
      </c>
      <c r="D189" s="1">
        <v>0.73109999999999997</v>
      </c>
      <c r="E189" s="1">
        <v>670</v>
      </c>
      <c r="F189" s="1">
        <v>53930</v>
      </c>
      <c r="G189" s="1">
        <v>0.69</v>
      </c>
      <c r="H189" s="1">
        <v>0.77229999999999999</v>
      </c>
      <c r="I189" s="1">
        <v>0.24410000000000001</v>
      </c>
      <c r="J189" s="1">
        <v>50797</v>
      </c>
      <c r="K189" s="1">
        <v>23488</v>
      </c>
      <c r="L189" s="1">
        <v>8169</v>
      </c>
      <c r="M189" s="1">
        <v>7</v>
      </c>
      <c r="N189" s="1" t="s">
        <v>20</v>
      </c>
      <c r="O189" s="1" t="s">
        <v>42</v>
      </c>
      <c r="P189" s="1" t="s">
        <v>22</v>
      </c>
      <c r="Q189" s="1" t="s">
        <v>23</v>
      </c>
      <c r="R189">
        <v>0.85835114961525183</v>
      </c>
    </row>
    <row r="190" spans="1:18" x14ac:dyDescent="0.2">
      <c r="A190" s="1">
        <v>149505</v>
      </c>
      <c r="B190" s="1" t="s">
        <v>259</v>
      </c>
      <c r="C190" s="1" t="s">
        <v>25</v>
      </c>
      <c r="D190" s="1">
        <v>0.84919999999999995</v>
      </c>
      <c r="E190" s="1">
        <v>820</v>
      </c>
      <c r="F190" s="1">
        <v>20605</v>
      </c>
      <c r="G190" s="1">
        <v>0.57520000000000004</v>
      </c>
      <c r="H190" s="1">
        <v>0.8145</v>
      </c>
      <c r="I190" s="1">
        <v>0.3458</v>
      </c>
      <c r="J190" s="1">
        <v>55700</v>
      </c>
      <c r="K190" s="1">
        <v>25009</v>
      </c>
      <c r="L190" s="1">
        <v>7524</v>
      </c>
      <c r="M190" s="1">
        <v>10</v>
      </c>
      <c r="N190" s="1" t="s">
        <v>20</v>
      </c>
      <c r="O190" s="1" t="s">
        <v>21</v>
      </c>
      <c r="P190" s="1" t="s">
        <v>22</v>
      </c>
      <c r="Q190" s="1" t="s">
        <v>23</v>
      </c>
      <c r="R190">
        <v>0.85688147125941549</v>
      </c>
    </row>
    <row r="191" spans="1:18" x14ac:dyDescent="0.2">
      <c r="A191" s="1">
        <v>164748</v>
      </c>
      <c r="B191" s="1" t="s">
        <v>260</v>
      </c>
      <c r="C191" s="1" t="s">
        <v>129</v>
      </c>
      <c r="D191" s="1">
        <v>0.43530000000000002</v>
      </c>
      <c r="E191" s="1">
        <v>7468</v>
      </c>
      <c r="F191" s="1">
        <v>52040</v>
      </c>
      <c r="G191" s="1">
        <v>0.67310000000000003</v>
      </c>
      <c r="H191" s="1">
        <v>0.88570000000000004</v>
      </c>
      <c r="I191" s="1">
        <v>0.1618</v>
      </c>
      <c r="J191" s="1">
        <v>33647</v>
      </c>
      <c r="K191" s="1">
        <v>25000</v>
      </c>
      <c r="L191" s="1">
        <v>10837</v>
      </c>
      <c r="M191" s="1">
        <v>9</v>
      </c>
      <c r="N191" s="1" t="s">
        <v>20</v>
      </c>
      <c r="O191" s="1" t="s">
        <v>29</v>
      </c>
      <c r="P191" s="1" t="s">
        <v>39</v>
      </c>
      <c r="Q191" s="1" t="s">
        <v>31</v>
      </c>
      <c r="R191">
        <v>0.85637760423468923</v>
      </c>
    </row>
    <row r="192" spans="1:18" x14ac:dyDescent="0.2">
      <c r="A192" s="1">
        <v>197133</v>
      </c>
      <c r="B192" s="1" t="s">
        <v>261</v>
      </c>
      <c r="C192" s="1" t="s">
        <v>58</v>
      </c>
      <c r="D192" s="1">
        <v>0.1857</v>
      </c>
      <c r="E192" s="1">
        <v>2444</v>
      </c>
      <c r="F192" s="1">
        <v>71030</v>
      </c>
      <c r="G192" s="1">
        <v>0.91080000000000005</v>
      </c>
      <c r="H192" s="1">
        <v>0.94899999999999995</v>
      </c>
      <c r="I192" s="1">
        <v>0.19239999999999999</v>
      </c>
      <c r="J192" s="1">
        <v>71366</v>
      </c>
      <c r="K192" s="1">
        <v>18625</v>
      </c>
      <c r="L192" s="1">
        <v>13587</v>
      </c>
      <c r="M192" s="1">
        <v>7</v>
      </c>
      <c r="N192" s="1" t="s">
        <v>20</v>
      </c>
      <c r="O192" s="1" t="s">
        <v>21</v>
      </c>
      <c r="P192" s="1" t="s">
        <v>39</v>
      </c>
      <c r="Q192" s="1" t="s">
        <v>23</v>
      </c>
      <c r="R192">
        <v>0.85532165273645067</v>
      </c>
    </row>
    <row r="193" spans="1:18" x14ac:dyDescent="0.2">
      <c r="A193" s="1">
        <v>177038</v>
      </c>
      <c r="B193" s="1" t="s">
        <v>262</v>
      </c>
      <c r="C193" s="1" t="s">
        <v>56</v>
      </c>
      <c r="D193" s="1">
        <v>0.69230000000000003</v>
      </c>
      <c r="E193" s="1">
        <v>95</v>
      </c>
      <c r="F193" s="1">
        <v>14400</v>
      </c>
      <c r="G193" s="1">
        <v>1</v>
      </c>
      <c r="H193" s="1">
        <v>0.5</v>
      </c>
      <c r="I193" s="1">
        <v>0.53490000000000004</v>
      </c>
      <c r="J193" s="1">
        <v>52304</v>
      </c>
      <c r="K193" s="1">
        <v>12500</v>
      </c>
      <c r="L193" s="1">
        <v>5918</v>
      </c>
      <c r="M193" s="1">
        <v>6</v>
      </c>
      <c r="N193" s="1" t="s">
        <v>20</v>
      </c>
      <c r="O193" s="1" t="s">
        <v>29</v>
      </c>
      <c r="P193" s="1" t="s">
        <v>22</v>
      </c>
      <c r="Q193" s="1" t="s">
        <v>23</v>
      </c>
      <c r="R193">
        <v>0.8553058750577015</v>
      </c>
    </row>
    <row r="194" spans="1:18" x14ac:dyDescent="0.2">
      <c r="A194" s="1">
        <v>196149</v>
      </c>
      <c r="B194" s="1" t="s">
        <v>263</v>
      </c>
      <c r="C194" s="1" t="s">
        <v>58</v>
      </c>
      <c r="D194" s="1">
        <v>0.59789999999999999</v>
      </c>
      <c r="E194" s="1">
        <v>5901</v>
      </c>
      <c r="F194" s="1">
        <v>18784</v>
      </c>
      <c r="G194" s="1">
        <v>0.68030000000000002</v>
      </c>
      <c r="H194" s="1">
        <v>0.81089999999999995</v>
      </c>
      <c r="I194" s="1">
        <v>0.2742</v>
      </c>
      <c r="J194" s="1">
        <v>60236</v>
      </c>
      <c r="K194" s="1">
        <v>21500</v>
      </c>
      <c r="L194" s="1">
        <v>7557</v>
      </c>
      <c r="M194" s="1">
        <v>15</v>
      </c>
      <c r="N194" s="1" t="s">
        <v>28</v>
      </c>
      <c r="O194" s="1" t="s">
        <v>42</v>
      </c>
      <c r="P194" s="1" t="s">
        <v>39</v>
      </c>
      <c r="Q194" s="1" t="s">
        <v>23</v>
      </c>
      <c r="R194">
        <v>0.85343695738044523</v>
      </c>
    </row>
    <row r="195" spans="1:18" x14ac:dyDescent="0.2">
      <c r="A195" s="1">
        <v>184694</v>
      </c>
      <c r="B195" s="1" t="s">
        <v>264</v>
      </c>
      <c r="C195" s="1" t="s">
        <v>66</v>
      </c>
      <c r="D195" s="1">
        <v>0.95189999999999997</v>
      </c>
      <c r="E195" s="1">
        <v>1990</v>
      </c>
      <c r="F195" s="1">
        <v>38004</v>
      </c>
      <c r="G195" s="1">
        <v>0.66620000000000001</v>
      </c>
      <c r="H195" s="1">
        <v>0.78210000000000002</v>
      </c>
      <c r="I195" s="1">
        <v>0.36449999999999999</v>
      </c>
      <c r="J195" s="1">
        <v>57273</v>
      </c>
      <c r="K195" s="1">
        <v>25000</v>
      </c>
      <c r="L195" s="1">
        <v>9429</v>
      </c>
      <c r="M195" s="1">
        <v>11</v>
      </c>
      <c r="N195" s="1" t="s">
        <v>20</v>
      </c>
      <c r="O195" s="1" t="s">
        <v>21</v>
      </c>
      <c r="P195" s="1" t="s">
        <v>39</v>
      </c>
      <c r="Q195" s="1" t="s">
        <v>23</v>
      </c>
      <c r="R195">
        <v>0.85244687188638879</v>
      </c>
    </row>
    <row r="196" spans="1:18" x14ac:dyDescent="0.2">
      <c r="A196" s="1">
        <v>181330</v>
      </c>
      <c r="B196" s="1" t="s">
        <v>265</v>
      </c>
      <c r="C196" s="1" t="s">
        <v>221</v>
      </c>
      <c r="D196" s="1">
        <v>0.66120000000000001</v>
      </c>
      <c r="E196" s="1">
        <v>1159</v>
      </c>
      <c r="F196" s="1">
        <v>42050</v>
      </c>
      <c r="G196" s="1">
        <v>0.42120000000000002</v>
      </c>
      <c r="H196" s="1">
        <v>0.69259999999999999</v>
      </c>
      <c r="I196" s="1">
        <v>0.28060000000000002</v>
      </c>
      <c r="J196" s="1">
        <v>52163</v>
      </c>
      <c r="K196" s="1">
        <v>26134</v>
      </c>
      <c r="L196" s="1">
        <v>6937</v>
      </c>
      <c r="M196" s="1">
        <v>14</v>
      </c>
      <c r="N196" s="1" t="s">
        <v>20</v>
      </c>
      <c r="O196" s="1" t="s">
        <v>42</v>
      </c>
      <c r="P196" s="1" t="s">
        <v>22</v>
      </c>
      <c r="Q196" s="1" t="s">
        <v>23</v>
      </c>
      <c r="R196">
        <v>0.85044083359846201</v>
      </c>
    </row>
    <row r="197" spans="1:18" x14ac:dyDescent="0.2">
      <c r="A197" s="1">
        <v>160630</v>
      </c>
      <c r="B197" s="1" t="s">
        <v>266</v>
      </c>
      <c r="C197" s="1" t="s">
        <v>46</v>
      </c>
      <c r="D197" s="1">
        <v>0.78900000000000003</v>
      </c>
      <c r="E197" s="1">
        <v>1055</v>
      </c>
      <c r="F197" s="1">
        <v>16954</v>
      </c>
      <c r="G197" s="1">
        <v>0.13109999999999999</v>
      </c>
      <c r="H197" s="1">
        <v>0.52</v>
      </c>
      <c r="I197" s="1">
        <v>0.41739999999999999</v>
      </c>
      <c r="J197" s="1">
        <v>34042</v>
      </c>
      <c r="K197" s="1">
        <v>31000</v>
      </c>
      <c r="L197" s="1">
        <v>6898</v>
      </c>
      <c r="M197" s="1">
        <v>13</v>
      </c>
      <c r="N197" s="1" t="s">
        <v>28</v>
      </c>
      <c r="O197" s="1" t="s">
        <v>29</v>
      </c>
      <c r="P197" s="1" t="s">
        <v>30</v>
      </c>
      <c r="Q197" s="1" t="s">
        <v>31</v>
      </c>
      <c r="R197">
        <v>0.85025311414000027</v>
      </c>
    </row>
    <row r="198" spans="1:18" x14ac:dyDescent="0.2">
      <c r="A198" s="1">
        <v>112075</v>
      </c>
      <c r="B198" s="1" t="s">
        <v>267</v>
      </c>
      <c r="C198" s="1" t="s">
        <v>33</v>
      </c>
      <c r="D198" s="1">
        <v>0.65990000000000004</v>
      </c>
      <c r="E198" s="1">
        <v>1536</v>
      </c>
      <c r="F198" s="1">
        <v>43480</v>
      </c>
      <c r="G198" s="1">
        <v>0.58309999999999995</v>
      </c>
      <c r="H198" s="1">
        <v>0.74829999999999997</v>
      </c>
      <c r="I198" s="1">
        <v>0.24229999999999999</v>
      </c>
      <c r="J198" s="1">
        <v>65083</v>
      </c>
      <c r="K198" s="1">
        <v>24247</v>
      </c>
      <c r="L198" s="1">
        <v>8069</v>
      </c>
      <c r="M198" s="1">
        <v>13</v>
      </c>
      <c r="N198" s="1" t="s">
        <v>20</v>
      </c>
      <c r="O198" s="1" t="s">
        <v>29</v>
      </c>
      <c r="P198" s="1" t="s">
        <v>22</v>
      </c>
      <c r="Q198" s="1" t="s">
        <v>23</v>
      </c>
      <c r="R198">
        <v>0.85002225727383429</v>
      </c>
    </row>
    <row r="199" spans="1:18" x14ac:dyDescent="0.2">
      <c r="A199" s="1">
        <v>218229</v>
      </c>
      <c r="B199" s="1" t="s">
        <v>268</v>
      </c>
      <c r="C199" s="1" t="s">
        <v>155</v>
      </c>
      <c r="D199" s="1">
        <v>0.81310000000000004</v>
      </c>
      <c r="E199" s="1">
        <v>3397</v>
      </c>
      <c r="F199" s="1">
        <v>21300</v>
      </c>
      <c r="G199" s="1">
        <v>0.49769999999999998</v>
      </c>
      <c r="H199" s="1">
        <v>0.69610000000000005</v>
      </c>
      <c r="I199" s="1">
        <v>0.38729999999999998</v>
      </c>
      <c r="J199" s="1">
        <v>42396</v>
      </c>
      <c r="K199" s="1">
        <v>25000</v>
      </c>
      <c r="L199" s="1">
        <v>7527</v>
      </c>
      <c r="M199" s="1">
        <v>18</v>
      </c>
      <c r="N199" s="1" t="s">
        <v>28</v>
      </c>
      <c r="O199" s="1" t="s">
        <v>42</v>
      </c>
      <c r="P199" s="1" t="s">
        <v>30</v>
      </c>
      <c r="Q199" s="1" t="s">
        <v>31</v>
      </c>
      <c r="R199">
        <v>0.84970699715025966</v>
      </c>
    </row>
    <row r="200" spans="1:18" x14ac:dyDescent="0.2">
      <c r="A200" s="1">
        <v>107877</v>
      </c>
      <c r="B200" s="1" t="s">
        <v>269</v>
      </c>
      <c r="C200" s="1" t="s">
        <v>70</v>
      </c>
      <c r="D200" s="1">
        <v>0.83420000000000005</v>
      </c>
      <c r="E200" s="1">
        <v>478</v>
      </c>
      <c r="F200" s="1">
        <v>21070</v>
      </c>
      <c r="G200" s="1">
        <v>0.25640000000000002</v>
      </c>
      <c r="H200" s="1">
        <v>0.70150000000000001</v>
      </c>
      <c r="I200" s="1">
        <v>0.54379999999999995</v>
      </c>
      <c r="J200" s="1">
        <v>38484</v>
      </c>
      <c r="K200" s="1">
        <v>21820</v>
      </c>
      <c r="L200" s="1">
        <v>5570</v>
      </c>
      <c r="M200" s="1">
        <v>14</v>
      </c>
      <c r="N200" s="1" t="s">
        <v>20</v>
      </c>
      <c r="O200" s="1" t="s">
        <v>42</v>
      </c>
      <c r="P200" s="1" t="s">
        <v>30</v>
      </c>
      <c r="Q200" s="1" t="s">
        <v>31</v>
      </c>
      <c r="R200">
        <v>0.8493721595063991</v>
      </c>
    </row>
    <row r="201" spans="1:18" x14ac:dyDescent="0.2">
      <c r="A201" s="1">
        <v>154013</v>
      </c>
      <c r="B201" s="1" t="s">
        <v>270</v>
      </c>
      <c r="C201" s="1" t="s">
        <v>81</v>
      </c>
      <c r="D201" s="1">
        <v>0.82520000000000004</v>
      </c>
      <c r="E201" s="1">
        <v>1107</v>
      </c>
      <c r="F201" s="1">
        <v>40878</v>
      </c>
      <c r="G201" s="1">
        <v>0.57740000000000002</v>
      </c>
      <c r="H201" s="1">
        <v>0.72770000000000001</v>
      </c>
      <c r="I201" s="1">
        <v>0.26669999999999999</v>
      </c>
      <c r="J201" s="1">
        <v>60787</v>
      </c>
      <c r="K201" s="1">
        <v>23699</v>
      </c>
      <c r="L201" s="1">
        <v>6815</v>
      </c>
      <c r="M201" s="1">
        <v>14</v>
      </c>
      <c r="N201" s="1" t="s">
        <v>20</v>
      </c>
      <c r="O201" s="1" t="s">
        <v>29</v>
      </c>
      <c r="P201" s="1" t="s">
        <v>22</v>
      </c>
      <c r="Q201" s="1" t="s">
        <v>23</v>
      </c>
      <c r="R201">
        <v>0.84924650521551515</v>
      </c>
    </row>
    <row r="202" spans="1:18" x14ac:dyDescent="0.2">
      <c r="A202" s="1">
        <v>118693</v>
      </c>
      <c r="B202" s="1" t="s">
        <v>271</v>
      </c>
      <c r="C202" s="1" t="s">
        <v>33</v>
      </c>
      <c r="D202" s="1">
        <v>0.68469999999999998</v>
      </c>
      <c r="E202" s="1">
        <v>752</v>
      </c>
      <c r="F202" s="1">
        <v>53630</v>
      </c>
      <c r="G202" s="1">
        <v>0.53500000000000003</v>
      </c>
      <c r="H202" s="1">
        <v>0.69940000000000002</v>
      </c>
      <c r="I202" s="1">
        <v>0.3105</v>
      </c>
      <c r="J202" s="1">
        <v>76419</v>
      </c>
      <c r="K202" s="1">
        <v>21750</v>
      </c>
      <c r="L202" s="1">
        <v>10344</v>
      </c>
      <c r="M202" s="1">
        <v>14</v>
      </c>
      <c r="N202" s="1" t="s">
        <v>20</v>
      </c>
      <c r="O202" s="1" t="s">
        <v>21</v>
      </c>
      <c r="P202" s="1" t="s">
        <v>22</v>
      </c>
      <c r="Q202" s="1" t="s">
        <v>23</v>
      </c>
      <c r="R202">
        <v>0.84913413204217936</v>
      </c>
    </row>
    <row r="203" spans="1:18" x14ac:dyDescent="0.2">
      <c r="A203" s="1">
        <v>157809</v>
      </c>
      <c r="B203" s="1" t="s">
        <v>272</v>
      </c>
      <c r="C203" s="1" t="s">
        <v>104</v>
      </c>
      <c r="D203" s="1">
        <v>0.90349999999999997</v>
      </c>
      <c r="E203" s="1">
        <v>1293</v>
      </c>
      <c r="F203" s="1">
        <v>39800</v>
      </c>
      <c r="G203" s="1">
        <v>0.40500000000000003</v>
      </c>
      <c r="H203" s="1">
        <v>0.66749999999999998</v>
      </c>
      <c r="I203" s="1">
        <v>0.23050000000000001</v>
      </c>
      <c r="J203" s="1">
        <v>59384</v>
      </c>
      <c r="K203" s="1">
        <v>26236</v>
      </c>
      <c r="L203" s="1">
        <v>6727</v>
      </c>
      <c r="M203" s="1">
        <v>14</v>
      </c>
      <c r="N203" s="1" t="s">
        <v>20</v>
      </c>
      <c r="O203" s="1" t="s">
        <v>21</v>
      </c>
      <c r="P203" s="1" t="s">
        <v>30</v>
      </c>
      <c r="Q203" s="1" t="s">
        <v>23</v>
      </c>
      <c r="R203">
        <v>0.84909214451655624</v>
      </c>
    </row>
    <row r="204" spans="1:18" x14ac:dyDescent="0.2">
      <c r="A204" s="1">
        <v>173647</v>
      </c>
      <c r="B204" s="1" t="s">
        <v>273</v>
      </c>
      <c r="C204" s="1" t="s">
        <v>54</v>
      </c>
      <c r="D204" s="1">
        <v>0.6099</v>
      </c>
      <c r="E204" s="1">
        <v>1878</v>
      </c>
      <c r="F204" s="1">
        <v>56076</v>
      </c>
      <c r="G204" s="1">
        <v>0.76649999999999996</v>
      </c>
      <c r="H204" s="1">
        <v>0.87980000000000003</v>
      </c>
      <c r="I204" s="1">
        <v>0.20699999999999999</v>
      </c>
      <c r="J204" s="1">
        <v>65607</v>
      </c>
      <c r="K204" s="1">
        <v>26774</v>
      </c>
      <c r="L204" s="1">
        <v>8374</v>
      </c>
      <c r="M204" s="1">
        <v>12</v>
      </c>
      <c r="N204" s="1" t="s">
        <v>20</v>
      </c>
      <c r="O204" s="1" t="s">
        <v>42</v>
      </c>
      <c r="P204" s="1" t="s">
        <v>22</v>
      </c>
      <c r="Q204" s="1" t="s">
        <v>23</v>
      </c>
      <c r="R204">
        <v>0.84854151449304693</v>
      </c>
    </row>
    <row r="205" spans="1:18" x14ac:dyDescent="0.2">
      <c r="A205" s="1">
        <v>238324</v>
      </c>
      <c r="B205" s="1" t="s">
        <v>274</v>
      </c>
      <c r="C205" s="1" t="s">
        <v>50</v>
      </c>
      <c r="D205" s="1">
        <v>0.9718</v>
      </c>
      <c r="E205" s="1">
        <v>372</v>
      </c>
      <c r="F205" s="1">
        <v>30952</v>
      </c>
      <c r="G205" s="1">
        <v>0.63039999999999996</v>
      </c>
      <c r="H205" s="1">
        <v>0.94640000000000002</v>
      </c>
      <c r="I205" s="1">
        <v>0.1258</v>
      </c>
      <c r="J205" s="1">
        <v>76222</v>
      </c>
      <c r="K205" s="1">
        <v>18000</v>
      </c>
      <c r="L205" s="1">
        <v>8323</v>
      </c>
      <c r="M205" s="1">
        <v>10</v>
      </c>
      <c r="N205" s="1" t="s">
        <v>20</v>
      </c>
      <c r="O205" s="1" t="s">
        <v>21</v>
      </c>
      <c r="P205" s="1" t="s">
        <v>22</v>
      </c>
      <c r="Q205" s="1" t="s">
        <v>23</v>
      </c>
      <c r="R205">
        <v>0.84802514192815714</v>
      </c>
    </row>
    <row r="206" spans="1:18" x14ac:dyDescent="0.2">
      <c r="A206" s="1">
        <v>163268</v>
      </c>
      <c r="B206" s="1" t="s">
        <v>275</v>
      </c>
      <c r="C206" s="1" t="s">
        <v>61</v>
      </c>
      <c r="D206" s="1">
        <v>0.72430000000000005</v>
      </c>
      <c r="E206" s="1">
        <v>10701</v>
      </c>
      <c r="F206" s="1">
        <v>31275</v>
      </c>
      <c r="G206" s="1">
        <v>0.70009999999999994</v>
      </c>
      <c r="H206" s="1">
        <v>0.85050000000000003</v>
      </c>
      <c r="I206" s="1">
        <v>0.3004</v>
      </c>
      <c r="J206" s="1">
        <v>69960</v>
      </c>
      <c r="K206" s="1">
        <v>19500</v>
      </c>
      <c r="L206" s="1">
        <v>13145</v>
      </c>
      <c r="M206" s="1">
        <v>17</v>
      </c>
      <c r="N206" s="1" t="s">
        <v>28</v>
      </c>
      <c r="O206" s="1" t="s">
        <v>21</v>
      </c>
      <c r="P206" s="1" t="s">
        <v>30</v>
      </c>
      <c r="Q206" s="1" t="s">
        <v>23</v>
      </c>
      <c r="R206">
        <v>0.84768611512061309</v>
      </c>
    </row>
    <row r="207" spans="1:18" x14ac:dyDescent="0.2">
      <c r="A207" s="1">
        <v>165015</v>
      </c>
      <c r="B207" s="1" t="s">
        <v>276</v>
      </c>
      <c r="C207" s="1" t="s">
        <v>129</v>
      </c>
      <c r="D207" s="1">
        <v>0.40500000000000003</v>
      </c>
      <c r="E207" s="1">
        <v>3618</v>
      </c>
      <c r="F207" s="1">
        <v>68080</v>
      </c>
      <c r="G207" s="1">
        <v>0.86029999999999995</v>
      </c>
      <c r="H207" s="1">
        <v>0.87019999999999997</v>
      </c>
      <c r="I207" s="1">
        <v>0.1497</v>
      </c>
      <c r="J207" s="1">
        <v>77231</v>
      </c>
      <c r="K207" s="1">
        <v>25648</v>
      </c>
      <c r="L207" s="1">
        <v>14570</v>
      </c>
      <c r="M207" s="1">
        <v>10</v>
      </c>
      <c r="N207" s="1" t="s">
        <v>20</v>
      </c>
      <c r="O207" s="1" t="s">
        <v>29</v>
      </c>
      <c r="P207" s="1" t="s">
        <v>39</v>
      </c>
      <c r="Q207" s="1" t="s">
        <v>23</v>
      </c>
      <c r="R207">
        <v>0.84667885399158005</v>
      </c>
    </row>
    <row r="208" spans="1:18" x14ac:dyDescent="0.2">
      <c r="A208" s="1">
        <v>102094</v>
      </c>
      <c r="B208" s="1" t="s">
        <v>277</v>
      </c>
      <c r="C208" s="1" t="s">
        <v>177</v>
      </c>
      <c r="D208" s="1">
        <v>0.70960000000000001</v>
      </c>
      <c r="E208" s="1">
        <v>8879</v>
      </c>
      <c r="F208" s="1">
        <v>19092</v>
      </c>
      <c r="G208" s="1">
        <v>0.52669999999999995</v>
      </c>
      <c r="H208" s="1">
        <v>0.75739999999999996</v>
      </c>
      <c r="I208" s="1">
        <v>0.37959999999999999</v>
      </c>
      <c r="J208" s="1">
        <v>49379</v>
      </c>
      <c r="K208" s="1">
        <v>24929</v>
      </c>
      <c r="L208" s="1">
        <v>7761</v>
      </c>
      <c r="M208" s="1">
        <v>19</v>
      </c>
      <c r="N208" s="1" t="s">
        <v>28</v>
      </c>
      <c r="O208" s="1" t="s">
        <v>29</v>
      </c>
      <c r="P208" s="1" t="s">
        <v>30</v>
      </c>
      <c r="Q208" s="1" t="s">
        <v>31</v>
      </c>
      <c r="R208">
        <v>0.84658671459796109</v>
      </c>
    </row>
    <row r="209" spans="1:18" x14ac:dyDescent="0.2">
      <c r="A209" s="1">
        <v>211291</v>
      </c>
      <c r="B209" s="1" t="s">
        <v>278</v>
      </c>
      <c r="C209" s="1" t="s">
        <v>98</v>
      </c>
      <c r="D209" s="1">
        <v>0.2893</v>
      </c>
      <c r="E209" s="1">
        <v>3876</v>
      </c>
      <c r="F209" s="1">
        <v>67812</v>
      </c>
      <c r="G209" s="1">
        <v>0.86319999999999997</v>
      </c>
      <c r="H209" s="1">
        <v>0.93679999999999997</v>
      </c>
      <c r="I209" s="1">
        <v>0.12379999999999999</v>
      </c>
      <c r="J209" s="1">
        <v>93807</v>
      </c>
      <c r="K209" s="1">
        <v>27000</v>
      </c>
      <c r="L209" s="1">
        <v>13254</v>
      </c>
      <c r="M209" s="1">
        <v>9</v>
      </c>
      <c r="N209" s="1" t="s">
        <v>20</v>
      </c>
      <c r="O209" s="1" t="s">
        <v>42</v>
      </c>
      <c r="P209" s="1" t="s">
        <v>39</v>
      </c>
      <c r="Q209" s="1" t="s">
        <v>23</v>
      </c>
      <c r="R209">
        <v>0.84604626512750991</v>
      </c>
    </row>
    <row r="210" spans="1:18" x14ac:dyDescent="0.2">
      <c r="A210" s="1">
        <v>160065</v>
      </c>
      <c r="B210" s="1" t="s">
        <v>279</v>
      </c>
      <c r="C210" s="1" t="s">
        <v>46</v>
      </c>
      <c r="D210" s="1">
        <v>0.73660000000000003</v>
      </c>
      <c r="E210" s="1">
        <v>471</v>
      </c>
      <c r="F210" s="1">
        <v>16576</v>
      </c>
      <c r="G210" s="1">
        <v>0.48570000000000002</v>
      </c>
      <c r="H210" s="1">
        <v>0.7097</v>
      </c>
      <c r="I210" s="1">
        <v>0.27529999999999999</v>
      </c>
      <c r="J210" s="1">
        <v>49316</v>
      </c>
      <c r="K210" s="1">
        <v>26995</v>
      </c>
      <c r="L210" s="1">
        <v>7708</v>
      </c>
      <c r="M210" s="1">
        <v>7</v>
      </c>
      <c r="N210" s="1" t="s">
        <v>20</v>
      </c>
      <c r="O210" s="1" t="s">
        <v>29</v>
      </c>
      <c r="P210" s="1" t="s">
        <v>30</v>
      </c>
      <c r="Q210" s="1" t="s">
        <v>31</v>
      </c>
      <c r="R210">
        <v>0.84594258669905531</v>
      </c>
    </row>
    <row r="211" spans="1:18" x14ac:dyDescent="0.2">
      <c r="A211" s="1">
        <v>233897</v>
      </c>
      <c r="B211" s="1" t="s">
        <v>280</v>
      </c>
      <c r="C211" s="1" t="s">
        <v>52</v>
      </c>
      <c r="D211" s="1">
        <v>0.28539999999999999</v>
      </c>
      <c r="E211" s="1">
        <v>1101</v>
      </c>
      <c r="F211" s="1">
        <v>28010</v>
      </c>
      <c r="G211" s="1">
        <v>0.47060000000000002</v>
      </c>
      <c r="H211" s="1">
        <v>0.7157</v>
      </c>
      <c r="I211" s="1">
        <v>0.3977</v>
      </c>
      <c r="J211" s="1">
        <v>45325</v>
      </c>
      <c r="K211" s="1">
        <v>16750</v>
      </c>
      <c r="L211" s="1">
        <v>9197</v>
      </c>
      <c r="M211" s="1">
        <v>14</v>
      </c>
      <c r="N211" s="1" t="s">
        <v>28</v>
      </c>
      <c r="O211" s="1" t="s">
        <v>42</v>
      </c>
      <c r="P211" s="1" t="s">
        <v>30</v>
      </c>
      <c r="Q211" s="1" t="s">
        <v>31</v>
      </c>
      <c r="R211">
        <v>0.84544635678620239</v>
      </c>
    </row>
    <row r="212" spans="1:18" x14ac:dyDescent="0.2">
      <c r="A212" s="1">
        <v>193973</v>
      </c>
      <c r="B212" s="1" t="s">
        <v>281</v>
      </c>
      <c r="C212" s="1" t="s">
        <v>58</v>
      </c>
      <c r="D212" s="1">
        <v>0.87370000000000003</v>
      </c>
      <c r="E212" s="1">
        <v>2653</v>
      </c>
      <c r="F212" s="1">
        <v>39345</v>
      </c>
      <c r="G212" s="1">
        <v>0.74509999999999998</v>
      </c>
      <c r="H212" s="1">
        <v>0.80379999999999996</v>
      </c>
      <c r="I212" s="1">
        <v>0.27189999999999998</v>
      </c>
      <c r="J212" s="1">
        <v>56196</v>
      </c>
      <c r="K212" s="1">
        <v>25475</v>
      </c>
      <c r="L212" s="1">
        <v>9724</v>
      </c>
      <c r="M212" s="1">
        <v>10</v>
      </c>
      <c r="N212" s="1" t="s">
        <v>20</v>
      </c>
      <c r="O212" s="1" t="s">
        <v>21</v>
      </c>
      <c r="P212" s="1" t="s">
        <v>39</v>
      </c>
      <c r="Q212" s="1" t="s">
        <v>23</v>
      </c>
      <c r="R212">
        <v>0.84407331028905008</v>
      </c>
    </row>
    <row r="213" spans="1:18" x14ac:dyDescent="0.2">
      <c r="A213" s="1">
        <v>139144</v>
      </c>
      <c r="B213" s="1" t="s">
        <v>282</v>
      </c>
      <c r="C213" s="1" t="s">
        <v>126</v>
      </c>
      <c r="D213" s="1">
        <v>0.64</v>
      </c>
      <c r="E213" s="1">
        <v>2245</v>
      </c>
      <c r="F213" s="1">
        <v>41686</v>
      </c>
      <c r="G213" s="1">
        <v>0.69489999999999996</v>
      </c>
      <c r="H213" s="1">
        <v>0.83509999999999995</v>
      </c>
      <c r="I213" s="1">
        <v>0.26769999999999999</v>
      </c>
      <c r="J213" s="1">
        <v>53800</v>
      </c>
      <c r="K213" s="1">
        <v>23250</v>
      </c>
      <c r="L213" s="1">
        <v>9319</v>
      </c>
      <c r="M213" s="1">
        <v>12</v>
      </c>
      <c r="N213" s="1" t="s">
        <v>20</v>
      </c>
      <c r="O213" s="1" t="s">
        <v>21</v>
      </c>
      <c r="P213" s="1" t="s">
        <v>30</v>
      </c>
      <c r="Q213" s="1" t="s">
        <v>23</v>
      </c>
      <c r="R213">
        <v>0.84366946073805438</v>
      </c>
    </row>
    <row r="214" spans="1:18" x14ac:dyDescent="0.2">
      <c r="A214" s="1">
        <v>454245</v>
      </c>
      <c r="B214" s="1" t="s">
        <v>283</v>
      </c>
      <c r="C214" s="1" t="s">
        <v>216</v>
      </c>
      <c r="D214" s="1">
        <v>0.90910000000000002</v>
      </c>
      <c r="E214" s="1">
        <v>693</v>
      </c>
      <c r="F214" s="1">
        <v>20785</v>
      </c>
      <c r="G214" s="1">
        <v>0.5</v>
      </c>
      <c r="H214" s="1">
        <v>0.66669999999999996</v>
      </c>
      <c r="I214" s="1">
        <v>0.46850000000000003</v>
      </c>
      <c r="J214" s="1">
        <v>92405</v>
      </c>
      <c r="K214" s="1">
        <v>20919</v>
      </c>
      <c r="L214" s="1">
        <v>8978</v>
      </c>
      <c r="M214" s="1">
        <v>10</v>
      </c>
      <c r="N214" s="1" t="s">
        <v>142</v>
      </c>
      <c r="O214" s="1" t="s">
        <v>29</v>
      </c>
      <c r="P214" s="1" t="s">
        <v>22</v>
      </c>
      <c r="Q214" s="1" t="s">
        <v>23</v>
      </c>
      <c r="R214">
        <v>0.84281850482971288</v>
      </c>
    </row>
    <row r="215" spans="1:18" x14ac:dyDescent="0.2">
      <c r="A215" s="1">
        <v>232566</v>
      </c>
      <c r="B215" s="1" t="s">
        <v>284</v>
      </c>
      <c r="C215" s="1" t="s">
        <v>52</v>
      </c>
      <c r="D215" s="1">
        <v>0.9022</v>
      </c>
      <c r="E215" s="1">
        <v>3015</v>
      </c>
      <c r="F215" s="1">
        <v>27978</v>
      </c>
      <c r="G215" s="1">
        <v>0.61229999999999996</v>
      </c>
      <c r="H215" s="1">
        <v>0.79769999999999996</v>
      </c>
      <c r="I215" s="1">
        <v>0.27710000000000001</v>
      </c>
      <c r="J215" s="1">
        <v>52347</v>
      </c>
      <c r="K215" s="1">
        <v>25000</v>
      </c>
      <c r="L215" s="1">
        <v>9246</v>
      </c>
      <c r="M215" s="1">
        <v>15</v>
      </c>
      <c r="N215" s="1" t="s">
        <v>28</v>
      </c>
      <c r="O215" s="1" t="s">
        <v>42</v>
      </c>
      <c r="P215" s="1" t="s">
        <v>30</v>
      </c>
      <c r="Q215" s="1" t="s">
        <v>23</v>
      </c>
      <c r="R215">
        <v>0.8425124773128615</v>
      </c>
    </row>
    <row r="216" spans="1:18" x14ac:dyDescent="0.2">
      <c r="A216" s="1">
        <v>230038</v>
      </c>
      <c r="B216" s="1" t="s">
        <v>285</v>
      </c>
      <c r="C216" s="1" t="s">
        <v>286</v>
      </c>
      <c r="D216" s="1">
        <v>0.67779999999999996</v>
      </c>
      <c r="E216" s="1">
        <v>32952</v>
      </c>
      <c r="F216" s="1">
        <v>6688</v>
      </c>
      <c r="G216" s="1">
        <v>0.80979999999999996</v>
      </c>
      <c r="H216" s="1">
        <v>0.90969999999999995</v>
      </c>
      <c r="I216" s="1">
        <v>0.32100000000000001</v>
      </c>
      <c r="J216" s="1">
        <v>75790</v>
      </c>
      <c r="K216" s="1">
        <v>11069</v>
      </c>
      <c r="L216" s="1">
        <v>14370</v>
      </c>
      <c r="M216" s="1">
        <v>21</v>
      </c>
      <c r="N216" s="1" t="s">
        <v>20</v>
      </c>
      <c r="O216" s="1" t="s">
        <v>29</v>
      </c>
      <c r="P216" s="1" t="s">
        <v>22</v>
      </c>
      <c r="Q216" s="1" t="s">
        <v>23</v>
      </c>
      <c r="R216">
        <v>0.84228754341562195</v>
      </c>
    </row>
    <row r="217" spans="1:18" x14ac:dyDescent="0.2">
      <c r="A217" s="1">
        <v>206491</v>
      </c>
      <c r="B217" s="1" t="s">
        <v>287</v>
      </c>
      <c r="C217" s="1" t="s">
        <v>19</v>
      </c>
      <c r="D217" s="1">
        <v>0.40500000000000003</v>
      </c>
      <c r="E217" s="1">
        <v>822</v>
      </c>
      <c r="F217" s="1">
        <v>16448</v>
      </c>
      <c r="G217" s="1">
        <v>0.1202</v>
      </c>
      <c r="H217" s="1">
        <v>0.74170000000000003</v>
      </c>
      <c r="I217" s="1">
        <v>0.7409</v>
      </c>
      <c r="J217" s="1">
        <v>38298</v>
      </c>
      <c r="K217" s="1">
        <v>26468</v>
      </c>
      <c r="L217" s="1">
        <v>7300</v>
      </c>
      <c r="M217" s="1">
        <v>12</v>
      </c>
      <c r="N217" s="1" t="s">
        <v>20</v>
      </c>
      <c r="O217" s="1" t="s">
        <v>42</v>
      </c>
      <c r="P217" s="1" t="s">
        <v>22</v>
      </c>
      <c r="Q217" s="1" t="s">
        <v>31</v>
      </c>
      <c r="R217">
        <v>0.84206325426391215</v>
      </c>
    </row>
    <row r="218" spans="1:18" x14ac:dyDescent="0.2">
      <c r="A218" s="1">
        <v>198969</v>
      </c>
      <c r="B218" s="1" t="s">
        <v>288</v>
      </c>
      <c r="C218" s="1" t="s">
        <v>86</v>
      </c>
      <c r="D218" s="1">
        <v>0.75139999999999996</v>
      </c>
      <c r="E218" s="1">
        <v>1448</v>
      </c>
      <c r="F218" s="1">
        <v>41250</v>
      </c>
      <c r="G218" s="1">
        <v>0.43509999999999999</v>
      </c>
      <c r="H218" s="1">
        <v>0.65100000000000002</v>
      </c>
      <c r="I218" s="1">
        <v>0.41299999999999998</v>
      </c>
      <c r="J218" s="1">
        <v>48050</v>
      </c>
      <c r="K218" s="1">
        <v>27000</v>
      </c>
      <c r="L218" s="1">
        <v>8728</v>
      </c>
      <c r="M218" s="1">
        <v>11</v>
      </c>
      <c r="N218" s="1" t="s">
        <v>20</v>
      </c>
      <c r="O218" s="1" t="s">
        <v>29</v>
      </c>
      <c r="P218" s="1" t="s">
        <v>30</v>
      </c>
      <c r="Q218" s="1" t="s">
        <v>31</v>
      </c>
      <c r="R218">
        <v>0.84037557450660805</v>
      </c>
    </row>
    <row r="219" spans="1:18" x14ac:dyDescent="0.2">
      <c r="A219" s="1">
        <v>188429</v>
      </c>
      <c r="B219" s="1" t="s">
        <v>289</v>
      </c>
      <c r="C219" s="1" t="s">
        <v>58</v>
      </c>
      <c r="D219" s="1">
        <v>0.65910000000000002</v>
      </c>
      <c r="E219" s="1">
        <v>5276</v>
      </c>
      <c r="F219" s="1">
        <v>49110</v>
      </c>
      <c r="G219" s="1">
        <v>0.67149999999999999</v>
      </c>
      <c r="H219" s="1">
        <v>0.8286</v>
      </c>
      <c r="I219" s="1">
        <v>0.31030000000000002</v>
      </c>
      <c r="J219" s="1">
        <v>75482</v>
      </c>
      <c r="K219" s="1">
        <v>25000</v>
      </c>
      <c r="L219" s="1">
        <v>13657</v>
      </c>
      <c r="M219" s="1">
        <v>12</v>
      </c>
      <c r="N219" s="1" t="s">
        <v>20</v>
      </c>
      <c r="O219" s="1" t="s">
        <v>21</v>
      </c>
      <c r="P219" s="1" t="s">
        <v>39</v>
      </c>
      <c r="Q219" s="1" t="s">
        <v>23</v>
      </c>
      <c r="R219">
        <v>0.8382167247870993</v>
      </c>
    </row>
    <row r="220" spans="1:18" x14ac:dyDescent="0.2">
      <c r="A220" s="1">
        <v>198613</v>
      </c>
      <c r="B220" s="1" t="s">
        <v>290</v>
      </c>
      <c r="C220" s="1" t="s">
        <v>86</v>
      </c>
      <c r="D220" s="1">
        <v>0.8</v>
      </c>
      <c r="E220" s="1">
        <v>1001</v>
      </c>
      <c r="F220" s="1">
        <v>41362</v>
      </c>
      <c r="G220" s="1">
        <v>0.45810000000000001</v>
      </c>
      <c r="H220" s="1">
        <v>0.6492</v>
      </c>
      <c r="I220" s="1">
        <v>0.43709999999999999</v>
      </c>
      <c r="J220" s="1">
        <v>47590</v>
      </c>
      <c r="K220" s="1">
        <v>26000</v>
      </c>
      <c r="L220" s="1">
        <v>7005</v>
      </c>
      <c r="M220" s="1">
        <v>12</v>
      </c>
      <c r="N220" s="1" t="s">
        <v>20</v>
      </c>
      <c r="O220" s="1" t="s">
        <v>29</v>
      </c>
      <c r="P220" s="1" t="s">
        <v>30</v>
      </c>
      <c r="Q220" s="1" t="s">
        <v>31</v>
      </c>
      <c r="R220">
        <v>0.83794304313221291</v>
      </c>
    </row>
    <row r="221" spans="1:18" x14ac:dyDescent="0.2">
      <c r="A221" s="1">
        <v>169798</v>
      </c>
      <c r="B221" s="1" t="s">
        <v>291</v>
      </c>
      <c r="C221" s="1" t="s">
        <v>109</v>
      </c>
      <c r="D221" s="1">
        <v>0.7964</v>
      </c>
      <c r="E221" s="1">
        <v>10055</v>
      </c>
      <c r="F221" s="1">
        <v>16240</v>
      </c>
      <c r="G221" s="1">
        <v>0.46439999999999998</v>
      </c>
      <c r="H221" s="1">
        <v>0.6875</v>
      </c>
      <c r="I221" s="1">
        <v>0.3664</v>
      </c>
      <c r="J221" s="1">
        <v>51793</v>
      </c>
      <c r="K221" s="1">
        <v>25000</v>
      </c>
      <c r="L221" s="1">
        <v>10472</v>
      </c>
      <c r="M221" s="1">
        <v>14</v>
      </c>
      <c r="N221" s="1" t="s">
        <v>28</v>
      </c>
      <c r="O221" s="1" t="s">
        <v>21</v>
      </c>
      <c r="P221" s="1" t="s">
        <v>22</v>
      </c>
      <c r="Q221" s="1" t="s">
        <v>23</v>
      </c>
      <c r="R221">
        <v>0.83745993728228929</v>
      </c>
    </row>
    <row r="222" spans="1:18" x14ac:dyDescent="0.2">
      <c r="A222" s="1">
        <v>220862</v>
      </c>
      <c r="B222" s="1" t="s">
        <v>292</v>
      </c>
      <c r="C222" s="1" t="s">
        <v>163</v>
      </c>
      <c r="D222" s="1">
        <v>0.72030000000000005</v>
      </c>
      <c r="E222" s="1">
        <v>12701</v>
      </c>
      <c r="F222" s="1">
        <v>15384</v>
      </c>
      <c r="G222" s="1">
        <v>0.50890000000000002</v>
      </c>
      <c r="H222" s="1">
        <v>0.77380000000000004</v>
      </c>
      <c r="I222" s="1">
        <v>0.41220000000000001</v>
      </c>
      <c r="J222" s="1">
        <v>48458</v>
      </c>
      <c r="K222" s="1">
        <v>23300</v>
      </c>
      <c r="L222" s="1">
        <v>9632</v>
      </c>
      <c r="M222" s="1">
        <v>16</v>
      </c>
      <c r="N222" s="1" t="s">
        <v>28</v>
      </c>
      <c r="O222" s="1" t="s">
        <v>29</v>
      </c>
      <c r="P222" s="1" t="s">
        <v>30</v>
      </c>
      <c r="Q222" s="1" t="s">
        <v>31</v>
      </c>
      <c r="R222">
        <v>0.83742790167285108</v>
      </c>
    </row>
    <row r="223" spans="1:18" x14ac:dyDescent="0.2">
      <c r="A223" s="1">
        <v>216357</v>
      </c>
      <c r="B223" s="1" t="s">
        <v>293</v>
      </c>
      <c r="C223" s="1" t="s">
        <v>98</v>
      </c>
      <c r="D223" s="1">
        <v>0.71550000000000002</v>
      </c>
      <c r="E223" s="1">
        <v>788</v>
      </c>
      <c r="F223" s="1">
        <v>38344</v>
      </c>
      <c r="G223" s="1">
        <v>0.48730000000000001</v>
      </c>
      <c r="H223" s="1">
        <v>0.73270000000000002</v>
      </c>
      <c r="I223" s="1">
        <v>0.4078</v>
      </c>
      <c r="J223" s="1">
        <v>49714</v>
      </c>
      <c r="K223" s="1">
        <v>27000</v>
      </c>
      <c r="L223" s="1">
        <v>7413</v>
      </c>
      <c r="M223" s="1">
        <v>12</v>
      </c>
      <c r="N223" s="1" t="s">
        <v>20</v>
      </c>
      <c r="O223" s="1" t="s">
        <v>42</v>
      </c>
      <c r="P223" s="1" t="s">
        <v>39</v>
      </c>
      <c r="Q223" s="1" t="s">
        <v>31</v>
      </c>
      <c r="R223">
        <v>0.83687992435853409</v>
      </c>
    </row>
    <row r="224" spans="1:18" x14ac:dyDescent="0.2">
      <c r="A224" s="1">
        <v>169248</v>
      </c>
      <c r="B224" s="1" t="s">
        <v>294</v>
      </c>
      <c r="C224" s="1" t="s">
        <v>109</v>
      </c>
      <c r="D224" s="1">
        <v>0.8982</v>
      </c>
      <c r="E224" s="1">
        <v>10035</v>
      </c>
      <c r="F224" s="1">
        <v>14760</v>
      </c>
      <c r="G224" s="1">
        <v>0.58720000000000006</v>
      </c>
      <c r="H224" s="1">
        <v>0.75360000000000005</v>
      </c>
      <c r="I224" s="1">
        <v>0.31430000000000002</v>
      </c>
      <c r="J224" s="1">
        <v>55874</v>
      </c>
      <c r="K224" s="1">
        <v>27000</v>
      </c>
      <c r="L224" s="1">
        <v>10682</v>
      </c>
      <c r="M224" s="1">
        <v>16</v>
      </c>
      <c r="N224" s="1" t="s">
        <v>28</v>
      </c>
      <c r="O224" s="1" t="s">
        <v>42</v>
      </c>
      <c r="P224" s="1" t="s">
        <v>22</v>
      </c>
      <c r="Q224" s="1" t="s">
        <v>23</v>
      </c>
      <c r="R224">
        <v>0.83653280845338351</v>
      </c>
    </row>
    <row r="225" spans="1:18" x14ac:dyDescent="0.2">
      <c r="A225" s="1">
        <v>498562</v>
      </c>
      <c r="B225" s="1" t="s">
        <v>295</v>
      </c>
      <c r="C225" s="1" t="s">
        <v>98</v>
      </c>
      <c r="D225" s="1">
        <v>0.93089999999999995</v>
      </c>
      <c r="E225" s="1">
        <v>9210</v>
      </c>
      <c r="F225" s="1">
        <v>22870</v>
      </c>
      <c r="G225" s="1">
        <v>0.54479999999999995</v>
      </c>
      <c r="H225" s="1">
        <v>0.77569999999999995</v>
      </c>
      <c r="I225" s="1">
        <v>0.31790000000000002</v>
      </c>
      <c r="J225" s="1">
        <v>52416</v>
      </c>
      <c r="K225" s="1">
        <v>26000</v>
      </c>
      <c r="L225" s="1">
        <v>11730</v>
      </c>
      <c r="M225" s="1">
        <v>19</v>
      </c>
      <c r="N225" s="1" t="s">
        <v>28</v>
      </c>
      <c r="O225" s="1" t="s">
        <v>42</v>
      </c>
      <c r="P225" s="1" t="s">
        <v>39</v>
      </c>
      <c r="Q225" s="1" t="s">
        <v>23</v>
      </c>
      <c r="R225">
        <v>0.83532873532599217</v>
      </c>
    </row>
    <row r="226" spans="1:18" x14ac:dyDescent="0.2">
      <c r="A226" s="1">
        <v>217776</v>
      </c>
      <c r="B226" s="1" t="s">
        <v>296</v>
      </c>
      <c r="C226" s="1" t="s">
        <v>155</v>
      </c>
      <c r="D226" s="1">
        <v>0.99529999999999996</v>
      </c>
      <c r="E226" s="1">
        <v>747</v>
      </c>
      <c r="F226" s="1">
        <v>29800</v>
      </c>
      <c r="G226" s="1">
        <v>0.52359999999999995</v>
      </c>
      <c r="H226" s="1">
        <v>0.68989999999999996</v>
      </c>
      <c r="I226" s="1">
        <v>0.43070000000000003</v>
      </c>
      <c r="J226" s="1">
        <v>47756</v>
      </c>
      <c r="K226" s="1">
        <v>26000</v>
      </c>
      <c r="L226" s="1">
        <v>5744</v>
      </c>
      <c r="M226" s="1">
        <v>10</v>
      </c>
      <c r="N226" s="1" t="s">
        <v>20</v>
      </c>
      <c r="O226" s="1" t="s">
        <v>21</v>
      </c>
      <c r="P226" s="1" t="s">
        <v>30</v>
      </c>
      <c r="Q226" s="1" t="s">
        <v>31</v>
      </c>
      <c r="R226">
        <v>0.83523602337827052</v>
      </c>
    </row>
    <row r="227" spans="1:18" x14ac:dyDescent="0.2">
      <c r="A227" s="1">
        <v>139199</v>
      </c>
      <c r="B227" s="1" t="s">
        <v>297</v>
      </c>
      <c r="C227" s="1" t="s">
        <v>126</v>
      </c>
      <c r="D227" s="1">
        <v>0.87780000000000002</v>
      </c>
      <c r="E227" s="1">
        <v>1029</v>
      </c>
      <c r="F227" s="1">
        <v>34027</v>
      </c>
      <c r="G227" s="1">
        <v>0.3291</v>
      </c>
      <c r="H227" s="1">
        <v>0.64970000000000006</v>
      </c>
      <c r="I227" s="1">
        <v>0.45860000000000001</v>
      </c>
      <c r="J227" s="1">
        <v>54003</v>
      </c>
      <c r="K227" s="1">
        <v>27000</v>
      </c>
      <c r="L227" s="1">
        <v>7783</v>
      </c>
      <c r="M227" s="1">
        <v>11</v>
      </c>
      <c r="N227" s="1" t="s">
        <v>20</v>
      </c>
      <c r="O227" s="1" t="s">
        <v>29</v>
      </c>
      <c r="P227" s="1" t="s">
        <v>30</v>
      </c>
      <c r="Q227" s="1" t="s">
        <v>23</v>
      </c>
      <c r="R227">
        <v>0.83501022782227807</v>
      </c>
    </row>
    <row r="228" spans="1:18" x14ac:dyDescent="0.2">
      <c r="A228" s="1">
        <v>139393</v>
      </c>
      <c r="B228" s="1" t="s">
        <v>298</v>
      </c>
      <c r="C228" s="1" t="s">
        <v>126</v>
      </c>
      <c r="D228" s="1">
        <v>0.86509999999999998</v>
      </c>
      <c r="E228" s="1">
        <v>939</v>
      </c>
      <c r="F228" s="1">
        <v>42040</v>
      </c>
      <c r="G228" s="1">
        <v>0.71489999999999998</v>
      </c>
      <c r="H228" s="1">
        <v>0.8821</v>
      </c>
      <c r="I228" s="1">
        <v>0.1905</v>
      </c>
      <c r="J228" s="1">
        <v>50412</v>
      </c>
      <c r="K228" s="1">
        <v>22500</v>
      </c>
      <c r="L228" s="1">
        <v>8555</v>
      </c>
      <c r="M228" s="1">
        <v>13</v>
      </c>
      <c r="N228" s="1" t="s">
        <v>20</v>
      </c>
      <c r="O228" s="1" t="s">
        <v>21</v>
      </c>
      <c r="P228" s="1" t="s">
        <v>30</v>
      </c>
      <c r="Q228" s="1" t="s">
        <v>23</v>
      </c>
      <c r="R228">
        <v>0.83426095517028143</v>
      </c>
    </row>
    <row r="229" spans="1:18" x14ac:dyDescent="0.2">
      <c r="A229" s="1">
        <v>126614</v>
      </c>
      <c r="B229" s="1" t="s">
        <v>299</v>
      </c>
      <c r="C229" s="1" t="s">
        <v>161</v>
      </c>
      <c r="D229" s="1">
        <v>0.78080000000000005</v>
      </c>
      <c r="E229" s="1">
        <v>31939</v>
      </c>
      <c r="F229" s="1">
        <v>44918</v>
      </c>
      <c r="G229" s="1">
        <v>0.7419</v>
      </c>
      <c r="H229" s="1">
        <v>0.90149999999999997</v>
      </c>
      <c r="I229" s="1">
        <v>0.1449</v>
      </c>
      <c r="J229" s="1">
        <v>69738</v>
      </c>
      <c r="K229" s="1">
        <v>19500</v>
      </c>
      <c r="L229" s="1">
        <v>13324</v>
      </c>
      <c r="M229" s="1">
        <v>19</v>
      </c>
      <c r="N229" s="1" t="s">
        <v>28</v>
      </c>
      <c r="O229" s="1" t="s">
        <v>29</v>
      </c>
      <c r="P229" s="1" t="s">
        <v>22</v>
      </c>
      <c r="Q229" s="1" t="s">
        <v>23</v>
      </c>
      <c r="R229">
        <v>0.8332952731261527</v>
      </c>
    </row>
    <row r="230" spans="1:18" x14ac:dyDescent="0.2">
      <c r="A230" s="1">
        <v>163976</v>
      </c>
      <c r="B230" s="1" t="s">
        <v>300</v>
      </c>
      <c r="C230" s="1" t="s">
        <v>61</v>
      </c>
      <c r="D230" s="1">
        <v>0.5524</v>
      </c>
      <c r="E230" s="1">
        <v>471</v>
      </c>
      <c r="F230" s="1">
        <v>40684</v>
      </c>
      <c r="G230" s="1">
        <v>0.71430000000000005</v>
      </c>
      <c r="H230" s="1">
        <v>0.82709999999999995</v>
      </c>
      <c r="I230" s="1">
        <v>0.20080000000000001</v>
      </c>
      <c r="J230" s="1">
        <v>51584</v>
      </c>
      <c r="K230" s="1">
        <v>27000</v>
      </c>
      <c r="L230" s="1">
        <v>8919</v>
      </c>
      <c r="M230" s="1">
        <v>8</v>
      </c>
      <c r="N230" s="1" t="s">
        <v>20</v>
      </c>
      <c r="O230" s="1" t="s">
        <v>21</v>
      </c>
      <c r="P230" s="1" t="s">
        <v>30</v>
      </c>
      <c r="Q230" s="1" t="s">
        <v>23</v>
      </c>
      <c r="R230">
        <v>0.83323871071596911</v>
      </c>
    </row>
    <row r="231" spans="1:18" x14ac:dyDescent="0.2">
      <c r="A231" s="1">
        <v>159382</v>
      </c>
      <c r="B231" s="1" t="s">
        <v>301</v>
      </c>
      <c r="C231" s="1" t="s">
        <v>46</v>
      </c>
      <c r="D231" s="1">
        <v>0.92079999999999995</v>
      </c>
      <c r="E231" s="1">
        <v>5632</v>
      </c>
      <c r="F231" s="1">
        <v>14650</v>
      </c>
      <c r="G231" s="1">
        <v>0.3422</v>
      </c>
      <c r="H231" s="1">
        <v>0.69520000000000004</v>
      </c>
      <c r="I231" s="1">
        <v>0.3538</v>
      </c>
      <c r="J231" s="1">
        <v>42205</v>
      </c>
      <c r="K231" s="1">
        <v>19000</v>
      </c>
      <c r="L231" s="1">
        <v>7220</v>
      </c>
      <c r="M231" s="1">
        <v>33</v>
      </c>
      <c r="N231" s="1" t="s">
        <v>28</v>
      </c>
      <c r="O231" s="1" t="s">
        <v>42</v>
      </c>
      <c r="P231" s="1" t="s">
        <v>30</v>
      </c>
      <c r="Q231" s="1" t="s">
        <v>31</v>
      </c>
      <c r="R231">
        <v>0.83265954856083457</v>
      </c>
    </row>
    <row r="232" spans="1:18" x14ac:dyDescent="0.2">
      <c r="A232" s="1">
        <v>210304</v>
      </c>
      <c r="B232" s="1" t="s">
        <v>302</v>
      </c>
      <c r="C232" s="1" t="s">
        <v>79</v>
      </c>
      <c r="D232" s="1">
        <v>0.71140000000000003</v>
      </c>
      <c r="E232" s="1">
        <v>375</v>
      </c>
      <c r="F232" s="1">
        <v>22220</v>
      </c>
      <c r="G232" s="1">
        <v>0.49180000000000001</v>
      </c>
      <c r="H232" s="1">
        <v>0.91669999999999996</v>
      </c>
      <c r="I232" s="1">
        <v>0.47860000000000003</v>
      </c>
      <c r="J232" s="1">
        <v>55204</v>
      </c>
      <c r="K232" s="1">
        <v>25000</v>
      </c>
      <c r="L232" s="1">
        <v>6822</v>
      </c>
      <c r="M232" s="1">
        <v>14</v>
      </c>
      <c r="N232" s="1" t="s">
        <v>20</v>
      </c>
      <c r="O232" s="1" t="s">
        <v>29</v>
      </c>
      <c r="P232" s="1" t="s">
        <v>22</v>
      </c>
      <c r="Q232" s="1" t="s">
        <v>23</v>
      </c>
      <c r="R232">
        <v>0.83094833944266544</v>
      </c>
    </row>
    <row r="233" spans="1:18" x14ac:dyDescent="0.2">
      <c r="A233" s="1">
        <v>226231</v>
      </c>
      <c r="B233" s="1" t="s">
        <v>303</v>
      </c>
      <c r="C233" s="1" t="s">
        <v>36</v>
      </c>
      <c r="D233" s="1">
        <v>0.38009999999999999</v>
      </c>
      <c r="E233" s="1">
        <v>1468</v>
      </c>
      <c r="F233" s="1">
        <v>37160</v>
      </c>
      <c r="G233" s="1">
        <v>0.58579999999999999</v>
      </c>
      <c r="H233" s="1">
        <v>0.80779999999999996</v>
      </c>
      <c r="I233" s="1">
        <v>0.13289999999999999</v>
      </c>
      <c r="J233" s="1">
        <v>57103</v>
      </c>
      <c r="K233" s="1">
        <v>26000</v>
      </c>
      <c r="L233" s="1">
        <v>6550</v>
      </c>
      <c r="M233" s="1">
        <v>11</v>
      </c>
      <c r="N233" s="1" t="s">
        <v>20</v>
      </c>
      <c r="O233" s="1" t="s">
        <v>29</v>
      </c>
      <c r="P233" s="1" t="s">
        <v>30</v>
      </c>
      <c r="Q233" s="1" t="s">
        <v>23</v>
      </c>
      <c r="R233">
        <v>0.82976612049330201</v>
      </c>
    </row>
    <row r="234" spans="1:18" x14ac:dyDescent="0.2">
      <c r="A234" s="1">
        <v>171571</v>
      </c>
      <c r="B234" s="1" t="s">
        <v>304</v>
      </c>
      <c r="C234" s="1" t="s">
        <v>109</v>
      </c>
      <c r="D234" s="1">
        <v>0.87839999999999996</v>
      </c>
      <c r="E234" s="1">
        <v>12351</v>
      </c>
      <c r="F234" s="1">
        <v>23188</v>
      </c>
      <c r="G234" s="1">
        <v>0.5756</v>
      </c>
      <c r="H234" s="1">
        <v>0.77939999999999998</v>
      </c>
      <c r="I234" s="1">
        <v>0.31979999999999997</v>
      </c>
      <c r="J234" s="1">
        <v>58612</v>
      </c>
      <c r="K234" s="1">
        <v>22750</v>
      </c>
      <c r="L234" s="1">
        <v>10527</v>
      </c>
      <c r="M234" s="1">
        <v>17</v>
      </c>
      <c r="N234" s="1" t="s">
        <v>28</v>
      </c>
      <c r="O234" s="1" t="s">
        <v>21</v>
      </c>
      <c r="P234" s="1" t="s">
        <v>22</v>
      </c>
      <c r="Q234" s="1" t="s">
        <v>23</v>
      </c>
      <c r="R234">
        <v>0.82963694423282974</v>
      </c>
    </row>
    <row r="235" spans="1:18" x14ac:dyDescent="0.2">
      <c r="A235" s="1">
        <v>133711</v>
      </c>
      <c r="B235" s="1" t="s">
        <v>305</v>
      </c>
      <c r="C235" s="1" t="s">
        <v>27</v>
      </c>
      <c r="D235" s="1">
        <v>0.80759999999999998</v>
      </c>
      <c r="E235" s="1">
        <v>2391</v>
      </c>
      <c r="F235" s="1">
        <v>29900</v>
      </c>
      <c r="G235" s="1">
        <v>0.55979999999999996</v>
      </c>
      <c r="H235" s="1">
        <v>0.75529999999999997</v>
      </c>
      <c r="I235" s="1">
        <v>0.29070000000000001</v>
      </c>
      <c r="J235" s="1">
        <v>49483</v>
      </c>
      <c r="K235" s="1">
        <v>24250</v>
      </c>
      <c r="L235" s="1">
        <v>7796</v>
      </c>
      <c r="M235" s="1">
        <v>15</v>
      </c>
      <c r="N235" s="1" t="s">
        <v>20</v>
      </c>
      <c r="O235" s="1" t="s">
        <v>21</v>
      </c>
      <c r="P235" s="1" t="s">
        <v>30</v>
      </c>
      <c r="Q235" s="1" t="s">
        <v>31</v>
      </c>
      <c r="R235">
        <v>0.8292190570838508</v>
      </c>
    </row>
    <row r="236" spans="1:18" x14ac:dyDescent="0.2">
      <c r="A236" s="1">
        <v>238193</v>
      </c>
      <c r="B236" s="1" t="s">
        <v>306</v>
      </c>
      <c r="C236" s="1" t="s">
        <v>50</v>
      </c>
      <c r="D236" s="1">
        <v>0.85740000000000005</v>
      </c>
      <c r="E236" s="1">
        <v>631</v>
      </c>
      <c r="F236" s="1">
        <v>34086</v>
      </c>
      <c r="G236" s="1">
        <v>0.49180000000000001</v>
      </c>
      <c r="H236" s="1">
        <v>0.60960000000000003</v>
      </c>
      <c r="I236" s="1">
        <v>0.45100000000000001</v>
      </c>
      <c r="J236" s="1">
        <v>53145</v>
      </c>
      <c r="K236" s="1">
        <v>27000</v>
      </c>
      <c r="L236" s="1">
        <v>6282</v>
      </c>
      <c r="M236" s="1">
        <v>13</v>
      </c>
      <c r="N236" s="1" t="s">
        <v>20</v>
      </c>
      <c r="O236" s="1" t="s">
        <v>29</v>
      </c>
      <c r="P236" s="1" t="s">
        <v>22</v>
      </c>
      <c r="Q236" s="1" t="s">
        <v>23</v>
      </c>
      <c r="R236">
        <v>0.82866246094957619</v>
      </c>
    </row>
    <row r="237" spans="1:18" x14ac:dyDescent="0.2">
      <c r="A237" s="1">
        <v>198419</v>
      </c>
      <c r="B237" s="1" t="s">
        <v>307</v>
      </c>
      <c r="C237" s="1" t="s">
        <v>86</v>
      </c>
      <c r="D237" s="1">
        <v>5.7099999999999998E-2</v>
      </c>
      <c r="E237" s="1">
        <v>6442</v>
      </c>
      <c r="F237" s="1">
        <v>68758</v>
      </c>
      <c r="G237" s="1">
        <v>0.96779999999999999</v>
      </c>
      <c r="H237" s="1">
        <v>0.97929999999999995</v>
      </c>
      <c r="I237" s="1">
        <v>0.14030000000000001</v>
      </c>
      <c r="J237" s="1">
        <v>97800</v>
      </c>
      <c r="K237" s="1">
        <v>13000</v>
      </c>
      <c r="L237" s="1">
        <v>19001</v>
      </c>
      <c r="M237" s="1">
        <v>5</v>
      </c>
      <c r="N237" s="1" t="s">
        <v>20</v>
      </c>
      <c r="O237" s="1" t="s">
        <v>29</v>
      </c>
      <c r="P237" s="1" t="s">
        <v>30</v>
      </c>
      <c r="Q237" s="1" t="s">
        <v>23</v>
      </c>
      <c r="R237">
        <v>0.82853010742431399</v>
      </c>
    </row>
    <row r="238" spans="1:18" x14ac:dyDescent="0.2">
      <c r="A238" s="1">
        <v>228723</v>
      </c>
      <c r="B238" s="1" t="s">
        <v>308</v>
      </c>
      <c r="C238" s="1" t="s">
        <v>36</v>
      </c>
      <c r="D238" s="1">
        <v>0.57430000000000003</v>
      </c>
      <c r="E238" s="1">
        <v>59615</v>
      </c>
      <c r="F238" s="1">
        <v>40124</v>
      </c>
      <c r="G238" s="1">
        <v>0.83909999999999996</v>
      </c>
      <c r="H238" s="1">
        <v>0.94310000000000005</v>
      </c>
      <c r="I238" s="1">
        <v>0.19639999999999999</v>
      </c>
      <c r="J238" s="1">
        <v>72097</v>
      </c>
      <c r="K238" s="1">
        <v>17804</v>
      </c>
      <c r="L238" s="1">
        <v>14776</v>
      </c>
      <c r="M238" s="1">
        <v>20</v>
      </c>
      <c r="N238" s="1" t="s">
        <v>28</v>
      </c>
      <c r="O238" s="1" t="s">
        <v>29</v>
      </c>
      <c r="P238" s="1" t="s">
        <v>30</v>
      </c>
      <c r="Q238" s="1" t="s">
        <v>23</v>
      </c>
      <c r="R238">
        <v>0.82784180704178212</v>
      </c>
    </row>
    <row r="239" spans="1:18" x14ac:dyDescent="0.2">
      <c r="A239" s="1">
        <v>487524</v>
      </c>
      <c r="B239" s="1" t="s">
        <v>309</v>
      </c>
      <c r="C239" s="1" t="s">
        <v>74</v>
      </c>
      <c r="D239" s="1">
        <v>0.8095</v>
      </c>
      <c r="E239" s="1">
        <v>2618</v>
      </c>
      <c r="F239" s="1">
        <v>23304</v>
      </c>
      <c r="G239" s="1">
        <v>0.59350000000000003</v>
      </c>
      <c r="H239" s="1">
        <v>0.75349999999999995</v>
      </c>
      <c r="I239" s="1">
        <v>0.3881</v>
      </c>
      <c r="J239" s="1">
        <v>45025</v>
      </c>
      <c r="K239" s="1">
        <v>27000</v>
      </c>
      <c r="L239" s="1">
        <v>7935</v>
      </c>
      <c r="M239" s="1">
        <v>15</v>
      </c>
      <c r="N239" s="1" t="s">
        <v>20</v>
      </c>
      <c r="O239" s="1" t="s">
        <v>29</v>
      </c>
      <c r="P239" s="1" t="s">
        <v>39</v>
      </c>
      <c r="Q239" s="1" t="s">
        <v>31</v>
      </c>
      <c r="R239">
        <v>0.82612645518755567</v>
      </c>
    </row>
    <row r="240" spans="1:18" x14ac:dyDescent="0.2">
      <c r="A240" s="1">
        <v>214625</v>
      </c>
      <c r="B240" s="1" t="s">
        <v>310</v>
      </c>
      <c r="C240" s="1" t="s">
        <v>98</v>
      </c>
      <c r="D240" s="1">
        <v>0.95289999999999997</v>
      </c>
      <c r="E240" s="1">
        <v>416</v>
      </c>
      <c r="F240" s="1">
        <v>24134</v>
      </c>
      <c r="G240" s="1">
        <v>0.27610000000000001</v>
      </c>
      <c r="H240" s="1">
        <v>0.85440000000000005</v>
      </c>
      <c r="I240" s="1">
        <v>0.318</v>
      </c>
      <c r="J240" s="1">
        <v>63435</v>
      </c>
      <c r="K240" s="1">
        <v>25000</v>
      </c>
      <c r="L240" s="1">
        <v>9403</v>
      </c>
      <c r="M240" s="1">
        <v>9</v>
      </c>
      <c r="N240" s="1" t="s">
        <v>28</v>
      </c>
      <c r="O240" s="1" t="s">
        <v>42</v>
      </c>
      <c r="P240" s="1" t="s">
        <v>39</v>
      </c>
      <c r="Q240" s="1" t="s">
        <v>23</v>
      </c>
      <c r="R240">
        <v>0.82546594439530718</v>
      </c>
    </row>
    <row r="241" spans="1:18" x14ac:dyDescent="0.2">
      <c r="A241" s="1">
        <v>107512</v>
      </c>
      <c r="B241" s="1" t="s">
        <v>311</v>
      </c>
      <c r="C241" s="1" t="s">
        <v>70</v>
      </c>
      <c r="D241" s="1">
        <v>0.67520000000000002</v>
      </c>
      <c r="E241" s="1">
        <v>1602</v>
      </c>
      <c r="F241" s="1">
        <v>34500</v>
      </c>
      <c r="G241" s="1">
        <v>0.61399999999999999</v>
      </c>
      <c r="H241" s="1">
        <v>0.82540000000000002</v>
      </c>
      <c r="I241" s="1">
        <v>0.2341</v>
      </c>
      <c r="J241" s="1">
        <v>51673</v>
      </c>
      <c r="K241" s="1">
        <v>21050</v>
      </c>
      <c r="L241" s="1">
        <v>7702</v>
      </c>
      <c r="M241" s="1">
        <v>14</v>
      </c>
      <c r="N241" s="1" t="s">
        <v>20</v>
      </c>
      <c r="O241" s="1" t="s">
        <v>42</v>
      </c>
      <c r="P241" s="1" t="s">
        <v>30</v>
      </c>
      <c r="Q241" s="1" t="s">
        <v>23</v>
      </c>
      <c r="R241">
        <v>0.82501880672664518</v>
      </c>
    </row>
    <row r="242" spans="1:18" x14ac:dyDescent="0.2">
      <c r="A242" s="1">
        <v>110671</v>
      </c>
      <c r="B242" s="1" t="s">
        <v>312</v>
      </c>
      <c r="C242" s="1" t="s">
        <v>33</v>
      </c>
      <c r="D242" s="1">
        <v>0.76390000000000002</v>
      </c>
      <c r="E242" s="1">
        <v>22593</v>
      </c>
      <c r="F242" s="1">
        <v>49806</v>
      </c>
      <c r="G242" s="1">
        <v>0.75960000000000005</v>
      </c>
      <c r="H242" s="1">
        <v>0.876</v>
      </c>
      <c r="I242" s="1">
        <v>0.46949999999999997</v>
      </c>
      <c r="J242" s="1">
        <v>67699</v>
      </c>
      <c r="K242" s="1">
        <v>17500</v>
      </c>
      <c r="L242" s="1">
        <v>17096</v>
      </c>
      <c r="M242" s="1">
        <v>22</v>
      </c>
      <c r="N242" s="1" t="s">
        <v>28</v>
      </c>
      <c r="O242" s="1" t="s">
        <v>29</v>
      </c>
      <c r="P242" s="1" t="s">
        <v>22</v>
      </c>
      <c r="Q242" s="1" t="s">
        <v>23</v>
      </c>
      <c r="R242">
        <v>0.82453856754575161</v>
      </c>
    </row>
    <row r="243" spans="1:18" x14ac:dyDescent="0.2">
      <c r="A243" s="1">
        <v>213358</v>
      </c>
      <c r="B243" s="1" t="s">
        <v>313</v>
      </c>
      <c r="C243" s="1" t="s">
        <v>98</v>
      </c>
      <c r="D243" s="1">
        <v>0.75760000000000005</v>
      </c>
      <c r="E243" s="1">
        <v>751</v>
      </c>
      <c r="F243" s="1">
        <v>34052</v>
      </c>
      <c r="G243" s="1">
        <v>0.57210000000000005</v>
      </c>
      <c r="H243" s="1">
        <v>0.68820000000000003</v>
      </c>
      <c r="I243" s="1">
        <v>0.1009</v>
      </c>
      <c r="J243" s="1">
        <v>52341</v>
      </c>
      <c r="K243" s="1">
        <v>25000</v>
      </c>
      <c r="L243" s="1">
        <v>7208</v>
      </c>
      <c r="M243" s="1">
        <v>11</v>
      </c>
      <c r="N243" s="1" t="s">
        <v>20</v>
      </c>
      <c r="O243" s="1" t="s">
        <v>21</v>
      </c>
      <c r="P243" s="1" t="s">
        <v>39</v>
      </c>
      <c r="Q243" s="1" t="s">
        <v>23</v>
      </c>
      <c r="R243">
        <v>0.82434876681314795</v>
      </c>
    </row>
    <row r="244" spans="1:18" x14ac:dyDescent="0.2">
      <c r="A244" s="1">
        <v>117168</v>
      </c>
      <c r="B244" s="1" t="s">
        <v>314</v>
      </c>
      <c r="C244" s="1" t="s">
        <v>33</v>
      </c>
      <c r="D244" s="1">
        <v>0.94320000000000004</v>
      </c>
      <c r="E244" s="1">
        <v>746</v>
      </c>
      <c r="F244" s="1">
        <v>37500</v>
      </c>
      <c r="G244" s="1">
        <v>0.51719999999999999</v>
      </c>
      <c r="H244" s="1">
        <v>0.84209999999999996</v>
      </c>
      <c r="I244" s="1">
        <v>0.29899999999999999</v>
      </c>
      <c r="J244" s="1">
        <v>47867</v>
      </c>
      <c r="K244" s="1">
        <v>27000</v>
      </c>
      <c r="L244" s="1">
        <v>8099</v>
      </c>
      <c r="M244" s="1">
        <v>9</v>
      </c>
      <c r="N244" s="1" t="s">
        <v>20</v>
      </c>
      <c r="O244" s="1" t="s">
        <v>42</v>
      </c>
      <c r="P244" s="1" t="s">
        <v>22</v>
      </c>
      <c r="Q244" s="1" t="s">
        <v>31</v>
      </c>
      <c r="R244">
        <v>0.82428522198804866</v>
      </c>
    </row>
    <row r="245" spans="1:18" x14ac:dyDescent="0.2">
      <c r="A245" s="1">
        <v>157863</v>
      </c>
      <c r="B245" s="1" t="s">
        <v>315</v>
      </c>
      <c r="C245" s="1" t="s">
        <v>104</v>
      </c>
      <c r="D245" s="1">
        <v>0.63149999999999995</v>
      </c>
      <c r="E245" s="1">
        <v>746</v>
      </c>
      <c r="F245" s="1">
        <v>30946</v>
      </c>
      <c r="G245" s="1">
        <v>0.32129999999999997</v>
      </c>
      <c r="H245" s="1">
        <v>0.63780000000000003</v>
      </c>
      <c r="I245" s="1">
        <v>0.52700000000000002</v>
      </c>
      <c r="J245" s="1">
        <v>42002</v>
      </c>
      <c r="K245" s="1">
        <v>24250</v>
      </c>
      <c r="L245" s="1">
        <v>5687</v>
      </c>
      <c r="M245" s="1">
        <v>14</v>
      </c>
      <c r="N245" s="1" t="s">
        <v>20</v>
      </c>
      <c r="O245" s="1" t="s">
        <v>42</v>
      </c>
      <c r="P245" s="1" t="s">
        <v>30</v>
      </c>
      <c r="Q245" s="1" t="s">
        <v>31</v>
      </c>
      <c r="R245">
        <v>0.8234670250341436</v>
      </c>
    </row>
    <row r="246" spans="1:18" x14ac:dyDescent="0.2">
      <c r="A246" s="1">
        <v>169363</v>
      </c>
      <c r="B246" s="1" t="s">
        <v>316</v>
      </c>
      <c r="C246" s="1" t="s">
        <v>109</v>
      </c>
      <c r="D246" s="1">
        <v>0.6925</v>
      </c>
      <c r="E246" s="1">
        <v>702</v>
      </c>
      <c r="F246" s="1">
        <v>35410</v>
      </c>
      <c r="G246" s="1">
        <v>0.47639999999999999</v>
      </c>
      <c r="H246" s="1">
        <v>0.44640000000000002</v>
      </c>
      <c r="I246" s="1">
        <v>0.2414</v>
      </c>
      <c r="J246" s="1">
        <v>56075</v>
      </c>
      <c r="K246" s="1">
        <v>25750</v>
      </c>
      <c r="L246" s="1">
        <v>6511</v>
      </c>
      <c r="M246" s="1">
        <v>21</v>
      </c>
      <c r="N246" s="1" t="s">
        <v>20</v>
      </c>
      <c r="O246" s="1" t="s">
        <v>29</v>
      </c>
      <c r="P246" s="1" t="s">
        <v>22</v>
      </c>
      <c r="Q246" s="1" t="s">
        <v>23</v>
      </c>
      <c r="R246">
        <v>0.82229431703763878</v>
      </c>
    </row>
    <row r="247" spans="1:18" x14ac:dyDescent="0.2">
      <c r="A247" s="1">
        <v>183822</v>
      </c>
      <c r="B247" s="1" t="s">
        <v>317</v>
      </c>
      <c r="C247" s="1" t="s">
        <v>66</v>
      </c>
      <c r="D247" s="1">
        <v>0.69740000000000002</v>
      </c>
      <c r="E247" s="1">
        <v>781</v>
      </c>
      <c r="F247" s="1">
        <v>26022</v>
      </c>
      <c r="G247" s="1">
        <v>0.38109999999999999</v>
      </c>
      <c r="H247" s="1">
        <v>0.59440000000000004</v>
      </c>
      <c r="I247" s="1">
        <v>0.7036</v>
      </c>
      <c r="J247" s="1">
        <v>61415</v>
      </c>
      <c r="K247" s="1">
        <v>22000</v>
      </c>
      <c r="L247" s="1">
        <v>9925</v>
      </c>
      <c r="M247" s="1">
        <v>12</v>
      </c>
      <c r="N247" s="1" t="s">
        <v>28</v>
      </c>
      <c r="O247" s="1" t="s">
        <v>21</v>
      </c>
      <c r="P247" s="1" t="s">
        <v>39</v>
      </c>
      <c r="Q247" s="1" t="s">
        <v>23</v>
      </c>
      <c r="R247">
        <v>0.8215376561265586</v>
      </c>
    </row>
    <row r="248" spans="1:18" x14ac:dyDescent="0.2">
      <c r="A248" s="1">
        <v>131876</v>
      </c>
      <c r="B248" s="1" t="s">
        <v>318</v>
      </c>
      <c r="C248" s="1" t="s">
        <v>84</v>
      </c>
      <c r="D248" s="1">
        <v>0.99519999999999997</v>
      </c>
      <c r="E248" s="1">
        <v>1414</v>
      </c>
      <c r="F248" s="1">
        <v>26610</v>
      </c>
      <c r="G248" s="1">
        <v>0.4929</v>
      </c>
      <c r="H248" s="1">
        <v>0.69230000000000003</v>
      </c>
      <c r="I248" s="1">
        <v>0.54490000000000005</v>
      </c>
      <c r="J248" s="1">
        <v>53804</v>
      </c>
      <c r="K248" s="1">
        <v>28250</v>
      </c>
      <c r="L248" s="1">
        <v>8291</v>
      </c>
      <c r="M248" s="1">
        <v>9</v>
      </c>
      <c r="N248" s="1" t="s">
        <v>20</v>
      </c>
      <c r="O248" s="1" t="s">
        <v>29</v>
      </c>
      <c r="P248" s="1" t="s">
        <v>30</v>
      </c>
      <c r="Q248" s="1" t="s">
        <v>23</v>
      </c>
      <c r="R248">
        <v>0.82145899661955069</v>
      </c>
    </row>
    <row r="249" spans="1:18" x14ac:dyDescent="0.2">
      <c r="A249" s="1">
        <v>211583</v>
      </c>
      <c r="B249" s="1" t="s">
        <v>319</v>
      </c>
      <c r="C249" s="1" t="s">
        <v>98</v>
      </c>
      <c r="D249" s="1">
        <v>0.74460000000000004</v>
      </c>
      <c r="E249" s="1">
        <v>815</v>
      </c>
      <c r="F249" s="1">
        <v>39870</v>
      </c>
      <c r="G249" s="1">
        <v>0.48780000000000001</v>
      </c>
      <c r="H249" s="1">
        <v>0.62429999999999997</v>
      </c>
      <c r="I249" s="1">
        <v>0.52080000000000004</v>
      </c>
      <c r="J249" s="1">
        <v>52015</v>
      </c>
      <c r="K249" s="1">
        <v>26389</v>
      </c>
      <c r="L249" s="1">
        <v>5821</v>
      </c>
      <c r="M249" s="1">
        <v>10</v>
      </c>
      <c r="N249" s="1" t="s">
        <v>20</v>
      </c>
      <c r="O249" s="1" t="s">
        <v>29</v>
      </c>
      <c r="P249" s="1" t="s">
        <v>39</v>
      </c>
      <c r="Q249" s="1" t="s">
        <v>23</v>
      </c>
      <c r="R249">
        <v>0.82033873504560595</v>
      </c>
    </row>
    <row r="250" spans="1:18" x14ac:dyDescent="0.2">
      <c r="A250" s="1">
        <v>454236</v>
      </c>
      <c r="B250" s="1" t="s">
        <v>320</v>
      </c>
      <c r="C250" s="1" t="s">
        <v>19</v>
      </c>
      <c r="D250" s="1">
        <v>0.875</v>
      </c>
      <c r="E250" s="1">
        <v>257</v>
      </c>
      <c r="F250" s="1">
        <v>19975</v>
      </c>
      <c r="G250" s="1">
        <v>0.28570000000000001</v>
      </c>
      <c r="H250" s="1">
        <v>0.33329999999999999</v>
      </c>
      <c r="I250" s="1">
        <v>0.5</v>
      </c>
      <c r="J250" s="1">
        <v>92405</v>
      </c>
      <c r="K250" s="1">
        <v>20919</v>
      </c>
      <c r="L250" s="1">
        <v>8978</v>
      </c>
      <c r="M250" s="1">
        <v>8</v>
      </c>
      <c r="N250" s="1" t="s">
        <v>142</v>
      </c>
      <c r="O250" s="1" t="s">
        <v>29</v>
      </c>
      <c r="P250" s="1" t="s">
        <v>22</v>
      </c>
      <c r="Q250" s="1" t="s">
        <v>23</v>
      </c>
      <c r="R250">
        <v>0.81999520812437143</v>
      </c>
    </row>
    <row r="251" spans="1:18" x14ac:dyDescent="0.2">
      <c r="A251" s="1">
        <v>218733</v>
      </c>
      <c r="B251" s="1" t="s">
        <v>321</v>
      </c>
      <c r="C251" s="1" t="s">
        <v>155</v>
      </c>
      <c r="D251" s="1">
        <v>0.82620000000000005</v>
      </c>
      <c r="E251" s="1">
        <v>2934</v>
      </c>
      <c r="F251" s="1">
        <v>21750</v>
      </c>
      <c r="G251" s="1">
        <v>0.36630000000000001</v>
      </c>
      <c r="H251" s="1">
        <v>0.56459999999999999</v>
      </c>
      <c r="I251" s="1">
        <v>0.70489999999999997</v>
      </c>
      <c r="J251" s="1">
        <v>38262</v>
      </c>
      <c r="K251" s="1">
        <v>31000</v>
      </c>
      <c r="L251" s="1">
        <v>8174</v>
      </c>
      <c r="M251" s="1">
        <v>19</v>
      </c>
      <c r="N251" s="1" t="s">
        <v>28</v>
      </c>
      <c r="O251" s="1" t="s">
        <v>42</v>
      </c>
      <c r="P251" s="1" t="s">
        <v>30</v>
      </c>
      <c r="Q251" s="1" t="s">
        <v>31</v>
      </c>
      <c r="R251">
        <v>0.81863565965585028</v>
      </c>
    </row>
    <row r="252" spans="1:18" x14ac:dyDescent="0.2">
      <c r="A252" s="1">
        <v>150604</v>
      </c>
      <c r="B252" s="1" t="s">
        <v>322</v>
      </c>
      <c r="C252" s="1" t="s">
        <v>102</v>
      </c>
      <c r="D252" s="1">
        <v>0.69799999999999995</v>
      </c>
      <c r="E252" s="1">
        <v>900</v>
      </c>
      <c r="F252" s="1">
        <v>38710</v>
      </c>
      <c r="G252" s="1">
        <v>0.60299999999999998</v>
      </c>
      <c r="H252" s="1">
        <v>0.72940000000000005</v>
      </c>
      <c r="I252" s="1">
        <v>0.3644</v>
      </c>
      <c r="J252" s="1">
        <v>55376</v>
      </c>
      <c r="K252" s="1">
        <v>27000</v>
      </c>
      <c r="L252" s="1">
        <v>7146</v>
      </c>
      <c r="M252" s="1">
        <v>12</v>
      </c>
      <c r="N252" s="1" t="s">
        <v>20</v>
      </c>
      <c r="O252" s="1" t="s">
        <v>21</v>
      </c>
      <c r="P252" s="1" t="s">
        <v>22</v>
      </c>
      <c r="Q252" s="1" t="s">
        <v>23</v>
      </c>
      <c r="R252">
        <v>0.81738163951082976</v>
      </c>
    </row>
    <row r="253" spans="1:18" x14ac:dyDescent="0.2">
      <c r="A253" s="1">
        <v>170082</v>
      </c>
      <c r="B253" s="1" t="s">
        <v>323</v>
      </c>
      <c r="C253" s="1" t="s">
        <v>109</v>
      </c>
      <c r="D253" s="1">
        <v>0.83020000000000005</v>
      </c>
      <c r="E253" s="1">
        <v>18854</v>
      </c>
      <c r="F253" s="1">
        <v>21548</v>
      </c>
      <c r="G253" s="1">
        <v>0.67010000000000003</v>
      </c>
      <c r="H253" s="1">
        <v>0.76319999999999999</v>
      </c>
      <c r="I253" s="1">
        <v>0.2923</v>
      </c>
      <c r="J253" s="1">
        <v>56118</v>
      </c>
      <c r="K253" s="1">
        <v>24500</v>
      </c>
      <c r="L253" s="1">
        <v>10156</v>
      </c>
      <c r="M253" s="1">
        <v>15</v>
      </c>
      <c r="N253" s="1" t="s">
        <v>28</v>
      </c>
      <c r="O253" s="1" t="s">
        <v>42</v>
      </c>
      <c r="P253" s="1" t="s">
        <v>22</v>
      </c>
      <c r="Q253" s="1" t="s">
        <v>23</v>
      </c>
      <c r="R253">
        <v>0.81657570729991735</v>
      </c>
    </row>
    <row r="254" spans="1:18" x14ac:dyDescent="0.2">
      <c r="A254" s="1">
        <v>218070</v>
      </c>
      <c r="B254" s="1" t="s">
        <v>324</v>
      </c>
      <c r="C254" s="1" t="s">
        <v>155</v>
      </c>
      <c r="D254" s="1">
        <v>0.42949999999999999</v>
      </c>
      <c r="E254" s="1">
        <v>2379</v>
      </c>
      <c r="F254" s="1">
        <v>59770</v>
      </c>
      <c r="G254" s="1">
        <v>0.78759999999999997</v>
      </c>
      <c r="H254" s="1">
        <v>0.90610000000000002</v>
      </c>
      <c r="I254" s="1">
        <v>0.13189999999999999</v>
      </c>
      <c r="J254" s="1">
        <v>68635</v>
      </c>
      <c r="K254" s="1">
        <v>23250</v>
      </c>
      <c r="L254" s="1">
        <v>10399</v>
      </c>
      <c r="M254" s="1">
        <v>10</v>
      </c>
      <c r="N254" s="1" t="s">
        <v>20</v>
      </c>
      <c r="O254" s="1" t="s">
        <v>21</v>
      </c>
      <c r="P254" s="1" t="s">
        <v>30</v>
      </c>
      <c r="Q254" s="1" t="s">
        <v>23</v>
      </c>
      <c r="R254">
        <v>0.81631847999177531</v>
      </c>
    </row>
    <row r="255" spans="1:18" x14ac:dyDescent="0.2">
      <c r="A255" s="1">
        <v>234207</v>
      </c>
      <c r="B255" s="1" t="s">
        <v>325</v>
      </c>
      <c r="C255" s="1" t="s">
        <v>52</v>
      </c>
      <c r="D255" s="1">
        <v>0.13969999999999999</v>
      </c>
      <c r="E255" s="1">
        <v>1881</v>
      </c>
      <c r="F255" s="1">
        <v>68045</v>
      </c>
      <c r="G255" s="1">
        <v>0.93879999999999997</v>
      </c>
      <c r="H255" s="1">
        <v>0.96609999999999996</v>
      </c>
      <c r="I255" s="1">
        <v>0.1133</v>
      </c>
      <c r="J255" s="1">
        <v>94810</v>
      </c>
      <c r="K255" s="1">
        <v>19500</v>
      </c>
      <c r="L255" s="1">
        <v>14155</v>
      </c>
      <c r="M255" s="1">
        <v>7</v>
      </c>
      <c r="N255" s="1" t="s">
        <v>20</v>
      </c>
      <c r="O255" s="1" t="s">
        <v>42</v>
      </c>
      <c r="P255" s="1" t="s">
        <v>30</v>
      </c>
      <c r="Q255" s="1" t="s">
        <v>23</v>
      </c>
      <c r="R255">
        <v>0.81569339006980957</v>
      </c>
    </row>
    <row r="256" spans="1:18" x14ac:dyDescent="0.2">
      <c r="A256" s="1">
        <v>200004</v>
      </c>
      <c r="B256" s="1" t="s">
        <v>326</v>
      </c>
      <c r="C256" s="1" t="s">
        <v>86</v>
      </c>
      <c r="D256" s="1">
        <v>0.81830000000000003</v>
      </c>
      <c r="E256" s="1">
        <v>10024</v>
      </c>
      <c r="F256" s="1">
        <v>8630</v>
      </c>
      <c r="G256" s="1">
        <v>0.60260000000000002</v>
      </c>
      <c r="H256" s="1">
        <v>0.79110000000000003</v>
      </c>
      <c r="I256" s="1">
        <v>0.34639999999999999</v>
      </c>
      <c r="J256" s="1">
        <v>49458</v>
      </c>
      <c r="K256" s="1">
        <v>21868</v>
      </c>
      <c r="L256" s="1">
        <v>9069</v>
      </c>
      <c r="M256" s="1">
        <v>16</v>
      </c>
      <c r="N256" s="1" t="s">
        <v>28</v>
      </c>
      <c r="O256" s="1" t="s">
        <v>42</v>
      </c>
      <c r="P256" s="1" t="s">
        <v>30</v>
      </c>
      <c r="Q256" s="1" t="s">
        <v>31</v>
      </c>
      <c r="R256">
        <v>0.81535240541815135</v>
      </c>
    </row>
    <row r="257" spans="1:18" x14ac:dyDescent="0.2">
      <c r="A257" s="1">
        <v>138293</v>
      </c>
      <c r="B257" s="1" t="s">
        <v>327</v>
      </c>
      <c r="C257" s="1" t="s">
        <v>27</v>
      </c>
      <c r="D257" s="1">
        <v>0.69399999999999995</v>
      </c>
      <c r="E257" s="1">
        <v>813</v>
      </c>
      <c r="F257" s="1">
        <v>33770</v>
      </c>
      <c r="G257" s="1">
        <v>0.27960000000000002</v>
      </c>
      <c r="H257" s="1">
        <v>0.4118</v>
      </c>
      <c r="I257" s="1">
        <v>0.47670000000000001</v>
      </c>
      <c r="J257" s="1">
        <v>45606</v>
      </c>
      <c r="K257" s="1">
        <v>25250</v>
      </c>
      <c r="L257" s="1">
        <v>5063</v>
      </c>
      <c r="M257" s="1">
        <v>17</v>
      </c>
      <c r="N257" s="1" t="s">
        <v>20</v>
      </c>
      <c r="O257" s="1" t="s">
        <v>42</v>
      </c>
      <c r="P257" s="1" t="s">
        <v>30</v>
      </c>
      <c r="Q257" s="1" t="s">
        <v>31</v>
      </c>
      <c r="R257">
        <v>0.81372423625691248</v>
      </c>
    </row>
    <row r="258" spans="1:18" x14ac:dyDescent="0.2">
      <c r="A258" s="1">
        <v>221892</v>
      </c>
      <c r="B258" s="1" t="s">
        <v>328</v>
      </c>
      <c r="C258" s="1" t="s">
        <v>163</v>
      </c>
      <c r="D258" s="1">
        <v>0.69440000000000002</v>
      </c>
      <c r="E258" s="1">
        <v>1737</v>
      </c>
      <c r="F258" s="1">
        <v>31300</v>
      </c>
      <c r="G258" s="1">
        <v>0.53149999999999997</v>
      </c>
      <c r="H258" s="1">
        <v>0.73599999999999999</v>
      </c>
      <c r="I258" s="1">
        <v>0.32290000000000002</v>
      </c>
      <c r="J258" s="1">
        <v>49378</v>
      </c>
      <c r="K258" s="1">
        <v>18744</v>
      </c>
      <c r="L258" s="1">
        <v>7392</v>
      </c>
      <c r="M258" s="1">
        <v>20</v>
      </c>
      <c r="N258" s="1" t="s">
        <v>20</v>
      </c>
      <c r="O258" s="1" t="s">
        <v>29</v>
      </c>
      <c r="P258" s="1" t="s">
        <v>30</v>
      </c>
      <c r="Q258" s="1" t="s">
        <v>31</v>
      </c>
      <c r="R258">
        <v>0.81167989554609699</v>
      </c>
    </row>
    <row r="259" spans="1:18" x14ac:dyDescent="0.2">
      <c r="A259" s="1">
        <v>198756</v>
      </c>
      <c r="B259" s="1" t="s">
        <v>329</v>
      </c>
      <c r="C259" s="1" t="s">
        <v>86</v>
      </c>
      <c r="D259" s="1">
        <v>0.4521</v>
      </c>
      <c r="E259" s="1">
        <v>1244</v>
      </c>
      <c r="F259" s="1">
        <v>21300</v>
      </c>
      <c r="G259" s="1">
        <v>0.34289999999999998</v>
      </c>
      <c r="H259" s="1">
        <v>0.71330000000000005</v>
      </c>
      <c r="I259" s="1">
        <v>0.69469999999999998</v>
      </c>
      <c r="J259" s="1">
        <v>42680</v>
      </c>
      <c r="K259" s="1">
        <v>30000</v>
      </c>
      <c r="L259" s="1">
        <v>7806</v>
      </c>
      <c r="M259" s="1">
        <v>12</v>
      </c>
      <c r="N259" s="1" t="s">
        <v>20</v>
      </c>
      <c r="O259" s="1" t="s">
        <v>29</v>
      </c>
      <c r="P259" s="1" t="s">
        <v>30</v>
      </c>
      <c r="Q259" s="1" t="s">
        <v>31</v>
      </c>
      <c r="R259">
        <v>0.81068559155103626</v>
      </c>
    </row>
    <row r="260" spans="1:18" x14ac:dyDescent="0.2">
      <c r="A260" s="1">
        <v>228042</v>
      </c>
      <c r="B260" s="1" t="s">
        <v>330</v>
      </c>
      <c r="C260" s="1" t="s">
        <v>36</v>
      </c>
      <c r="D260" s="1">
        <v>0.88200000000000001</v>
      </c>
      <c r="E260" s="1">
        <v>1053</v>
      </c>
      <c r="F260" s="1">
        <v>39266</v>
      </c>
      <c r="G260" s="1">
        <v>0.43180000000000002</v>
      </c>
      <c r="H260" s="1">
        <v>0.66790000000000005</v>
      </c>
      <c r="I260" s="1">
        <v>0.43790000000000001</v>
      </c>
      <c r="J260" s="1">
        <v>52228</v>
      </c>
      <c r="K260" s="1">
        <v>23250</v>
      </c>
      <c r="L260" s="1">
        <v>7796</v>
      </c>
      <c r="M260" s="1">
        <v>13</v>
      </c>
      <c r="N260" s="1" t="s">
        <v>20</v>
      </c>
      <c r="O260" s="1" t="s">
        <v>42</v>
      </c>
      <c r="P260" s="1" t="s">
        <v>30</v>
      </c>
      <c r="Q260" s="1" t="s">
        <v>23</v>
      </c>
      <c r="R260">
        <v>0.81020744457849625</v>
      </c>
    </row>
    <row r="261" spans="1:18" x14ac:dyDescent="0.2">
      <c r="A261" s="1">
        <v>227757</v>
      </c>
      <c r="B261" s="1" t="s">
        <v>331</v>
      </c>
      <c r="C261" s="1" t="s">
        <v>36</v>
      </c>
      <c r="D261" s="1">
        <v>0.08</v>
      </c>
      <c r="E261" s="1">
        <v>4776</v>
      </c>
      <c r="F261" s="1">
        <v>64144</v>
      </c>
      <c r="G261" s="1">
        <v>0.94640000000000002</v>
      </c>
      <c r="H261" s="1">
        <v>0.97409999999999997</v>
      </c>
      <c r="I261" s="1">
        <v>0.17030000000000001</v>
      </c>
      <c r="J261" s="1">
        <v>89718</v>
      </c>
      <c r="K261" s="1">
        <v>11000</v>
      </c>
      <c r="L261" s="1">
        <v>18454</v>
      </c>
      <c r="M261" s="1">
        <v>6</v>
      </c>
      <c r="N261" s="1" t="s">
        <v>20</v>
      </c>
      <c r="O261" s="1" t="s">
        <v>29</v>
      </c>
      <c r="P261" s="1" t="s">
        <v>30</v>
      </c>
      <c r="Q261" s="1" t="s">
        <v>23</v>
      </c>
      <c r="R261">
        <v>0.80954362687467796</v>
      </c>
    </row>
    <row r="262" spans="1:18" x14ac:dyDescent="0.2">
      <c r="A262" s="1">
        <v>172644</v>
      </c>
      <c r="B262" s="1" t="s">
        <v>332</v>
      </c>
      <c r="C262" s="1" t="s">
        <v>109</v>
      </c>
      <c r="D262" s="1">
        <v>0.81159999999999999</v>
      </c>
      <c r="E262" s="1">
        <v>15587</v>
      </c>
      <c r="F262" s="1">
        <v>32037</v>
      </c>
      <c r="G262" s="1">
        <v>0.58440000000000003</v>
      </c>
      <c r="H262" s="1">
        <v>0.82650000000000001</v>
      </c>
      <c r="I262" s="1">
        <v>0.45689999999999997</v>
      </c>
      <c r="J262" s="1">
        <v>53493</v>
      </c>
      <c r="K262" s="1">
        <v>21250</v>
      </c>
      <c r="L262" s="1">
        <v>12166</v>
      </c>
      <c r="M262" s="1">
        <v>14</v>
      </c>
      <c r="N262" s="1" t="s">
        <v>28</v>
      </c>
      <c r="O262" s="1" t="s">
        <v>29</v>
      </c>
      <c r="P262" s="1" t="s">
        <v>22</v>
      </c>
      <c r="Q262" s="1" t="s">
        <v>23</v>
      </c>
      <c r="R262">
        <v>0.80775813511921313</v>
      </c>
    </row>
    <row r="263" spans="1:18" x14ac:dyDescent="0.2">
      <c r="A263" s="1">
        <v>218973</v>
      </c>
      <c r="B263" s="1" t="s">
        <v>333</v>
      </c>
      <c r="C263" s="1" t="s">
        <v>155</v>
      </c>
      <c r="D263" s="1">
        <v>0.51939999999999997</v>
      </c>
      <c r="E263" s="1">
        <v>1816</v>
      </c>
      <c r="F263" s="1">
        <v>56005</v>
      </c>
      <c r="G263" s="1">
        <v>0.84199999999999997</v>
      </c>
      <c r="H263" s="1">
        <v>0.90980000000000005</v>
      </c>
      <c r="I263" s="1">
        <v>0.15640000000000001</v>
      </c>
      <c r="J263" s="1">
        <v>68964</v>
      </c>
      <c r="K263" s="1">
        <v>25732</v>
      </c>
      <c r="L263" s="1">
        <v>9083</v>
      </c>
      <c r="M263" s="1">
        <v>12</v>
      </c>
      <c r="N263" s="1" t="s">
        <v>20</v>
      </c>
      <c r="O263" s="1" t="s">
        <v>29</v>
      </c>
      <c r="P263" s="1" t="s">
        <v>30</v>
      </c>
      <c r="Q263" s="1" t="s">
        <v>23</v>
      </c>
      <c r="R263">
        <v>0.8070866522570439</v>
      </c>
    </row>
    <row r="264" spans="1:18" x14ac:dyDescent="0.2">
      <c r="A264" s="1">
        <v>122755</v>
      </c>
      <c r="B264" s="1" t="s">
        <v>334</v>
      </c>
      <c r="C264" s="1" t="s">
        <v>33</v>
      </c>
      <c r="D264" s="1">
        <v>0.84609999999999996</v>
      </c>
      <c r="E264" s="1">
        <v>27601</v>
      </c>
      <c r="F264" s="1">
        <v>21010</v>
      </c>
      <c r="G264" s="1">
        <v>0.69220000000000004</v>
      </c>
      <c r="H264" s="1">
        <v>0.86839999999999995</v>
      </c>
      <c r="I264" s="1">
        <v>0.35239999999999999</v>
      </c>
      <c r="J264" s="1">
        <v>78988</v>
      </c>
      <c r="K264" s="1">
        <v>15000</v>
      </c>
      <c r="L264" s="1">
        <v>12896</v>
      </c>
      <c r="M264" s="1">
        <v>25</v>
      </c>
      <c r="N264" s="1" t="s">
        <v>28</v>
      </c>
      <c r="O264" s="1" t="s">
        <v>29</v>
      </c>
      <c r="P264" s="1" t="s">
        <v>22</v>
      </c>
      <c r="Q264" s="1" t="s">
        <v>23</v>
      </c>
      <c r="R264">
        <v>0.8066079901493689</v>
      </c>
    </row>
    <row r="265" spans="1:18" x14ac:dyDescent="0.2">
      <c r="A265" s="1">
        <v>486938</v>
      </c>
      <c r="B265" s="1" t="s">
        <v>335</v>
      </c>
      <c r="C265" s="1" t="s">
        <v>336</v>
      </c>
      <c r="D265" s="1">
        <v>0.76470000000000005</v>
      </c>
      <c r="E265" s="1">
        <v>652</v>
      </c>
      <c r="F265" s="1">
        <v>19975</v>
      </c>
      <c r="G265" s="1">
        <v>0.2</v>
      </c>
      <c r="H265" s="1">
        <v>0.75</v>
      </c>
      <c r="I265" s="1">
        <v>0.48520000000000002</v>
      </c>
      <c r="J265" s="1">
        <v>92405</v>
      </c>
      <c r="K265" s="1">
        <v>20919</v>
      </c>
      <c r="L265" s="1">
        <v>8978</v>
      </c>
      <c r="M265" s="1">
        <v>15</v>
      </c>
      <c r="N265" s="1" t="s">
        <v>142</v>
      </c>
      <c r="O265" s="1" t="s">
        <v>29</v>
      </c>
      <c r="P265" s="1" t="s">
        <v>22</v>
      </c>
      <c r="Q265" s="1" t="s">
        <v>23</v>
      </c>
      <c r="R265">
        <v>0.80604851750255702</v>
      </c>
    </row>
    <row r="266" spans="1:18" x14ac:dyDescent="0.2">
      <c r="A266" s="1">
        <v>209542</v>
      </c>
      <c r="B266" s="1" t="s">
        <v>337</v>
      </c>
      <c r="C266" s="1" t="s">
        <v>79</v>
      </c>
      <c r="D266" s="1">
        <v>0.77300000000000002</v>
      </c>
      <c r="E266" s="1">
        <v>30743</v>
      </c>
      <c r="F266" s="1">
        <v>38190</v>
      </c>
      <c r="G266" s="1">
        <v>0.70109999999999995</v>
      </c>
      <c r="H266" s="1">
        <v>0.87760000000000005</v>
      </c>
      <c r="I266" s="1">
        <v>0.22770000000000001</v>
      </c>
      <c r="J266" s="1">
        <v>64010</v>
      </c>
      <c r="K266" s="1">
        <v>21221</v>
      </c>
      <c r="L266" s="1">
        <v>11437</v>
      </c>
      <c r="M266" s="1">
        <v>18</v>
      </c>
      <c r="N266" s="1" t="s">
        <v>28</v>
      </c>
      <c r="O266" s="1" t="s">
        <v>29</v>
      </c>
      <c r="P266" s="1" t="s">
        <v>22</v>
      </c>
      <c r="Q266" s="1" t="s">
        <v>23</v>
      </c>
      <c r="R266">
        <v>0.80563453475438673</v>
      </c>
    </row>
    <row r="267" spans="1:18" x14ac:dyDescent="0.2">
      <c r="A267" s="1">
        <v>122612</v>
      </c>
      <c r="B267" s="1" t="s">
        <v>338</v>
      </c>
      <c r="C267" s="1" t="s">
        <v>33</v>
      </c>
      <c r="D267" s="1">
        <v>0.61709999999999998</v>
      </c>
      <c r="E267" s="1">
        <v>5287</v>
      </c>
      <c r="F267" s="1">
        <v>60492</v>
      </c>
      <c r="G267" s="1">
        <v>0.7006</v>
      </c>
      <c r="H267" s="1">
        <v>0.83689999999999998</v>
      </c>
      <c r="I267" s="1">
        <v>0.27960000000000002</v>
      </c>
      <c r="J267" s="1">
        <v>89812</v>
      </c>
      <c r="K267" s="1">
        <v>23000</v>
      </c>
      <c r="L267" s="1">
        <v>14860</v>
      </c>
      <c r="M267" s="1">
        <v>11</v>
      </c>
      <c r="N267" s="1" t="s">
        <v>20</v>
      </c>
      <c r="O267" s="1" t="s">
        <v>29</v>
      </c>
      <c r="P267" s="1" t="s">
        <v>22</v>
      </c>
      <c r="Q267" s="1" t="s">
        <v>23</v>
      </c>
      <c r="R267">
        <v>0.8055034284305771</v>
      </c>
    </row>
    <row r="268" spans="1:18" x14ac:dyDescent="0.2">
      <c r="A268" s="1">
        <v>230764</v>
      </c>
      <c r="B268" s="1" t="s">
        <v>339</v>
      </c>
      <c r="C268" s="1" t="s">
        <v>286</v>
      </c>
      <c r="D268" s="1">
        <v>0.85980000000000001</v>
      </c>
      <c r="E268" s="1">
        <v>27264</v>
      </c>
      <c r="F268" s="1">
        <v>30860</v>
      </c>
      <c r="G268" s="1">
        <v>0.65049999999999997</v>
      </c>
      <c r="H268" s="1">
        <v>0.8619</v>
      </c>
      <c r="I268" s="1">
        <v>0.19589999999999999</v>
      </c>
      <c r="J268" s="1">
        <v>67170</v>
      </c>
      <c r="K268" s="1">
        <v>19000</v>
      </c>
      <c r="L268" s="1">
        <v>12776</v>
      </c>
      <c r="M268" s="1">
        <v>19</v>
      </c>
      <c r="N268" s="1" t="s">
        <v>28</v>
      </c>
      <c r="O268" s="1" t="s">
        <v>29</v>
      </c>
      <c r="P268" s="1" t="s">
        <v>22</v>
      </c>
      <c r="Q268" s="1" t="s">
        <v>23</v>
      </c>
      <c r="R268">
        <v>0.80545139969951085</v>
      </c>
    </row>
    <row r="269" spans="1:18" x14ac:dyDescent="0.2">
      <c r="A269" s="1">
        <v>190725</v>
      </c>
      <c r="B269" s="1" t="s">
        <v>340</v>
      </c>
      <c r="C269" s="1" t="s">
        <v>58</v>
      </c>
      <c r="D269" s="1">
        <v>0.68259999999999998</v>
      </c>
      <c r="E269" s="1">
        <v>1643</v>
      </c>
      <c r="F269" s="1">
        <v>35218</v>
      </c>
      <c r="G269" s="1">
        <v>0.58879999999999999</v>
      </c>
      <c r="H269" s="1">
        <v>0.75670000000000004</v>
      </c>
      <c r="I269" s="1">
        <v>0.46179999999999999</v>
      </c>
      <c r="J269" s="1">
        <v>61808</v>
      </c>
      <c r="K269" s="1">
        <v>22091</v>
      </c>
      <c r="L269" s="1">
        <v>7103</v>
      </c>
      <c r="M269" s="1">
        <v>12</v>
      </c>
      <c r="N269" s="1" t="s">
        <v>20</v>
      </c>
      <c r="O269" s="1" t="s">
        <v>21</v>
      </c>
      <c r="P269" s="1" t="s">
        <v>39</v>
      </c>
      <c r="Q269" s="1" t="s">
        <v>23</v>
      </c>
      <c r="R269">
        <v>0.8051166322621558</v>
      </c>
    </row>
    <row r="270" spans="1:18" x14ac:dyDescent="0.2">
      <c r="A270" s="1">
        <v>181020</v>
      </c>
      <c r="B270" s="1" t="s">
        <v>341</v>
      </c>
      <c r="C270" s="1" t="s">
        <v>221</v>
      </c>
      <c r="D270" s="1">
        <v>0.98009999999999997</v>
      </c>
      <c r="E270" s="1">
        <v>978</v>
      </c>
      <c r="F270" s="1">
        <v>43985</v>
      </c>
      <c r="G270" s="1">
        <v>0.57140000000000002</v>
      </c>
      <c r="H270" s="1">
        <v>0.79249999999999998</v>
      </c>
      <c r="I270" s="1">
        <v>0.26779999999999998</v>
      </c>
      <c r="J270" s="1">
        <v>53316</v>
      </c>
      <c r="K270" s="1">
        <v>25000</v>
      </c>
      <c r="L270" s="1">
        <v>7775</v>
      </c>
      <c r="M270" s="1">
        <v>11</v>
      </c>
      <c r="N270" s="1" t="s">
        <v>20</v>
      </c>
      <c r="O270" s="1" t="s">
        <v>42</v>
      </c>
      <c r="P270" s="1" t="s">
        <v>22</v>
      </c>
      <c r="Q270" s="1" t="s">
        <v>23</v>
      </c>
      <c r="R270">
        <v>0.80489552011585896</v>
      </c>
    </row>
    <row r="271" spans="1:18" x14ac:dyDescent="0.2">
      <c r="A271" s="1">
        <v>218654</v>
      </c>
      <c r="B271" s="1" t="s">
        <v>342</v>
      </c>
      <c r="C271" s="1" t="s">
        <v>155</v>
      </c>
      <c r="D271" s="1">
        <v>0.72499999999999998</v>
      </c>
      <c r="E271" s="1">
        <v>2052</v>
      </c>
      <c r="F271" s="1">
        <v>21776</v>
      </c>
      <c r="G271" s="1">
        <v>0.33989999999999998</v>
      </c>
      <c r="H271" s="1">
        <v>0.61260000000000003</v>
      </c>
      <c r="I271" s="1">
        <v>0.40110000000000001</v>
      </c>
      <c r="J271" s="1">
        <v>48088</v>
      </c>
      <c r="K271" s="1">
        <v>24000</v>
      </c>
      <c r="L271" s="1">
        <v>8392</v>
      </c>
      <c r="M271" s="1">
        <v>15</v>
      </c>
      <c r="N271" s="1" t="s">
        <v>28</v>
      </c>
      <c r="O271" s="1" t="s">
        <v>42</v>
      </c>
      <c r="P271" s="1" t="s">
        <v>30</v>
      </c>
      <c r="Q271" s="1" t="s">
        <v>31</v>
      </c>
      <c r="R271">
        <v>0.80444015149772907</v>
      </c>
    </row>
    <row r="272" spans="1:18" x14ac:dyDescent="0.2">
      <c r="A272" s="1">
        <v>141237</v>
      </c>
      <c r="B272" s="1" t="s">
        <v>343</v>
      </c>
      <c r="C272" s="1" t="s">
        <v>126</v>
      </c>
      <c r="D272" s="1">
        <v>0.78259999999999996</v>
      </c>
      <c r="E272" s="1">
        <v>744</v>
      </c>
      <c r="F272" s="1">
        <v>26792</v>
      </c>
      <c r="G272" s="1">
        <v>0.37809999999999999</v>
      </c>
      <c r="H272" s="1">
        <v>0.66979999999999995</v>
      </c>
      <c r="I272" s="1">
        <v>0.10150000000000001</v>
      </c>
      <c r="J272" s="1">
        <v>46700</v>
      </c>
      <c r="K272" s="1">
        <v>23439</v>
      </c>
      <c r="L272" s="1">
        <v>4901</v>
      </c>
      <c r="M272" s="1">
        <v>15</v>
      </c>
      <c r="N272" s="1" t="s">
        <v>20</v>
      </c>
      <c r="O272" s="1" t="s">
        <v>42</v>
      </c>
      <c r="P272" s="1" t="s">
        <v>30</v>
      </c>
      <c r="Q272" s="1" t="s">
        <v>31</v>
      </c>
      <c r="R272">
        <v>0.80422413745015864</v>
      </c>
    </row>
    <row r="273" spans="1:18" x14ac:dyDescent="0.2">
      <c r="A273" s="1">
        <v>228787</v>
      </c>
      <c r="B273" s="1" t="s">
        <v>344</v>
      </c>
      <c r="C273" s="1" t="s">
        <v>36</v>
      </c>
      <c r="D273" s="1">
        <v>0.65129999999999999</v>
      </c>
      <c r="E273" s="1">
        <v>21751</v>
      </c>
      <c r="F273" s="1">
        <v>40144</v>
      </c>
      <c r="G273" s="1">
        <v>0.75690000000000002</v>
      </c>
      <c r="H273" s="1">
        <v>0.89949999999999997</v>
      </c>
      <c r="I273" s="1">
        <v>0.29970000000000002</v>
      </c>
      <c r="J273" s="1">
        <v>68227</v>
      </c>
      <c r="K273" s="1">
        <v>18000</v>
      </c>
      <c r="L273" s="1">
        <v>15085</v>
      </c>
      <c r="M273" s="1">
        <v>23</v>
      </c>
      <c r="N273" s="1" t="s">
        <v>28</v>
      </c>
      <c r="O273" s="1" t="s">
        <v>29</v>
      </c>
      <c r="P273" s="1" t="s">
        <v>30</v>
      </c>
      <c r="Q273" s="1" t="s">
        <v>23</v>
      </c>
      <c r="R273">
        <v>0.80396815378749442</v>
      </c>
    </row>
    <row r="274" spans="1:18" x14ac:dyDescent="0.2">
      <c r="A274" s="1">
        <v>214272</v>
      </c>
      <c r="B274" s="1" t="s">
        <v>345</v>
      </c>
      <c r="C274" s="1" t="s">
        <v>98</v>
      </c>
      <c r="D274" s="1">
        <v>0.81279999999999997</v>
      </c>
      <c r="E274" s="1">
        <v>1533</v>
      </c>
      <c r="F274" s="1">
        <v>39100</v>
      </c>
      <c r="G274" s="1">
        <v>0.53680000000000005</v>
      </c>
      <c r="H274" s="1">
        <v>0.72089999999999999</v>
      </c>
      <c r="I274" s="1">
        <v>0.42770000000000002</v>
      </c>
      <c r="J274" s="1">
        <v>57817</v>
      </c>
      <c r="K274" s="1">
        <v>27000</v>
      </c>
      <c r="L274" s="1">
        <v>7550</v>
      </c>
      <c r="M274" s="1">
        <v>13</v>
      </c>
      <c r="N274" s="1" t="s">
        <v>20</v>
      </c>
      <c r="O274" s="1" t="s">
        <v>21</v>
      </c>
      <c r="P274" s="1" t="s">
        <v>39</v>
      </c>
      <c r="Q274" s="1" t="s">
        <v>23</v>
      </c>
      <c r="R274">
        <v>0.80335415162743851</v>
      </c>
    </row>
    <row r="275" spans="1:18" x14ac:dyDescent="0.2">
      <c r="A275" s="1">
        <v>151290</v>
      </c>
      <c r="B275" s="1" t="s">
        <v>346</v>
      </c>
      <c r="C275" s="1" t="s">
        <v>102</v>
      </c>
      <c r="D275" s="1">
        <v>0.70389999999999997</v>
      </c>
      <c r="E275" s="1">
        <v>1441</v>
      </c>
      <c r="F275" s="1">
        <v>31361</v>
      </c>
      <c r="G275" s="1">
        <v>0.47789999999999999</v>
      </c>
      <c r="H275" s="1">
        <v>0.59409999999999996</v>
      </c>
      <c r="I275" s="1">
        <v>0.3518</v>
      </c>
      <c r="J275" s="1">
        <v>47327</v>
      </c>
      <c r="K275" s="1">
        <v>26391</v>
      </c>
      <c r="L275" s="1">
        <v>9234</v>
      </c>
      <c r="M275" s="1">
        <v>16</v>
      </c>
      <c r="N275" s="1" t="s">
        <v>20</v>
      </c>
      <c r="O275" s="1" t="s">
        <v>29</v>
      </c>
      <c r="P275" s="1" t="s">
        <v>22</v>
      </c>
      <c r="Q275" s="1" t="s">
        <v>31</v>
      </c>
      <c r="R275">
        <v>0.80277841984587073</v>
      </c>
    </row>
    <row r="276" spans="1:18" x14ac:dyDescent="0.2">
      <c r="A276" s="1">
        <v>219356</v>
      </c>
      <c r="B276" s="1" t="s">
        <v>347</v>
      </c>
      <c r="C276" s="1" t="s">
        <v>41</v>
      </c>
      <c r="D276" s="1">
        <v>0.98340000000000005</v>
      </c>
      <c r="E276" s="1">
        <v>9198</v>
      </c>
      <c r="F276" s="1">
        <v>12809</v>
      </c>
      <c r="G276" s="1">
        <v>0.62350000000000005</v>
      </c>
      <c r="H276" s="1">
        <v>0.83809999999999996</v>
      </c>
      <c r="I276" s="1">
        <v>0.16819999999999999</v>
      </c>
      <c r="J276" s="1">
        <v>55070</v>
      </c>
      <c r="K276" s="1">
        <v>23250</v>
      </c>
      <c r="L276" s="1">
        <v>10231</v>
      </c>
      <c r="M276" s="1">
        <v>17</v>
      </c>
      <c r="N276" s="1" t="s">
        <v>28</v>
      </c>
      <c r="O276" s="1" t="s">
        <v>42</v>
      </c>
      <c r="P276" s="1" t="s">
        <v>22</v>
      </c>
      <c r="Q276" s="1" t="s">
        <v>23</v>
      </c>
      <c r="R276">
        <v>0.80183801954828082</v>
      </c>
    </row>
    <row r="277" spans="1:18" x14ac:dyDescent="0.2">
      <c r="A277" s="1">
        <v>189705</v>
      </c>
      <c r="B277" s="1" t="s">
        <v>348</v>
      </c>
      <c r="C277" s="1" t="s">
        <v>58</v>
      </c>
      <c r="D277" s="1">
        <v>0.72360000000000002</v>
      </c>
      <c r="E277" s="1">
        <v>1685</v>
      </c>
      <c r="F277" s="1">
        <v>34500</v>
      </c>
      <c r="G277" s="1">
        <v>0.66390000000000005</v>
      </c>
      <c r="H277" s="1">
        <v>0.72619999999999996</v>
      </c>
      <c r="I277" s="1">
        <v>0.32200000000000001</v>
      </c>
      <c r="J277" s="1">
        <v>60681</v>
      </c>
      <c r="K277" s="1">
        <v>24250</v>
      </c>
      <c r="L277" s="1">
        <v>8691</v>
      </c>
      <c r="M277" s="1">
        <v>11</v>
      </c>
      <c r="N277" s="1" t="s">
        <v>20</v>
      </c>
      <c r="O277" s="1" t="s">
        <v>29</v>
      </c>
      <c r="P277" s="1" t="s">
        <v>39</v>
      </c>
      <c r="Q277" s="1" t="s">
        <v>23</v>
      </c>
      <c r="R277">
        <v>0.80172487093625877</v>
      </c>
    </row>
    <row r="278" spans="1:18" x14ac:dyDescent="0.2">
      <c r="A278" s="1">
        <v>238458</v>
      </c>
      <c r="B278" s="1" t="s">
        <v>349</v>
      </c>
      <c r="C278" s="1" t="s">
        <v>50</v>
      </c>
      <c r="D278" s="1">
        <v>0.66839999999999999</v>
      </c>
      <c r="E278" s="1">
        <v>2523</v>
      </c>
      <c r="F278" s="1">
        <v>38890</v>
      </c>
      <c r="G278" s="1">
        <v>0.70699999999999996</v>
      </c>
      <c r="H278" s="1">
        <v>0.78249999999999997</v>
      </c>
      <c r="I278" s="1">
        <v>0.2291</v>
      </c>
      <c r="J278" s="1">
        <v>58009</v>
      </c>
      <c r="K278" s="1">
        <v>27000</v>
      </c>
      <c r="L278" s="1">
        <v>8605</v>
      </c>
      <c r="M278" s="1">
        <v>14</v>
      </c>
      <c r="N278" s="1" t="s">
        <v>20</v>
      </c>
      <c r="O278" s="1" t="s">
        <v>29</v>
      </c>
      <c r="P278" s="1" t="s">
        <v>22</v>
      </c>
      <c r="Q278" s="1" t="s">
        <v>23</v>
      </c>
      <c r="R278">
        <v>0.80172316057902315</v>
      </c>
    </row>
    <row r="279" spans="1:18" x14ac:dyDescent="0.2">
      <c r="A279" s="1">
        <v>198835</v>
      </c>
      <c r="B279" s="1" t="s">
        <v>350</v>
      </c>
      <c r="C279" s="1" t="s">
        <v>86</v>
      </c>
      <c r="D279" s="1">
        <v>0.84589999999999999</v>
      </c>
      <c r="E279" s="1">
        <v>1359</v>
      </c>
      <c r="F279" s="1">
        <v>31900</v>
      </c>
      <c r="G279" s="1">
        <v>0.4778</v>
      </c>
      <c r="H279" s="1">
        <v>0.75529999999999997</v>
      </c>
      <c r="I279" s="1">
        <v>0.39200000000000002</v>
      </c>
      <c r="J279" s="1">
        <v>45543</v>
      </c>
      <c r="K279" s="1">
        <v>26000</v>
      </c>
      <c r="L279" s="1">
        <v>7780</v>
      </c>
      <c r="M279" s="1">
        <v>15</v>
      </c>
      <c r="N279" s="1" t="s">
        <v>20</v>
      </c>
      <c r="O279" s="1" t="s">
        <v>29</v>
      </c>
      <c r="P279" s="1" t="s">
        <v>30</v>
      </c>
      <c r="Q279" s="1" t="s">
        <v>31</v>
      </c>
      <c r="R279">
        <v>0.80130056606481148</v>
      </c>
    </row>
    <row r="280" spans="1:18" x14ac:dyDescent="0.2">
      <c r="A280" s="1">
        <v>130314</v>
      </c>
      <c r="B280" s="1" t="s">
        <v>351</v>
      </c>
      <c r="C280" s="1" t="s">
        <v>147</v>
      </c>
      <c r="D280" s="1">
        <v>0.78590000000000004</v>
      </c>
      <c r="E280" s="1">
        <v>838</v>
      </c>
      <c r="F280" s="1">
        <v>47278</v>
      </c>
      <c r="G280" s="1">
        <v>0.63759999999999994</v>
      </c>
      <c r="H280" s="1">
        <v>0.82079999999999997</v>
      </c>
      <c r="I280" s="1">
        <v>0.32650000000000001</v>
      </c>
      <c r="J280" s="1">
        <v>59908</v>
      </c>
      <c r="K280" s="1">
        <v>27000</v>
      </c>
      <c r="L280" s="1">
        <v>8639</v>
      </c>
      <c r="M280" s="1">
        <v>10</v>
      </c>
      <c r="N280" s="1" t="s">
        <v>20</v>
      </c>
      <c r="O280" s="1" t="s">
        <v>29</v>
      </c>
      <c r="P280" s="1" t="s">
        <v>39</v>
      </c>
      <c r="Q280" s="1" t="s">
        <v>23</v>
      </c>
      <c r="R280">
        <v>0.80089831539253298</v>
      </c>
    </row>
    <row r="281" spans="1:18" x14ac:dyDescent="0.2">
      <c r="A281" s="1">
        <v>197984</v>
      </c>
      <c r="B281" s="1" t="s">
        <v>352</v>
      </c>
      <c r="C281" s="1" t="s">
        <v>86</v>
      </c>
      <c r="D281" s="1">
        <v>0.74650000000000005</v>
      </c>
      <c r="E281" s="1">
        <v>1276</v>
      </c>
      <c r="F281" s="1">
        <v>19500</v>
      </c>
      <c r="G281" s="1">
        <v>0.46679999999999999</v>
      </c>
      <c r="H281" s="1">
        <v>0.70440000000000003</v>
      </c>
      <c r="I281" s="1">
        <v>0.24210000000000001</v>
      </c>
      <c r="J281" s="1">
        <v>47937</v>
      </c>
      <c r="K281" s="1">
        <v>26000</v>
      </c>
      <c r="L281" s="1">
        <v>7019</v>
      </c>
      <c r="M281" s="1">
        <v>12</v>
      </c>
      <c r="N281" s="1" t="s">
        <v>20</v>
      </c>
      <c r="O281" s="1" t="s">
        <v>21</v>
      </c>
      <c r="P281" s="1" t="s">
        <v>30</v>
      </c>
      <c r="Q281" s="1" t="s">
        <v>31</v>
      </c>
      <c r="R281">
        <v>0.79916168413921906</v>
      </c>
    </row>
    <row r="282" spans="1:18" x14ac:dyDescent="0.2">
      <c r="A282" s="1">
        <v>214786</v>
      </c>
      <c r="B282" s="1" t="s">
        <v>353</v>
      </c>
      <c r="C282" s="1" t="s">
        <v>98</v>
      </c>
      <c r="D282" s="1">
        <v>0.9647</v>
      </c>
      <c r="E282" s="1">
        <v>349</v>
      </c>
      <c r="F282" s="1">
        <v>24134</v>
      </c>
      <c r="G282" s="1">
        <v>0.18970000000000001</v>
      </c>
      <c r="H282" s="1">
        <v>0.77880000000000005</v>
      </c>
      <c r="I282" s="1">
        <v>0.41270000000000001</v>
      </c>
      <c r="J282" s="1">
        <v>63435</v>
      </c>
      <c r="K282" s="1">
        <v>25000</v>
      </c>
      <c r="L282" s="1">
        <v>10177</v>
      </c>
      <c r="M282" s="1">
        <v>9</v>
      </c>
      <c r="N282" s="1" t="s">
        <v>28</v>
      </c>
      <c r="O282" s="1" t="s">
        <v>21</v>
      </c>
      <c r="P282" s="1" t="s">
        <v>39</v>
      </c>
      <c r="Q282" s="1" t="s">
        <v>23</v>
      </c>
      <c r="R282">
        <v>0.79836816060055615</v>
      </c>
    </row>
    <row r="283" spans="1:18" x14ac:dyDescent="0.2">
      <c r="A283" s="1">
        <v>193654</v>
      </c>
      <c r="B283" s="1" t="s">
        <v>354</v>
      </c>
      <c r="C283" s="1" t="s">
        <v>58</v>
      </c>
      <c r="D283" s="1">
        <v>0.63470000000000004</v>
      </c>
      <c r="E283" s="1">
        <v>6563</v>
      </c>
      <c r="F283" s="1">
        <v>58694</v>
      </c>
      <c r="G283" s="1">
        <v>0.69369999999999998</v>
      </c>
      <c r="H283" s="1">
        <v>0.84760000000000002</v>
      </c>
      <c r="I283" s="1">
        <v>0.15010000000000001</v>
      </c>
      <c r="J283" s="1">
        <v>52901</v>
      </c>
      <c r="K283" s="1">
        <v>22266</v>
      </c>
      <c r="L283" s="1">
        <v>13417</v>
      </c>
      <c r="M283" s="1">
        <v>9</v>
      </c>
      <c r="N283" s="1" t="s">
        <v>20</v>
      </c>
      <c r="O283" s="1" t="s">
        <v>29</v>
      </c>
      <c r="P283" s="1" t="s">
        <v>39</v>
      </c>
      <c r="Q283" s="1" t="s">
        <v>23</v>
      </c>
      <c r="R283">
        <v>0.79834444434324026</v>
      </c>
    </row>
    <row r="284" spans="1:18" x14ac:dyDescent="0.2">
      <c r="A284" s="1">
        <v>126678</v>
      </c>
      <c r="B284" s="1" t="s">
        <v>355</v>
      </c>
      <c r="C284" s="1" t="s">
        <v>161</v>
      </c>
      <c r="D284" s="1">
        <v>0.1847</v>
      </c>
      <c r="E284" s="1">
        <v>2014</v>
      </c>
      <c r="F284" s="1">
        <v>70734</v>
      </c>
      <c r="G284" s="1">
        <v>0.87660000000000005</v>
      </c>
      <c r="H284" s="1">
        <v>0.93620000000000003</v>
      </c>
      <c r="I284" s="1">
        <v>0.14449999999999999</v>
      </c>
      <c r="J284" s="1">
        <v>65222</v>
      </c>
      <c r="K284" s="1">
        <v>18257</v>
      </c>
      <c r="L284" s="1">
        <v>12786</v>
      </c>
      <c r="M284" s="1">
        <v>9</v>
      </c>
      <c r="N284" s="1" t="s">
        <v>20</v>
      </c>
      <c r="O284" s="1" t="s">
        <v>29</v>
      </c>
      <c r="P284" s="1" t="s">
        <v>22</v>
      </c>
      <c r="Q284" s="1" t="s">
        <v>23</v>
      </c>
      <c r="R284">
        <v>0.79667047274062353</v>
      </c>
    </row>
    <row r="285" spans="1:18" x14ac:dyDescent="0.2">
      <c r="A285" s="1">
        <v>198215</v>
      </c>
      <c r="B285" s="1" t="s">
        <v>356</v>
      </c>
      <c r="C285" s="1" t="s">
        <v>86</v>
      </c>
      <c r="D285" s="1">
        <v>0.75209999999999999</v>
      </c>
      <c r="E285" s="1">
        <v>1235</v>
      </c>
      <c r="F285" s="1">
        <v>34300</v>
      </c>
      <c r="G285" s="1">
        <v>0.47289999999999999</v>
      </c>
      <c r="H285" s="1">
        <v>0.77300000000000002</v>
      </c>
      <c r="I285" s="1">
        <v>0.41</v>
      </c>
      <c r="J285" s="1">
        <v>48793</v>
      </c>
      <c r="K285" s="1">
        <v>25000</v>
      </c>
      <c r="L285" s="1">
        <v>8682</v>
      </c>
      <c r="M285" s="1">
        <v>13</v>
      </c>
      <c r="N285" s="1" t="s">
        <v>20</v>
      </c>
      <c r="O285" s="1" t="s">
        <v>21</v>
      </c>
      <c r="P285" s="1" t="s">
        <v>30</v>
      </c>
      <c r="Q285" s="1" t="s">
        <v>31</v>
      </c>
      <c r="R285">
        <v>0.79634442274721129</v>
      </c>
    </row>
    <row r="286" spans="1:18" x14ac:dyDescent="0.2">
      <c r="A286" s="1">
        <v>211431</v>
      </c>
      <c r="B286" s="1" t="s">
        <v>357</v>
      </c>
      <c r="C286" s="1" t="s">
        <v>98</v>
      </c>
      <c r="D286" s="1">
        <v>0.86950000000000005</v>
      </c>
      <c r="E286" s="1">
        <v>1348</v>
      </c>
      <c r="F286" s="1">
        <v>35874</v>
      </c>
      <c r="G286" s="1">
        <v>0.59919999999999995</v>
      </c>
      <c r="H286" s="1">
        <v>0.84430000000000005</v>
      </c>
      <c r="I286" s="1">
        <v>0.43009999999999998</v>
      </c>
      <c r="J286" s="1">
        <v>51051</v>
      </c>
      <c r="K286" s="1">
        <v>25500</v>
      </c>
      <c r="L286" s="1">
        <v>7520</v>
      </c>
      <c r="M286" s="1">
        <v>12</v>
      </c>
      <c r="N286" s="1" t="s">
        <v>20</v>
      </c>
      <c r="O286" s="1" t="s">
        <v>29</v>
      </c>
      <c r="P286" s="1" t="s">
        <v>39</v>
      </c>
      <c r="Q286" s="1" t="s">
        <v>23</v>
      </c>
      <c r="R286">
        <v>0.79597044366410108</v>
      </c>
    </row>
    <row r="287" spans="1:18" x14ac:dyDescent="0.2">
      <c r="A287" s="1">
        <v>163338</v>
      </c>
      <c r="B287" s="1" t="s">
        <v>358</v>
      </c>
      <c r="C287" s="1" t="s">
        <v>61</v>
      </c>
      <c r="D287" s="1">
        <v>0.96409999999999996</v>
      </c>
      <c r="E287" s="1">
        <v>2391</v>
      </c>
      <c r="F287" s="1">
        <v>20122</v>
      </c>
      <c r="G287" s="1">
        <v>0.3533</v>
      </c>
      <c r="H287" s="1">
        <v>0.6179</v>
      </c>
      <c r="I287" s="1">
        <v>0.55710000000000004</v>
      </c>
      <c r="J287" s="1">
        <v>47697</v>
      </c>
      <c r="K287" s="1">
        <v>27000</v>
      </c>
      <c r="L287" s="1">
        <v>10872</v>
      </c>
      <c r="M287" s="1">
        <v>11</v>
      </c>
      <c r="N287" s="1" t="s">
        <v>28</v>
      </c>
      <c r="O287" s="1" t="s">
        <v>42</v>
      </c>
      <c r="P287" s="1" t="s">
        <v>30</v>
      </c>
      <c r="Q287" s="1" t="s">
        <v>31</v>
      </c>
      <c r="R287">
        <v>0.79401745047448402</v>
      </c>
    </row>
    <row r="288" spans="1:18" x14ac:dyDescent="0.2">
      <c r="A288" s="1">
        <v>166850</v>
      </c>
      <c r="B288" s="1" t="s">
        <v>359</v>
      </c>
      <c r="C288" s="1" t="s">
        <v>129</v>
      </c>
      <c r="D288" s="1">
        <v>0.70020000000000004</v>
      </c>
      <c r="E288" s="1">
        <v>3916</v>
      </c>
      <c r="F288" s="1">
        <v>53962</v>
      </c>
      <c r="G288" s="1">
        <v>0.70050000000000001</v>
      </c>
      <c r="H288" s="1">
        <v>0.79269999999999996</v>
      </c>
      <c r="I288" s="1">
        <v>0.15579999999999999</v>
      </c>
      <c r="J288" s="1">
        <v>75584</v>
      </c>
      <c r="K288" s="1">
        <v>27000</v>
      </c>
      <c r="L288" s="1">
        <v>12316</v>
      </c>
      <c r="M288" s="1">
        <v>13</v>
      </c>
      <c r="N288" s="1" t="s">
        <v>20</v>
      </c>
      <c r="O288" s="1" t="s">
        <v>21</v>
      </c>
      <c r="P288" s="1" t="s">
        <v>39</v>
      </c>
      <c r="Q288" s="1" t="s">
        <v>23</v>
      </c>
      <c r="R288">
        <v>0.79312991873399097</v>
      </c>
    </row>
    <row r="289" spans="1:18" x14ac:dyDescent="0.2">
      <c r="A289" s="1">
        <v>219347</v>
      </c>
      <c r="B289" s="1" t="s">
        <v>360</v>
      </c>
      <c r="C289" s="1" t="s">
        <v>41</v>
      </c>
      <c r="D289" s="1">
        <v>0.79869999999999997</v>
      </c>
      <c r="E289" s="1">
        <v>2071</v>
      </c>
      <c r="F289" s="1">
        <v>14900</v>
      </c>
      <c r="G289" s="1">
        <v>0.52949999999999997</v>
      </c>
      <c r="H289" s="1">
        <v>0.84089999999999998</v>
      </c>
      <c r="I289" s="1">
        <v>0.16869999999999999</v>
      </c>
      <c r="J289" s="1">
        <v>72257</v>
      </c>
      <c r="K289" s="1">
        <v>27000</v>
      </c>
      <c r="L289" s="1">
        <v>11245</v>
      </c>
      <c r="M289" s="1">
        <v>12</v>
      </c>
      <c r="N289" s="1" t="s">
        <v>28</v>
      </c>
      <c r="O289" s="1" t="s">
        <v>29</v>
      </c>
      <c r="P289" s="1" t="s">
        <v>22</v>
      </c>
      <c r="Q289" s="1" t="s">
        <v>23</v>
      </c>
      <c r="R289">
        <v>0.7909418856915762</v>
      </c>
    </row>
    <row r="290" spans="1:18" x14ac:dyDescent="0.2">
      <c r="A290" s="1">
        <v>243780</v>
      </c>
      <c r="B290" s="1" t="s">
        <v>361</v>
      </c>
      <c r="C290" s="1" t="s">
        <v>102</v>
      </c>
      <c r="D290" s="1">
        <v>0.49869999999999998</v>
      </c>
      <c r="E290" s="1">
        <v>44503</v>
      </c>
      <c r="F290" s="1">
        <v>28794</v>
      </c>
      <c r="G290" s="1">
        <v>0.83099999999999996</v>
      </c>
      <c r="H290" s="1">
        <v>0.92700000000000005</v>
      </c>
      <c r="I290" s="1">
        <v>0.1298</v>
      </c>
      <c r="J290" s="1">
        <v>72424</v>
      </c>
      <c r="K290" s="1">
        <v>19500</v>
      </c>
      <c r="L290" s="1">
        <v>14473</v>
      </c>
      <c r="M290" s="1">
        <v>14</v>
      </c>
      <c r="N290" s="1" t="s">
        <v>28</v>
      </c>
      <c r="O290" s="1" t="s">
        <v>29</v>
      </c>
      <c r="P290" s="1" t="s">
        <v>22</v>
      </c>
      <c r="Q290" s="1" t="s">
        <v>23</v>
      </c>
      <c r="R290">
        <v>0.78917426861995743</v>
      </c>
    </row>
    <row r="291" spans="1:18" x14ac:dyDescent="0.2">
      <c r="A291" s="1">
        <v>196088</v>
      </c>
      <c r="B291" s="1" t="s">
        <v>362</v>
      </c>
      <c r="C291" s="1" t="s">
        <v>58</v>
      </c>
      <c r="D291" s="1">
        <v>0.74180000000000001</v>
      </c>
      <c r="E291" s="1">
        <v>20112</v>
      </c>
      <c r="F291" s="1">
        <v>31536</v>
      </c>
      <c r="G291" s="1">
        <v>0.75180000000000002</v>
      </c>
      <c r="H291" s="1">
        <v>0.85209999999999997</v>
      </c>
      <c r="I291" s="1">
        <v>0.33129999999999998</v>
      </c>
      <c r="J291" s="1">
        <v>70814</v>
      </c>
      <c r="K291" s="1">
        <v>19000</v>
      </c>
      <c r="L291" s="1">
        <v>12415</v>
      </c>
      <c r="M291" s="1">
        <v>11</v>
      </c>
      <c r="N291" s="1" t="s">
        <v>28</v>
      </c>
      <c r="O291" s="1" t="s">
        <v>21</v>
      </c>
      <c r="P291" s="1" t="s">
        <v>39</v>
      </c>
      <c r="Q291" s="1" t="s">
        <v>23</v>
      </c>
      <c r="R291">
        <v>0.78895486004653204</v>
      </c>
    </row>
    <row r="292" spans="1:18" x14ac:dyDescent="0.2">
      <c r="A292" s="1">
        <v>239716</v>
      </c>
      <c r="B292" s="1" t="s">
        <v>363</v>
      </c>
      <c r="C292" s="1" t="s">
        <v>50</v>
      </c>
      <c r="D292" s="1">
        <v>0.85740000000000005</v>
      </c>
      <c r="E292" s="1">
        <v>1662</v>
      </c>
      <c r="F292" s="1">
        <v>45580</v>
      </c>
      <c r="G292" s="1">
        <v>0.71289999999999998</v>
      </c>
      <c r="H292" s="1">
        <v>0.8367</v>
      </c>
      <c r="I292" s="1">
        <v>0.14699999999999999</v>
      </c>
      <c r="J292" s="1">
        <v>58363</v>
      </c>
      <c r="K292" s="1">
        <v>26731</v>
      </c>
      <c r="L292" s="1">
        <v>9440</v>
      </c>
      <c r="M292" s="1">
        <v>14</v>
      </c>
      <c r="N292" s="1" t="s">
        <v>20</v>
      </c>
      <c r="O292" s="1" t="s">
        <v>21</v>
      </c>
      <c r="P292" s="1" t="s">
        <v>22</v>
      </c>
      <c r="Q292" s="1" t="s">
        <v>23</v>
      </c>
      <c r="R292">
        <v>0.78683923865272176</v>
      </c>
    </row>
    <row r="293" spans="1:18" x14ac:dyDescent="0.2">
      <c r="A293" s="1">
        <v>433004</v>
      </c>
      <c r="B293" s="1" t="s">
        <v>364</v>
      </c>
      <c r="C293" s="1" t="s">
        <v>33</v>
      </c>
      <c r="D293" s="1">
        <v>0.5</v>
      </c>
      <c r="E293" s="1">
        <v>351</v>
      </c>
      <c r="F293" s="1">
        <v>24575</v>
      </c>
      <c r="G293" s="1">
        <v>0.5</v>
      </c>
      <c r="H293" s="1">
        <v>1</v>
      </c>
      <c r="I293" s="1">
        <v>0.45600000000000002</v>
      </c>
      <c r="J293" s="1">
        <v>93610</v>
      </c>
      <c r="K293" s="1">
        <v>40326</v>
      </c>
      <c r="L293" s="1">
        <v>11448</v>
      </c>
      <c r="M293" s="1">
        <v>16</v>
      </c>
      <c r="N293" s="1" t="s">
        <v>142</v>
      </c>
      <c r="O293" s="1" t="s">
        <v>21</v>
      </c>
      <c r="P293" s="1" t="s">
        <v>22</v>
      </c>
      <c r="Q293" s="1" t="s">
        <v>23</v>
      </c>
      <c r="R293">
        <v>0.78662524242999687</v>
      </c>
    </row>
    <row r="294" spans="1:18" x14ac:dyDescent="0.2">
      <c r="A294" s="1">
        <v>214731</v>
      </c>
      <c r="B294" s="1" t="s">
        <v>365</v>
      </c>
      <c r="C294" s="1" t="s">
        <v>98</v>
      </c>
      <c r="D294" s="1">
        <v>0.98109999999999997</v>
      </c>
      <c r="E294" s="1">
        <v>1223</v>
      </c>
      <c r="F294" s="1">
        <v>25392</v>
      </c>
      <c r="G294" s="1">
        <v>0.25979999999999998</v>
      </c>
      <c r="H294" s="1">
        <v>0.72619999999999996</v>
      </c>
      <c r="I294" s="1">
        <v>0.33689999999999998</v>
      </c>
      <c r="J294" s="1">
        <v>63435</v>
      </c>
      <c r="K294" s="1">
        <v>25000</v>
      </c>
      <c r="L294" s="1">
        <v>9857</v>
      </c>
      <c r="M294" s="1">
        <v>15</v>
      </c>
      <c r="N294" s="1" t="s">
        <v>28</v>
      </c>
      <c r="O294" s="1" t="s">
        <v>21</v>
      </c>
      <c r="P294" s="1" t="s">
        <v>39</v>
      </c>
      <c r="Q294" s="1" t="s">
        <v>23</v>
      </c>
      <c r="R294">
        <v>0.78640759564555685</v>
      </c>
    </row>
    <row r="295" spans="1:18" x14ac:dyDescent="0.2">
      <c r="A295" s="1">
        <v>153658</v>
      </c>
      <c r="B295" s="1" t="s">
        <v>366</v>
      </c>
      <c r="C295" s="1" t="s">
        <v>81</v>
      </c>
      <c r="D295" s="1">
        <v>0.83620000000000005</v>
      </c>
      <c r="E295" s="1">
        <v>22264</v>
      </c>
      <c r="F295" s="1">
        <v>33371</v>
      </c>
      <c r="G295" s="1">
        <v>0.74629999999999996</v>
      </c>
      <c r="H295" s="1">
        <v>0.90359999999999996</v>
      </c>
      <c r="I295" s="1">
        <v>0.1835</v>
      </c>
      <c r="J295" s="1">
        <v>64762</v>
      </c>
      <c r="K295" s="1">
        <v>22500</v>
      </c>
      <c r="L295" s="1">
        <v>12922</v>
      </c>
      <c r="M295" s="1">
        <v>16</v>
      </c>
      <c r="N295" s="1" t="s">
        <v>28</v>
      </c>
      <c r="O295" s="1" t="s">
        <v>29</v>
      </c>
      <c r="P295" s="1" t="s">
        <v>22</v>
      </c>
      <c r="Q295" s="1" t="s">
        <v>23</v>
      </c>
      <c r="R295">
        <v>0.78601205202725921</v>
      </c>
    </row>
    <row r="296" spans="1:18" x14ac:dyDescent="0.2">
      <c r="A296" s="1">
        <v>151342</v>
      </c>
      <c r="B296" s="1" t="s">
        <v>367</v>
      </c>
      <c r="C296" s="1" t="s">
        <v>102</v>
      </c>
      <c r="D296" s="1">
        <v>0.83840000000000003</v>
      </c>
      <c r="E296" s="1">
        <v>3933</v>
      </c>
      <c r="F296" s="1">
        <v>22811</v>
      </c>
      <c r="G296" s="1">
        <v>0.40089999999999998</v>
      </c>
      <c r="H296" s="1">
        <v>0.65090000000000003</v>
      </c>
      <c r="I296" s="1">
        <v>0.42670000000000002</v>
      </c>
      <c r="J296" s="1">
        <v>44947</v>
      </c>
      <c r="K296" s="1">
        <v>21355</v>
      </c>
      <c r="L296" s="1">
        <v>7053</v>
      </c>
      <c r="M296" s="1">
        <v>15</v>
      </c>
      <c r="N296" s="1" t="s">
        <v>28</v>
      </c>
      <c r="O296" s="1" t="s">
        <v>29</v>
      </c>
      <c r="P296" s="1" t="s">
        <v>22</v>
      </c>
      <c r="Q296" s="1" t="s">
        <v>31</v>
      </c>
      <c r="R296">
        <v>0.78557499275973042</v>
      </c>
    </row>
    <row r="297" spans="1:18" x14ac:dyDescent="0.2">
      <c r="A297" s="1">
        <v>198950</v>
      </c>
      <c r="B297" s="1" t="s">
        <v>368</v>
      </c>
      <c r="C297" s="1" t="s">
        <v>86</v>
      </c>
      <c r="D297" s="1">
        <v>0.74180000000000001</v>
      </c>
      <c r="E297" s="1">
        <v>1188</v>
      </c>
      <c r="F297" s="1">
        <v>45630</v>
      </c>
      <c r="G297" s="1">
        <v>0.70069999999999999</v>
      </c>
      <c r="H297" s="1">
        <v>0.79379999999999995</v>
      </c>
      <c r="I297" s="1">
        <v>0.35909999999999997</v>
      </c>
      <c r="J297" s="1">
        <v>51539</v>
      </c>
      <c r="K297" s="1">
        <v>25000</v>
      </c>
      <c r="L297" s="1">
        <v>7652</v>
      </c>
      <c r="M297" s="1">
        <v>10</v>
      </c>
      <c r="N297" s="1" t="s">
        <v>20</v>
      </c>
      <c r="O297" s="1" t="s">
        <v>29</v>
      </c>
      <c r="P297" s="1" t="s">
        <v>30</v>
      </c>
      <c r="Q297" s="1" t="s">
        <v>23</v>
      </c>
      <c r="R297">
        <v>0.78550979406323729</v>
      </c>
    </row>
    <row r="298" spans="1:18" x14ac:dyDescent="0.2">
      <c r="A298" s="1">
        <v>146339</v>
      </c>
      <c r="B298" s="1" t="s">
        <v>369</v>
      </c>
      <c r="C298" s="1" t="s">
        <v>25</v>
      </c>
      <c r="D298" s="1">
        <v>0.47589999999999999</v>
      </c>
      <c r="E298" s="1">
        <v>708</v>
      </c>
      <c r="F298" s="1">
        <v>31360</v>
      </c>
      <c r="G298" s="1">
        <v>0.59870000000000001</v>
      </c>
      <c r="H298" s="1">
        <v>0.5917</v>
      </c>
      <c r="I298" s="1">
        <v>0.3871</v>
      </c>
      <c r="J298" s="1">
        <v>56313</v>
      </c>
      <c r="K298" s="1">
        <v>25000</v>
      </c>
      <c r="L298" s="1">
        <v>6024</v>
      </c>
      <c r="M298" s="1">
        <v>10</v>
      </c>
      <c r="N298" s="1" t="s">
        <v>20</v>
      </c>
      <c r="O298" s="1" t="s">
        <v>29</v>
      </c>
      <c r="P298" s="1" t="s">
        <v>22</v>
      </c>
      <c r="Q298" s="1" t="s">
        <v>23</v>
      </c>
      <c r="R298">
        <v>0.78536350421445156</v>
      </c>
    </row>
    <row r="299" spans="1:18" x14ac:dyDescent="0.2">
      <c r="A299" s="1">
        <v>213826</v>
      </c>
      <c r="B299" s="1" t="s">
        <v>370</v>
      </c>
      <c r="C299" s="1" t="s">
        <v>98</v>
      </c>
      <c r="D299" s="1">
        <v>0.60580000000000001</v>
      </c>
      <c r="E299" s="1">
        <v>1784</v>
      </c>
      <c r="F299" s="1">
        <v>41420</v>
      </c>
      <c r="G299" s="1">
        <v>0.71650000000000003</v>
      </c>
      <c r="H299" s="1">
        <v>0.79810000000000003</v>
      </c>
      <c r="I299" s="1">
        <v>0.3196</v>
      </c>
      <c r="J299" s="1">
        <v>55817</v>
      </c>
      <c r="K299" s="1">
        <v>26186</v>
      </c>
      <c r="L299" s="1">
        <v>7773</v>
      </c>
      <c r="M299" s="1">
        <v>11</v>
      </c>
      <c r="N299" s="1" t="s">
        <v>20</v>
      </c>
      <c r="O299" s="1" t="s">
        <v>29</v>
      </c>
      <c r="P299" s="1" t="s">
        <v>39</v>
      </c>
      <c r="Q299" s="1" t="s">
        <v>23</v>
      </c>
      <c r="R299">
        <v>0.78505440294465711</v>
      </c>
    </row>
    <row r="300" spans="1:18" x14ac:dyDescent="0.2">
      <c r="A300" s="1">
        <v>126775</v>
      </c>
      <c r="B300" s="1" t="s">
        <v>371</v>
      </c>
      <c r="C300" s="1" t="s">
        <v>161</v>
      </c>
      <c r="D300" s="1">
        <v>0.6069</v>
      </c>
      <c r="E300" s="1">
        <v>6155</v>
      </c>
      <c r="F300" s="1">
        <v>45824</v>
      </c>
      <c r="G300" s="1">
        <v>0.81710000000000005</v>
      </c>
      <c r="H300" s="1">
        <v>0.92789999999999995</v>
      </c>
      <c r="I300" s="1">
        <v>0.13569999999999999</v>
      </c>
      <c r="J300" s="1">
        <v>97335</v>
      </c>
      <c r="K300" s="1">
        <v>23000</v>
      </c>
      <c r="L300" s="1">
        <v>14000</v>
      </c>
      <c r="M300" s="1">
        <v>18</v>
      </c>
      <c r="N300" s="1" t="s">
        <v>28</v>
      </c>
      <c r="O300" s="1" t="s">
        <v>21</v>
      </c>
      <c r="P300" s="1" t="s">
        <v>22</v>
      </c>
      <c r="Q300" s="1" t="s">
        <v>23</v>
      </c>
      <c r="R300">
        <v>0.78498659709922325</v>
      </c>
    </row>
    <row r="301" spans="1:18" x14ac:dyDescent="0.2">
      <c r="A301" s="1">
        <v>486947</v>
      </c>
      <c r="B301" s="1" t="s">
        <v>372</v>
      </c>
      <c r="C301" s="1" t="s">
        <v>109</v>
      </c>
      <c r="D301" s="1">
        <v>0.85709999999999997</v>
      </c>
      <c r="E301" s="1">
        <v>629</v>
      </c>
      <c r="F301" s="1">
        <v>20785</v>
      </c>
      <c r="G301" s="1">
        <v>1</v>
      </c>
      <c r="H301" s="1">
        <v>0.6</v>
      </c>
      <c r="I301" s="1">
        <v>0.49919999999999998</v>
      </c>
      <c r="J301" s="1">
        <v>92405</v>
      </c>
      <c r="K301" s="1">
        <v>20919</v>
      </c>
      <c r="L301" s="1">
        <v>8978</v>
      </c>
      <c r="M301" s="1">
        <v>9</v>
      </c>
      <c r="N301" s="1" t="s">
        <v>142</v>
      </c>
      <c r="O301" s="1" t="s">
        <v>29</v>
      </c>
      <c r="P301" s="1" t="s">
        <v>22</v>
      </c>
      <c r="Q301" s="1" t="s">
        <v>23</v>
      </c>
      <c r="R301">
        <v>0.78420759857191591</v>
      </c>
    </row>
    <row r="302" spans="1:18" x14ac:dyDescent="0.2">
      <c r="A302" s="1">
        <v>127565</v>
      </c>
      <c r="B302" s="1" t="s">
        <v>373</v>
      </c>
      <c r="C302" s="1" t="s">
        <v>161</v>
      </c>
      <c r="D302" s="1">
        <v>0.98799999999999999</v>
      </c>
      <c r="E302" s="1">
        <v>15002</v>
      </c>
      <c r="F302" s="1">
        <v>30684</v>
      </c>
      <c r="G302" s="1">
        <v>0.31540000000000001</v>
      </c>
      <c r="H302" s="1">
        <v>0.62890000000000001</v>
      </c>
      <c r="I302" s="1">
        <v>0.35510000000000003</v>
      </c>
      <c r="J302" s="1">
        <v>52093</v>
      </c>
      <c r="K302" s="1">
        <v>21500</v>
      </c>
      <c r="L302" s="1">
        <v>10105</v>
      </c>
      <c r="M302" s="1">
        <v>14</v>
      </c>
      <c r="N302" s="1" t="s">
        <v>28</v>
      </c>
      <c r="O302" s="1" t="s">
        <v>29</v>
      </c>
      <c r="P302" s="1" t="s">
        <v>22</v>
      </c>
      <c r="Q302" s="1" t="s">
        <v>23</v>
      </c>
      <c r="R302">
        <v>0.78284874398576432</v>
      </c>
    </row>
    <row r="303" spans="1:18" x14ac:dyDescent="0.2">
      <c r="A303" s="1">
        <v>166939</v>
      </c>
      <c r="B303" s="1" t="s">
        <v>374</v>
      </c>
      <c r="C303" s="1" t="s">
        <v>129</v>
      </c>
      <c r="D303" s="1">
        <v>0.36030000000000001</v>
      </c>
      <c r="E303" s="1">
        <v>2169</v>
      </c>
      <c r="F303" s="1">
        <v>67018</v>
      </c>
      <c r="G303" s="1">
        <v>0.84389999999999998</v>
      </c>
      <c r="H303" s="1">
        <v>0.88590000000000002</v>
      </c>
      <c r="I303" s="1">
        <v>0.21890000000000001</v>
      </c>
      <c r="J303" s="1">
        <v>58418</v>
      </c>
      <c r="K303" s="1">
        <v>22902</v>
      </c>
      <c r="L303" s="1">
        <v>13140</v>
      </c>
      <c r="M303" s="1">
        <v>9</v>
      </c>
      <c r="N303" s="1" t="s">
        <v>20</v>
      </c>
      <c r="O303" s="1" t="s">
        <v>21</v>
      </c>
      <c r="P303" s="1" t="s">
        <v>39</v>
      </c>
      <c r="Q303" s="1" t="s">
        <v>23</v>
      </c>
      <c r="R303">
        <v>0.78193077943196776</v>
      </c>
    </row>
    <row r="304" spans="1:18" x14ac:dyDescent="0.2">
      <c r="A304" s="1">
        <v>120537</v>
      </c>
      <c r="B304" s="1" t="s">
        <v>375</v>
      </c>
      <c r="C304" s="1" t="s">
        <v>33</v>
      </c>
      <c r="D304" s="1">
        <v>0.32979999999999998</v>
      </c>
      <c r="E304" s="1">
        <v>564</v>
      </c>
      <c r="F304" s="1">
        <v>38050</v>
      </c>
      <c r="G304" s="1">
        <v>0.49440000000000001</v>
      </c>
      <c r="H304" s="1">
        <v>0.52439999999999998</v>
      </c>
      <c r="I304" s="1">
        <v>0.44259999999999999</v>
      </c>
      <c r="J304" s="1">
        <v>49697</v>
      </c>
      <c r="K304" s="1">
        <v>23000</v>
      </c>
      <c r="L304" s="1">
        <v>7734</v>
      </c>
      <c r="M304" s="1">
        <v>13</v>
      </c>
      <c r="N304" s="1" t="s">
        <v>20</v>
      </c>
      <c r="O304" s="1" t="s">
        <v>21</v>
      </c>
      <c r="P304" s="1" t="s">
        <v>22</v>
      </c>
      <c r="Q304" s="1" t="s">
        <v>31</v>
      </c>
      <c r="R304">
        <v>0.78084009253360709</v>
      </c>
    </row>
    <row r="305" spans="1:18" x14ac:dyDescent="0.2">
      <c r="A305" s="1">
        <v>191931</v>
      </c>
      <c r="B305" s="1" t="s">
        <v>376</v>
      </c>
      <c r="C305" s="1" t="s">
        <v>58</v>
      </c>
      <c r="D305" s="1">
        <v>0.86939999999999995</v>
      </c>
      <c r="E305" s="1">
        <v>2951</v>
      </c>
      <c r="F305" s="1">
        <v>47260</v>
      </c>
      <c r="G305" s="1">
        <v>0.56000000000000005</v>
      </c>
      <c r="H305" s="1">
        <v>0.76929999999999998</v>
      </c>
      <c r="I305" s="1">
        <v>0.28270000000000001</v>
      </c>
      <c r="J305" s="1">
        <v>73595</v>
      </c>
      <c r="K305" s="1">
        <v>25999</v>
      </c>
      <c r="L305" s="1">
        <v>9406</v>
      </c>
      <c r="M305" s="1">
        <v>16</v>
      </c>
      <c r="N305" s="1" t="s">
        <v>20</v>
      </c>
      <c r="O305" s="1" t="s">
        <v>21</v>
      </c>
      <c r="P305" s="1" t="s">
        <v>39</v>
      </c>
      <c r="Q305" s="1" t="s">
        <v>23</v>
      </c>
      <c r="R305">
        <v>0.78073757726527937</v>
      </c>
    </row>
    <row r="306" spans="1:18" x14ac:dyDescent="0.2">
      <c r="A306" s="1">
        <v>173160</v>
      </c>
      <c r="B306" s="1" t="s">
        <v>377</v>
      </c>
      <c r="C306" s="1" t="s">
        <v>54</v>
      </c>
      <c r="D306" s="1">
        <v>0.878</v>
      </c>
      <c r="E306" s="1">
        <v>1871</v>
      </c>
      <c r="F306" s="1">
        <v>44226</v>
      </c>
      <c r="G306" s="1">
        <v>0.71379999999999999</v>
      </c>
      <c r="H306" s="1">
        <v>0.85709999999999997</v>
      </c>
      <c r="I306" s="1">
        <v>0.1852</v>
      </c>
      <c r="J306" s="1">
        <v>63764</v>
      </c>
      <c r="K306" s="1">
        <v>21500</v>
      </c>
      <c r="L306" s="1">
        <v>8331</v>
      </c>
      <c r="M306" s="1">
        <v>14</v>
      </c>
      <c r="N306" s="1" t="s">
        <v>20</v>
      </c>
      <c r="O306" s="1" t="s">
        <v>21</v>
      </c>
      <c r="P306" s="1" t="s">
        <v>22</v>
      </c>
      <c r="Q306" s="1" t="s">
        <v>23</v>
      </c>
      <c r="R306">
        <v>0.78061846764938991</v>
      </c>
    </row>
    <row r="307" spans="1:18" x14ac:dyDescent="0.2">
      <c r="A307" s="1">
        <v>196200</v>
      </c>
      <c r="B307" s="1" t="s">
        <v>378</v>
      </c>
      <c r="C307" s="1" t="s">
        <v>58</v>
      </c>
      <c r="D307" s="1">
        <v>0.77700000000000002</v>
      </c>
      <c r="E307" s="1">
        <v>1823</v>
      </c>
      <c r="F307" s="1">
        <v>18678</v>
      </c>
      <c r="G307" s="1">
        <v>0.45300000000000001</v>
      </c>
      <c r="H307" s="1">
        <v>0.77669999999999995</v>
      </c>
      <c r="I307" s="1">
        <v>0.40339999999999998</v>
      </c>
      <c r="J307" s="1">
        <v>47866</v>
      </c>
      <c r="K307" s="1">
        <v>24250</v>
      </c>
      <c r="L307" s="1">
        <v>7383</v>
      </c>
      <c r="M307" s="1">
        <v>11</v>
      </c>
      <c r="N307" s="1" t="s">
        <v>28</v>
      </c>
      <c r="O307" s="1" t="s">
        <v>42</v>
      </c>
      <c r="P307" s="1" t="s">
        <v>39</v>
      </c>
      <c r="Q307" s="1" t="s">
        <v>31</v>
      </c>
      <c r="R307">
        <v>0.78052702593589784</v>
      </c>
    </row>
    <row r="308" spans="1:18" x14ac:dyDescent="0.2">
      <c r="A308" s="1">
        <v>219259</v>
      </c>
      <c r="B308" s="1" t="s">
        <v>379</v>
      </c>
      <c r="C308" s="1" t="s">
        <v>41</v>
      </c>
      <c r="D308" s="1">
        <v>0.93</v>
      </c>
      <c r="E308" s="1">
        <v>1273</v>
      </c>
      <c r="F308" s="1">
        <v>11947</v>
      </c>
      <c r="G308" s="1">
        <v>0.4894</v>
      </c>
      <c r="H308" s="1">
        <v>0.76980000000000004</v>
      </c>
      <c r="I308" s="1">
        <v>0.1245</v>
      </c>
      <c r="J308" s="1">
        <v>47618</v>
      </c>
      <c r="K308" s="1">
        <v>22320</v>
      </c>
      <c r="L308" s="1">
        <v>8949</v>
      </c>
      <c r="M308" s="1">
        <v>19</v>
      </c>
      <c r="N308" s="1" t="s">
        <v>28</v>
      </c>
      <c r="O308" s="1" t="s">
        <v>42</v>
      </c>
      <c r="P308" s="1" t="s">
        <v>22</v>
      </c>
      <c r="Q308" s="1" t="s">
        <v>31</v>
      </c>
      <c r="R308">
        <v>0.77675903043147598</v>
      </c>
    </row>
    <row r="309" spans="1:18" x14ac:dyDescent="0.2">
      <c r="A309" s="1">
        <v>167899</v>
      </c>
      <c r="B309" s="1" t="s">
        <v>380</v>
      </c>
      <c r="C309" s="1" t="s">
        <v>129</v>
      </c>
      <c r="D309" s="1">
        <v>0.71889999999999998</v>
      </c>
      <c r="E309" s="1">
        <v>1751</v>
      </c>
      <c r="F309" s="1">
        <v>45174</v>
      </c>
      <c r="G309" s="1">
        <v>0.7419</v>
      </c>
      <c r="H309" s="1">
        <v>0.80669999999999997</v>
      </c>
      <c r="I309" s="1">
        <v>0.22359999999999999</v>
      </c>
      <c r="J309" s="1">
        <v>48036</v>
      </c>
      <c r="K309" s="1">
        <v>26250</v>
      </c>
      <c r="L309" s="1">
        <v>8245</v>
      </c>
      <c r="M309" s="1">
        <v>11</v>
      </c>
      <c r="N309" s="1" t="s">
        <v>20</v>
      </c>
      <c r="O309" s="1" t="s">
        <v>29</v>
      </c>
      <c r="P309" s="1" t="s">
        <v>39</v>
      </c>
      <c r="Q309" s="1" t="s">
        <v>31</v>
      </c>
      <c r="R309">
        <v>0.77507667245935907</v>
      </c>
    </row>
    <row r="310" spans="1:18" x14ac:dyDescent="0.2">
      <c r="A310" s="1">
        <v>203960</v>
      </c>
      <c r="B310" s="1" t="s">
        <v>381</v>
      </c>
      <c r="C310" s="1" t="s">
        <v>19</v>
      </c>
      <c r="D310" s="1">
        <v>0.93220000000000003</v>
      </c>
      <c r="E310" s="1">
        <v>939</v>
      </c>
      <c r="F310" s="1">
        <v>19470</v>
      </c>
      <c r="G310" s="1">
        <v>0.55810000000000004</v>
      </c>
      <c r="H310" s="1">
        <v>0.86670000000000003</v>
      </c>
      <c r="I310" s="1">
        <v>0.32729999999999998</v>
      </c>
      <c r="J310" s="1">
        <v>65409</v>
      </c>
      <c r="K310" s="1">
        <v>20834</v>
      </c>
      <c r="L310" s="1">
        <v>7613</v>
      </c>
      <c r="M310" s="1">
        <v>5</v>
      </c>
      <c r="N310" s="1" t="s">
        <v>20</v>
      </c>
      <c r="O310" s="1" t="s">
        <v>29</v>
      </c>
      <c r="P310" s="1" t="s">
        <v>22</v>
      </c>
      <c r="Q310" s="1" t="s">
        <v>23</v>
      </c>
      <c r="R310">
        <v>0.77450148972025457</v>
      </c>
    </row>
    <row r="311" spans="1:18" x14ac:dyDescent="0.2">
      <c r="A311" s="1">
        <v>104179</v>
      </c>
      <c r="B311" s="1" t="s">
        <v>382</v>
      </c>
      <c r="C311" s="1" t="s">
        <v>216</v>
      </c>
      <c r="D311" s="1">
        <v>0.86140000000000005</v>
      </c>
      <c r="E311" s="1">
        <v>42537</v>
      </c>
      <c r="F311" s="1">
        <v>42278</v>
      </c>
      <c r="G311" s="1">
        <v>0.67520000000000002</v>
      </c>
      <c r="H311" s="1">
        <v>0.82779999999999998</v>
      </c>
      <c r="I311" s="1">
        <v>0.25700000000000001</v>
      </c>
      <c r="J311" s="1">
        <v>59979</v>
      </c>
      <c r="K311" s="1">
        <v>19620</v>
      </c>
      <c r="L311" s="1">
        <v>12347</v>
      </c>
      <c r="M311" s="1">
        <v>20</v>
      </c>
      <c r="N311" s="1" t="s">
        <v>28</v>
      </c>
      <c r="O311" s="1" t="s">
        <v>29</v>
      </c>
      <c r="P311" s="1" t="s">
        <v>22</v>
      </c>
      <c r="Q311" s="1" t="s">
        <v>23</v>
      </c>
      <c r="R311">
        <v>0.77335755148238505</v>
      </c>
    </row>
    <row r="312" spans="1:18" x14ac:dyDescent="0.2">
      <c r="A312" s="1">
        <v>135726</v>
      </c>
      <c r="B312" s="1" t="s">
        <v>383</v>
      </c>
      <c r="C312" s="1" t="s">
        <v>27</v>
      </c>
      <c r="D312" s="1">
        <v>0.189</v>
      </c>
      <c r="E312" s="1">
        <v>12913</v>
      </c>
      <c r="F312" s="1">
        <v>62616</v>
      </c>
      <c r="G312" s="1">
        <v>0.83679999999999999</v>
      </c>
      <c r="H312" s="1">
        <v>0.93769999999999998</v>
      </c>
      <c r="I312" s="1">
        <v>0.14860000000000001</v>
      </c>
      <c r="J312" s="1">
        <v>75328</v>
      </c>
      <c r="K312" s="1">
        <v>17500</v>
      </c>
      <c r="L312" s="1">
        <v>16043</v>
      </c>
      <c r="M312" s="1">
        <v>11</v>
      </c>
      <c r="N312" s="1" t="s">
        <v>20</v>
      </c>
      <c r="O312" s="1" t="s">
        <v>21</v>
      </c>
      <c r="P312" s="1" t="s">
        <v>30</v>
      </c>
      <c r="Q312" s="1" t="s">
        <v>23</v>
      </c>
      <c r="R312">
        <v>0.77303707964647306</v>
      </c>
    </row>
    <row r="313" spans="1:18" x14ac:dyDescent="0.2">
      <c r="A313" s="1">
        <v>110413</v>
      </c>
      <c r="B313" s="1" t="s">
        <v>384</v>
      </c>
      <c r="C313" s="1" t="s">
        <v>33</v>
      </c>
      <c r="D313" s="1">
        <v>0.75670000000000004</v>
      </c>
      <c r="E313" s="1">
        <v>2296</v>
      </c>
      <c r="F313" s="1">
        <v>52560</v>
      </c>
      <c r="G313" s="1">
        <v>0.69599999999999995</v>
      </c>
      <c r="H313" s="1">
        <v>0.78779999999999994</v>
      </c>
      <c r="I313" s="1">
        <v>0.31090000000000001</v>
      </c>
      <c r="J313" s="1">
        <v>68712</v>
      </c>
      <c r="K313" s="1">
        <v>21669</v>
      </c>
      <c r="L313" s="1">
        <v>10794</v>
      </c>
      <c r="M313" s="1">
        <v>13</v>
      </c>
      <c r="N313" s="1" t="s">
        <v>20</v>
      </c>
      <c r="O313" s="1" t="s">
        <v>29</v>
      </c>
      <c r="P313" s="1" t="s">
        <v>22</v>
      </c>
      <c r="Q313" s="1" t="s">
        <v>23</v>
      </c>
      <c r="R313">
        <v>0.77119893511328619</v>
      </c>
    </row>
    <row r="314" spans="1:18" x14ac:dyDescent="0.2">
      <c r="A314" s="1">
        <v>130989</v>
      </c>
      <c r="B314" s="1" t="s">
        <v>385</v>
      </c>
      <c r="C314" s="1" t="s">
        <v>386</v>
      </c>
      <c r="D314" s="1">
        <v>0.84509999999999996</v>
      </c>
      <c r="E314" s="1">
        <v>691</v>
      </c>
      <c r="F314" s="1">
        <v>14940</v>
      </c>
      <c r="G314" s="1">
        <v>0.57430000000000003</v>
      </c>
      <c r="H314" s="1">
        <v>0.71809999999999996</v>
      </c>
      <c r="I314" s="1">
        <v>0.37890000000000001</v>
      </c>
      <c r="J314" s="1">
        <v>59892</v>
      </c>
      <c r="K314" s="1">
        <v>18900</v>
      </c>
      <c r="L314" s="1">
        <v>8592</v>
      </c>
      <c r="M314" s="1">
        <v>18</v>
      </c>
      <c r="N314" s="1" t="s">
        <v>20</v>
      </c>
      <c r="O314" s="1" t="s">
        <v>21</v>
      </c>
      <c r="P314" s="1" t="s">
        <v>30</v>
      </c>
      <c r="Q314" s="1" t="s">
        <v>23</v>
      </c>
      <c r="R314">
        <v>0.77081914741259794</v>
      </c>
    </row>
    <row r="315" spans="1:18" x14ac:dyDescent="0.2">
      <c r="A315" s="1">
        <v>137953</v>
      </c>
      <c r="B315" s="1" t="s">
        <v>387</v>
      </c>
      <c r="C315" s="1" t="s">
        <v>27</v>
      </c>
      <c r="D315" s="1">
        <v>0.53280000000000005</v>
      </c>
      <c r="E315" s="1">
        <v>386</v>
      </c>
      <c r="F315" s="1">
        <v>15100</v>
      </c>
      <c r="G315" s="1">
        <v>0.34179999999999999</v>
      </c>
      <c r="H315" s="1">
        <v>0.56669999999999998</v>
      </c>
      <c r="I315" s="1">
        <v>0.50129999999999997</v>
      </c>
      <c r="J315" s="1">
        <v>37275</v>
      </c>
      <c r="K315" s="1">
        <v>24250</v>
      </c>
      <c r="L315" s="1">
        <v>5460</v>
      </c>
      <c r="M315" s="1">
        <v>11</v>
      </c>
      <c r="N315" s="1" t="s">
        <v>20</v>
      </c>
      <c r="O315" s="1" t="s">
        <v>29</v>
      </c>
      <c r="P315" s="1" t="s">
        <v>30</v>
      </c>
      <c r="Q315" s="1" t="s">
        <v>31</v>
      </c>
      <c r="R315">
        <v>0.7700684704207218</v>
      </c>
    </row>
    <row r="316" spans="1:18" x14ac:dyDescent="0.2">
      <c r="A316" s="1">
        <v>213349</v>
      </c>
      <c r="B316" s="1" t="s">
        <v>388</v>
      </c>
      <c r="C316" s="1" t="s">
        <v>98</v>
      </c>
      <c r="D316" s="1">
        <v>0.90749999999999997</v>
      </c>
      <c r="E316" s="1">
        <v>6180</v>
      </c>
      <c r="F316" s="1">
        <v>16068</v>
      </c>
      <c r="G316" s="1">
        <v>0.53820000000000001</v>
      </c>
      <c r="H316" s="1">
        <v>0.77790000000000004</v>
      </c>
      <c r="I316" s="1">
        <v>0.3266</v>
      </c>
      <c r="J316" s="1">
        <v>53775</v>
      </c>
      <c r="K316" s="1">
        <v>26000</v>
      </c>
      <c r="L316" s="1">
        <v>11035</v>
      </c>
      <c r="M316" s="1">
        <v>20</v>
      </c>
      <c r="N316" s="1" t="s">
        <v>28</v>
      </c>
      <c r="O316" s="1" t="s">
        <v>42</v>
      </c>
      <c r="P316" s="1" t="s">
        <v>39</v>
      </c>
      <c r="Q316" s="1" t="s">
        <v>23</v>
      </c>
      <c r="R316">
        <v>0.76873127285058496</v>
      </c>
    </row>
    <row r="317" spans="1:18" x14ac:dyDescent="0.2">
      <c r="A317" s="1">
        <v>214777</v>
      </c>
      <c r="B317" s="1" t="s">
        <v>389</v>
      </c>
      <c r="C317" s="1" t="s">
        <v>98</v>
      </c>
      <c r="D317" s="1">
        <v>0.60560000000000003</v>
      </c>
      <c r="E317" s="1">
        <v>42284</v>
      </c>
      <c r="F317" s="1">
        <v>41790</v>
      </c>
      <c r="G317" s="1">
        <v>0.8609</v>
      </c>
      <c r="H317" s="1">
        <v>0.9264</v>
      </c>
      <c r="I317" s="1">
        <v>0.13880000000000001</v>
      </c>
      <c r="J317" s="1">
        <v>63435</v>
      </c>
      <c r="K317" s="1">
        <v>25000</v>
      </c>
      <c r="L317" s="1">
        <v>13120</v>
      </c>
      <c r="M317" s="1">
        <v>16</v>
      </c>
      <c r="N317" s="1" t="s">
        <v>28</v>
      </c>
      <c r="O317" s="1" t="s">
        <v>29</v>
      </c>
      <c r="P317" s="1" t="s">
        <v>39</v>
      </c>
      <c r="Q317" s="1" t="s">
        <v>23</v>
      </c>
      <c r="R317">
        <v>0.7682713500651972</v>
      </c>
    </row>
    <row r="318" spans="1:18" x14ac:dyDescent="0.2">
      <c r="A318" s="1">
        <v>146612</v>
      </c>
      <c r="B318" s="1" t="s">
        <v>390</v>
      </c>
      <c r="C318" s="1" t="s">
        <v>25</v>
      </c>
      <c r="D318" s="1">
        <v>0.71289999999999998</v>
      </c>
      <c r="E318" s="1">
        <v>4015</v>
      </c>
      <c r="F318" s="1">
        <v>39200</v>
      </c>
      <c r="G318" s="1">
        <v>0.66610000000000003</v>
      </c>
      <c r="H318" s="1">
        <v>0.79149999999999998</v>
      </c>
      <c r="I318" s="1">
        <v>0.32550000000000001</v>
      </c>
      <c r="J318" s="1">
        <v>66099</v>
      </c>
      <c r="K318" s="1">
        <v>21500</v>
      </c>
      <c r="L318" s="1">
        <v>10457</v>
      </c>
      <c r="M318" s="1">
        <v>13</v>
      </c>
      <c r="N318" s="1" t="s">
        <v>20</v>
      </c>
      <c r="O318" s="1" t="s">
        <v>21</v>
      </c>
      <c r="P318" s="1" t="s">
        <v>22</v>
      </c>
      <c r="Q318" s="1" t="s">
        <v>23</v>
      </c>
      <c r="R318">
        <v>0.76820882199937279</v>
      </c>
    </row>
    <row r="319" spans="1:18" x14ac:dyDescent="0.2">
      <c r="A319" s="1">
        <v>207500</v>
      </c>
      <c r="B319" s="1" t="s">
        <v>391</v>
      </c>
      <c r="C319" s="1" t="s">
        <v>224</v>
      </c>
      <c r="D319" s="1">
        <v>0.76600000000000001</v>
      </c>
      <c r="E319" s="1">
        <v>22734</v>
      </c>
      <c r="F319" s="1">
        <v>27377</v>
      </c>
      <c r="G319" s="1">
        <v>0.75329999999999997</v>
      </c>
      <c r="H319" s="1">
        <v>0.9</v>
      </c>
      <c r="I319" s="1">
        <v>0.24970000000000001</v>
      </c>
      <c r="J319" s="1">
        <v>63126</v>
      </c>
      <c r="K319" s="1">
        <v>20654</v>
      </c>
      <c r="L319" s="1">
        <v>11610</v>
      </c>
      <c r="M319" s="1">
        <v>18</v>
      </c>
      <c r="N319" s="1" t="s">
        <v>28</v>
      </c>
      <c r="O319" s="1" t="s">
        <v>21</v>
      </c>
      <c r="P319" s="1" t="s">
        <v>30</v>
      </c>
      <c r="Q319" s="1" t="s">
        <v>23</v>
      </c>
      <c r="R319">
        <v>0.76777710036076696</v>
      </c>
    </row>
    <row r="320" spans="1:18" x14ac:dyDescent="0.2">
      <c r="A320" s="1">
        <v>220613</v>
      </c>
      <c r="B320" s="1" t="s">
        <v>392</v>
      </c>
      <c r="C320" s="1" t="s">
        <v>163</v>
      </c>
      <c r="D320" s="1">
        <v>0.70520000000000005</v>
      </c>
      <c r="E320" s="1">
        <v>2617</v>
      </c>
      <c r="F320" s="1">
        <v>23790</v>
      </c>
      <c r="G320" s="1">
        <v>0.62590000000000001</v>
      </c>
      <c r="H320" s="1">
        <v>0.82269999999999999</v>
      </c>
      <c r="I320" s="1">
        <v>0.28739999999999999</v>
      </c>
      <c r="J320" s="1">
        <v>43222</v>
      </c>
      <c r="K320" s="1">
        <v>25750</v>
      </c>
      <c r="L320" s="1">
        <v>7655</v>
      </c>
      <c r="M320" s="1">
        <v>13</v>
      </c>
      <c r="N320" s="1" t="s">
        <v>20</v>
      </c>
      <c r="O320" s="1" t="s">
        <v>29</v>
      </c>
      <c r="P320" s="1" t="s">
        <v>30</v>
      </c>
      <c r="Q320" s="1" t="s">
        <v>31</v>
      </c>
      <c r="R320">
        <v>0.76763186118889037</v>
      </c>
    </row>
    <row r="321" spans="1:18" x14ac:dyDescent="0.2">
      <c r="A321" s="1">
        <v>199281</v>
      </c>
      <c r="B321" s="1" t="s">
        <v>393</v>
      </c>
      <c r="C321" s="1" t="s">
        <v>86</v>
      </c>
      <c r="D321" s="1">
        <v>0.93259999999999998</v>
      </c>
      <c r="E321" s="1">
        <v>5330</v>
      </c>
      <c r="F321" s="1">
        <v>7648</v>
      </c>
      <c r="G321" s="1">
        <v>0.43540000000000001</v>
      </c>
      <c r="H321" s="1">
        <v>0.71640000000000004</v>
      </c>
      <c r="I321" s="1">
        <v>0.50080000000000002</v>
      </c>
      <c r="J321" s="1">
        <v>43407</v>
      </c>
      <c r="K321" s="1">
        <v>25000</v>
      </c>
      <c r="L321" s="1">
        <v>8725</v>
      </c>
      <c r="M321" s="1">
        <v>14</v>
      </c>
      <c r="N321" s="1" t="s">
        <v>28</v>
      </c>
      <c r="O321" s="1" t="s">
        <v>42</v>
      </c>
      <c r="P321" s="1" t="s">
        <v>30</v>
      </c>
      <c r="Q321" s="1" t="s">
        <v>31</v>
      </c>
      <c r="R321">
        <v>0.76742603720943947</v>
      </c>
    </row>
    <row r="322" spans="1:18" x14ac:dyDescent="0.2">
      <c r="A322" s="1">
        <v>175430</v>
      </c>
      <c r="B322" s="1" t="s">
        <v>394</v>
      </c>
      <c r="C322" s="1" t="s">
        <v>169</v>
      </c>
      <c r="D322" s="1">
        <v>0.88949999999999996</v>
      </c>
      <c r="E322" s="1">
        <v>498</v>
      </c>
      <c r="F322" s="1">
        <v>20180</v>
      </c>
      <c r="G322" s="1">
        <v>0.54759999999999998</v>
      </c>
      <c r="H322" s="1">
        <v>0.67920000000000003</v>
      </c>
      <c r="I322" s="1">
        <v>0.28770000000000001</v>
      </c>
      <c r="J322" s="1">
        <v>40421</v>
      </c>
      <c r="K322" s="1">
        <v>18534</v>
      </c>
      <c r="L322" s="1">
        <v>6439</v>
      </c>
      <c r="M322" s="1">
        <v>13</v>
      </c>
      <c r="N322" s="1" t="s">
        <v>20</v>
      </c>
      <c r="O322" s="1" t="s">
        <v>42</v>
      </c>
      <c r="P322" s="1" t="s">
        <v>30</v>
      </c>
      <c r="Q322" s="1" t="s">
        <v>31</v>
      </c>
      <c r="R322">
        <v>0.76671730870071297</v>
      </c>
    </row>
    <row r="323" spans="1:18" x14ac:dyDescent="0.2">
      <c r="A323" s="1">
        <v>131450</v>
      </c>
      <c r="B323" s="1" t="s">
        <v>395</v>
      </c>
      <c r="C323" s="1" t="s">
        <v>84</v>
      </c>
      <c r="D323" s="1">
        <v>0.5806</v>
      </c>
      <c r="E323" s="1">
        <v>812</v>
      </c>
      <c r="F323" s="1">
        <v>19654</v>
      </c>
      <c r="G323" s="1">
        <v>0.47260000000000002</v>
      </c>
      <c r="H323" s="1">
        <v>0.71140000000000003</v>
      </c>
      <c r="I323" s="1">
        <v>0.57889999999999997</v>
      </c>
      <c r="J323" s="1">
        <v>43101</v>
      </c>
      <c r="K323" s="1">
        <v>18000</v>
      </c>
      <c r="L323" s="1">
        <v>10939</v>
      </c>
      <c r="M323" s="1">
        <v>6</v>
      </c>
      <c r="N323" s="1" t="s">
        <v>20</v>
      </c>
      <c r="O323" s="1" t="s">
        <v>29</v>
      </c>
      <c r="P323" s="1" t="s">
        <v>30</v>
      </c>
      <c r="Q323" s="1" t="s">
        <v>31</v>
      </c>
      <c r="R323">
        <v>0.7664557309598834</v>
      </c>
    </row>
    <row r="324" spans="1:18" x14ac:dyDescent="0.2">
      <c r="A324" s="1">
        <v>217493</v>
      </c>
      <c r="B324" s="1" t="s">
        <v>396</v>
      </c>
      <c r="C324" s="1" t="s">
        <v>92</v>
      </c>
      <c r="D324" s="1">
        <v>0.18659999999999999</v>
      </c>
      <c r="E324" s="1">
        <v>2084</v>
      </c>
      <c r="F324" s="1">
        <v>62688</v>
      </c>
      <c r="G324" s="1">
        <v>0.88770000000000004</v>
      </c>
      <c r="H324" s="1">
        <v>0.95040000000000002</v>
      </c>
      <c r="I324" s="1">
        <v>0.1482</v>
      </c>
      <c r="J324" s="1">
        <v>68140</v>
      </c>
      <c r="K324" s="1">
        <v>27000</v>
      </c>
      <c r="L324" s="1">
        <v>11226</v>
      </c>
      <c r="M324" s="1">
        <v>8</v>
      </c>
      <c r="N324" s="1" t="s">
        <v>20</v>
      </c>
      <c r="O324" s="1" t="s">
        <v>29</v>
      </c>
      <c r="P324" s="1" t="s">
        <v>39</v>
      </c>
      <c r="Q324" s="1" t="s">
        <v>23</v>
      </c>
      <c r="R324">
        <v>0.76624432349300275</v>
      </c>
    </row>
    <row r="325" spans="1:18" x14ac:dyDescent="0.2">
      <c r="A325" s="1">
        <v>168591</v>
      </c>
      <c r="B325" s="1" t="s">
        <v>397</v>
      </c>
      <c r="C325" s="1" t="s">
        <v>109</v>
      </c>
      <c r="D325" s="1">
        <v>0.57030000000000003</v>
      </c>
      <c r="E325" s="1">
        <v>1148</v>
      </c>
      <c r="F325" s="1">
        <v>49552</v>
      </c>
      <c r="G325" s="1">
        <v>0.62870000000000004</v>
      </c>
      <c r="H325" s="1">
        <v>0.84970000000000001</v>
      </c>
      <c r="I325" s="1">
        <v>0.27039999999999997</v>
      </c>
      <c r="J325" s="1">
        <v>54742</v>
      </c>
      <c r="K325" s="1">
        <v>27000</v>
      </c>
      <c r="L325" s="1">
        <v>7879</v>
      </c>
      <c r="M325" s="1">
        <v>14</v>
      </c>
      <c r="N325" s="1" t="s">
        <v>20</v>
      </c>
      <c r="O325" s="1" t="s">
        <v>42</v>
      </c>
      <c r="P325" s="1" t="s">
        <v>22</v>
      </c>
      <c r="Q325" s="1" t="s">
        <v>23</v>
      </c>
      <c r="R325">
        <v>0.76529570458197205</v>
      </c>
    </row>
    <row r="326" spans="1:18" x14ac:dyDescent="0.2">
      <c r="A326" s="1">
        <v>459842</v>
      </c>
      <c r="B326" s="1" t="s">
        <v>398</v>
      </c>
      <c r="C326" s="1" t="s">
        <v>50</v>
      </c>
      <c r="D326" s="1">
        <v>0.92</v>
      </c>
      <c r="E326" s="1">
        <v>522</v>
      </c>
      <c r="F326" s="1">
        <v>13450</v>
      </c>
      <c r="G326" s="1">
        <v>0.72219999999999995</v>
      </c>
      <c r="H326" s="1">
        <v>0.57140000000000002</v>
      </c>
      <c r="I326" s="1">
        <v>0.62250000000000005</v>
      </c>
      <c r="J326" s="1">
        <v>36909</v>
      </c>
      <c r="K326" s="1">
        <v>21500</v>
      </c>
      <c r="L326" s="1">
        <v>7591</v>
      </c>
      <c r="M326" s="1">
        <v>16</v>
      </c>
      <c r="N326" s="1" t="s">
        <v>20</v>
      </c>
      <c r="O326" s="1" t="s">
        <v>29</v>
      </c>
      <c r="P326" s="1" t="s">
        <v>22</v>
      </c>
      <c r="Q326" s="1" t="s">
        <v>31</v>
      </c>
      <c r="R326">
        <v>0.76492507702815205</v>
      </c>
    </row>
    <row r="327" spans="1:18" x14ac:dyDescent="0.2">
      <c r="A327" s="1">
        <v>197708</v>
      </c>
      <c r="B327" s="1" t="s">
        <v>399</v>
      </c>
      <c r="C327" s="1" t="s">
        <v>58</v>
      </c>
      <c r="D327" s="1">
        <v>0.55620000000000003</v>
      </c>
      <c r="E327" s="1">
        <v>2852</v>
      </c>
      <c r="F327" s="1">
        <v>51800</v>
      </c>
      <c r="G327" s="1">
        <v>0.83199999999999996</v>
      </c>
      <c r="H327" s="1">
        <v>0.9153</v>
      </c>
      <c r="I327" s="1">
        <v>0.13439999999999999</v>
      </c>
      <c r="J327" s="1">
        <v>71353</v>
      </c>
      <c r="K327" s="1">
        <v>18250</v>
      </c>
      <c r="L327" s="1">
        <v>13637</v>
      </c>
      <c r="M327" s="1">
        <v>7</v>
      </c>
      <c r="N327" s="1" t="s">
        <v>20</v>
      </c>
      <c r="O327" s="1" t="s">
        <v>29</v>
      </c>
      <c r="P327" s="1" t="s">
        <v>39</v>
      </c>
      <c r="Q327" s="1" t="s">
        <v>23</v>
      </c>
      <c r="R327">
        <v>0.76061100428882966</v>
      </c>
    </row>
    <row r="328" spans="1:18" x14ac:dyDescent="0.2">
      <c r="A328" s="1">
        <v>233374</v>
      </c>
      <c r="B328" s="1" t="s">
        <v>400</v>
      </c>
      <c r="C328" s="1" t="s">
        <v>52</v>
      </c>
      <c r="D328" s="1">
        <v>0.222</v>
      </c>
      <c r="E328" s="1">
        <v>2980</v>
      </c>
      <c r="F328" s="1">
        <v>65230</v>
      </c>
      <c r="G328" s="1">
        <v>0.85199999999999998</v>
      </c>
      <c r="H328" s="1">
        <v>0.90749999999999997</v>
      </c>
      <c r="I328" s="1">
        <v>0.1716</v>
      </c>
      <c r="J328" s="1">
        <v>76178</v>
      </c>
      <c r="K328" s="1">
        <v>21000</v>
      </c>
      <c r="L328" s="1">
        <v>14442</v>
      </c>
      <c r="M328" s="1">
        <v>7</v>
      </c>
      <c r="N328" s="1" t="s">
        <v>20</v>
      </c>
      <c r="O328" s="1" t="s">
        <v>29</v>
      </c>
      <c r="P328" s="1" t="s">
        <v>30</v>
      </c>
      <c r="Q328" s="1" t="s">
        <v>23</v>
      </c>
      <c r="R328">
        <v>0.75975042631672218</v>
      </c>
    </row>
    <row r="329" spans="1:18" x14ac:dyDescent="0.2">
      <c r="A329" s="1">
        <v>156189</v>
      </c>
      <c r="B329" s="1" t="s">
        <v>401</v>
      </c>
      <c r="C329" s="1" t="s">
        <v>104</v>
      </c>
      <c r="D329" s="1">
        <v>0.75229999999999997</v>
      </c>
      <c r="E329" s="1">
        <v>558</v>
      </c>
      <c r="F329" s="1">
        <v>13960</v>
      </c>
      <c r="G329" s="1">
        <v>0.38919999999999999</v>
      </c>
      <c r="H329" s="1">
        <v>0.56569999999999998</v>
      </c>
      <c r="I329" s="1">
        <v>0.58289999999999997</v>
      </c>
      <c r="J329" s="1">
        <v>40573</v>
      </c>
      <c r="K329" s="1">
        <v>19599</v>
      </c>
      <c r="L329" s="1">
        <v>5404</v>
      </c>
      <c r="M329" s="1">
        <v>15</v>
      </c>
      <c r="N329" s="1" t="s">
        <v>20</v>
      </c>
      <c r="O329" s="1" t="s">
        <v>42</v>
      </c>
      <c r="P329" s="1" t="s">
        <v>30</v>
      </c>
      <c r="Q329" s="1" t="s">
        <v>31</v>
      </c>
      <c r="R329">
        <v>0.75911223174075138</v>
      </c>
    </row>
    <row r="330" spans="1:18" x14ac:dyDescent="0.2">
      <c r="A330" s="1">
        <v>220710</v>
      </c>
      <c r="B330" s="1" t="s">
        <v>402</v>
      </c>
      <c r="C330" s="1" t="s">
        <v>163</v>
      </c>
      <c r="D330" s="1">
        <v>0.60919999999999996</v>
      </c>
      <c r="E330" s="1">
        <v>1005</v>
      </c>
      <c r="F330" s="1">
        <v>39284</v>
      </c>
      <c r="G330" s="1">
        <v>0.5</v>
      </c>
      <c r="H330" s="1">
        <v>0.71289999999999998</v>
      </c>
      <c r="I330" s="1">
        <v>0.37740000000000001</v>
      </c>
      <c r="J330" s="1">
        <v>49279</v>
      </c>
      <c r="K330" s="1">
        <v>25375</v>
      </c>
      <c r="L330" s="1">
        <v>6851</v>
      </c>
      <c r="M330" s="1">
        <v>12</v>
      </c>
      <c r="N330" s="1" t="s">
        <v>20</v>
      </c>
      <c r="O330" s="1" t="s">
        <v>21</v>
      </c>
      <c r="P330" s="1" t="s">
        <v>30</v>
      </c>
      <c r="Q330" s="1" t="s">
        <v>31</v>
      </c>
      <c r="R330">
        <v>0.75853105966705436</v>
      </c>
    </row>
    <row r="331" spans="1:18" x14ac:dyDescent="0.2">
      <c r="A331" s="1">
        <v>146481</v>
      </c>
      <c r="B331" s="1" t="s">
        <v>403</v>
      </c>
      <c r="C331" s="1" t="s">
        <v>25</v>
      </c>
      <c r="D331" s="1">
        <v>0.56810000000000005</v>
      </c>
      <c r="E331" s="1">
        <v>1813</v>
      </c>
      <c r="F331" s="1">
        <v>56402</v>
      </c>
      <c r="G331" s="1">
        <v>0.77780000000000005</v>
      </c>
      <c r="H331" s="1">
        <v>0.89880000000000004</v>
      </c>
      <c r="I331" s="1">
        <v>0.32240000000000002</v>
      </c>
      <c r="J331" s="1">
        <v>61825</v>
      </c>
      <c r="K331" s="1">
        <v>26158</v>
      </c>
      <c r="L331" s="1">
        <v>9044</v>
      </c>
      <c r="M331" s="1">
        <v>13</v>
      </c>
      <c r="N331" s="1" t="s">
        <v>20</v>
      </c>
      <c r="O331" s="1" t="s">
        <v>21</v>
      </c>
      <c r="P331" s="1" t="s">
        <v>22</v>
      </c>
      <c r="Q331" s="1" t="s">
        <v>23</v>
      </c>
      <c r="R331">
        <v>0.75771887896979817</v>
      </c>
    </row>
    <row r="332" spans="1:18" x14ac:dyDescent="0.2">
      <c r="A332" s="1">
        <v>178369</v>
      </c>
      <c r="B332" s="1" t="s">
        <v>404</v>
      </c>
      <c r="C332" s="1" t="s">
        <v>77</v>
      </c>
      <c r="D332" s="1">
        <v>0.69179999999999997</v>
      </c>
      <c r="E332" s="1">
        <v>1443</v>
      </c>
      <c r="F332" s="1">
        <v>23700</v>
      </c>
      <c r="G332" s="1">
        <v>0.22439999999999999</v>
      </c>
      <c r="H332" s="1">
        <v>0.52969999999999995</v>
      </c>
      <c r="I332" s="1">
        <v>0.32</v>
      </c>
      <c r="J332" s="1">
        <v>43221</v>
      </c>
      <c r="K332" s="1">
        <v>25950</v>
      </c>
      <c r="L332" s="1">
        <v>5466</v>
      </c>
      <c r="M332" s="1">
        <v>18</v>
      </c>
      <c r="N332" s="1" t="s">
        <v>20</v>
      </c>
      <c r="O332" s="1" t="s">
        <v>42</v>
      </c>
      <c r="P332" s="1" t="s">
        <v>22</v>
      </c>
      <c r="Q332" s="1" t="s">
        <v>31</v>
      </c>
      <c r="R332">
        <v>0.75738046020152194</v>
      </c>
    </row>
    <row r="333" spans="1:18" x14ac:dyDescent="0.2">
      <c r="A333" s="1">
        <v>140340</v>
      </c>
      <c r="B333" s="1" t="s">
        <v>405</v>
      </c>
      <c r="C333" s="1" t="s">
        <v>126</v>
      </c>
      <c r="D333" s="1">
        <v>0.9375</v>
      </c>
      <c r="E333" s="1">
        <v>387</v>
      </c>
      <c r="F333" s="1">
        <v>13450</v>
      </c>
      <c r="G333" s="1">
        <v>0.13950000000000001</v>
      </c>
      <c r="H333" s="1">
        <v>0.25</v>
      </c>
      <c r="I333" s="1">
        <v>0.70340000000000003</v>
      </c>
      <c r="J333" s="1">
        <v>36909</v>
      </c>
      <c r="K333" s="1">
        <v>21500</v>
      </c>
      <c r="L333" s="1">
        <v>7516</v>
      </c>
      <c r="M333" s="1">
        <v>14</v>
      </c>
      <c r="N333" s="1" t="s">
        <v>20</v>
      </c>
      <c r="O333" s="1" t="s">
        <v>29</v>
      </c>
      <c r="P333" s="1" t="s">
        <v>30</v>
      </c>
      <c r="Q333" s="1" t="s">
        <v>31</v>
      </c>
      <c r="R333">
        <v>0.75658014506774118</v>
      </c>
    </row>
    <row r="334" spans="1:18" x14ac:dyDescent="0.2">
      <c r="A334" s="1">
        <v>142294</v>
      </c>
      <c r="B334" s="1" t="s">
        <v>406</v>
      </c>
      <c r="C334" s="1" t="s">
        <v>407</v>
      </c>
      <c r="D334" s="1">
        <v>0.49099999999999999</v>
      </c>
      <c r="E334" s="1">
        <v>1041</v>
      </c>
      <c r="F334" s="1">
        <v>37845</v>
      </c>
      <c r="G334" s="1">
        <v>0.62539999999999996</v>
      </c>
      <c r="H334" s="1">
        <v>0.81850000000000001</v>
      </c>
      <c r="I334" s="1">
        <v>0.25169999999999998</v>
      </c>
      <c r="J334" s="1">
        <v>48473</v>
      </c>
      <c r="K334" s="1">
        <v>24500</v>
      </c>
      <c r="L334" s="1">
        <v>7798</v>
      </c>
      <c r="M334" s="1">
        <v>10</v>
      </c>
      <c r="N334" s="1" t="s">
        <v>20</v>
      </c>
      <c r="O334" s="1" t="s">
        <v>21</v>
      </c>
      <c r="P334" s="1" t="s">
        <v>22</v>
      </c>
      <c r="Q334" s="1" t="s">
        <v>31</v>
      </c>
      <c r="R334">
        <v>0.7553248755564772</v>
      </c>
    </row>
    <row r="335" spans="1:18" x14ac:dyDescent="0.2">
      <c r="A335" s="1">
        <v>198808</v>
      </c>
      <c r="B335" s="1" t="s">
        <v>408</v>
      </c>
      <c r="C335" s="1" t="s">
        <v>86</v>
      </c>
      <c r="D335" s="1">
        <v>0.76780000000000004</v>
      </c>
      <c r="E335" s="1">
        <v>873</v>
      </c>
      <c r="F335" s="1">
        <v>33250</v>
      </c>
      <c r="G335" s="1">
        <v>0.42080000000000001</v>
      </c>
      <c r="H335" s="1">
        <v>0.68840000000000001</v>
      </c>
      <c r="I335" s="1">
        <v>0.37290000000000001</v>
      </c>
      <c r="J335" s="1">
        <v>43415</v>
      </c>
      <c r="K335" s="1">
        <v>17375</v>
      </c>
      <c r="L335" s="1">
        <v>6116</v>
      </c>
      <c r="M335" s="1">
        <v>11</v>
      </c>
      <c r="N335" s="1" t="s">
        <v>20</v>
      </c>
      <c r="O335" s="1" t="s">
        <v>42</v>
      </c>
      <c r="P335" s="1" t="s">
        <v>30</v>
      </c>
      <c r="Q335" s="1" t="s">
        <v>31</v>
      </c>
      <c r="R335">
        <v>0.75441695435985245</v>
      </c>
    </row>
    <row r="336" spans="1:18" x14ac:dyDescent="0.2">
      <c r="A336" s="1">
        <v>176318</v>
      </c>
      <c r="B336" s="1" t="s">
        <v>409</v>
      </c>
      <c r="C336" s="1" t="s">
        <v>169</v>
      </c>
      <c r="D336" s="1">
        <v>0.48670000000000002</v>
      </c>
      <c r="E336" s="1">
        <v>467</v>
      </c>
      <c r="F336" s="1">
        <v>13265</v>
      </c>
      <c r="G336" s="1">
        <v>0.1179</v>
      </c>
      <c r="H336" s="1">
        <v>0.84379999999999999</v>
      </c>
      <c r="I336" s="1">
        <v>0.71460000000000001</v>
      </c>
      <c r="J336" s="1">
        <v>32275</v>
      </c>
      <c r="K336" s="1">
        <v>26159</v>
      </c>
      <c r="L336" s="1">
        <v>5096</v>
      </c>
      <c r="M336" s="1">
        <v>10</v>
      </c>
      <c r="N336" s="1" t="s">
        <v>20</v>
      </c>
      <c r="O336" s="1" t="s">
        <v>42</v>
      </c>
      <c r="P336" s="1" t="s">
        <v>30</v>
      </c>
      <c r="Q336" s="1" t="s">
        <v>31</v>
      </c>
      <c r="R336">
        <v>0.75196724040328233</v>
      </c>
    </row>
    <row r="337" spans="1:18" x14ac:dyDescent="0.2">
      <c r="A337" s="1">
        <v>145372</v>
      </c>
      <c r="B337" s="1" t="s">
        <v>410</v>
      </c>
      <c r="C337" s="1" t="s">
        <v>25</v>
      </c>
      <c r="D337" s="1">
        <v>0.97499999999999998</v>
      </c>
      <c r="E337" s="1">
        <v>955</v>
      </c>
      <c r="F337" s="1">
        <v>32200</v>
      </c>
      <c r="G337" s="1">
        <v>0.3982</v>
      </c>
      <c r="H337" s="1">
        <v>0.70809999999999995</v>
      </c>
      <c r="I337" s="1">
        <v>0.38890000000000002</v>
      </c>
      <c r="J337" s="1">
        <v>46827</v>
      </c>
      <c r="K337" s="1">
        <v>23875</v>
      </c>
      <c r="L337" s="1">
        <v>6650</v>
      </c>
      <c r="M337" s="1">
        <v>13</v>
      </c>
      <c r="N337" s="1" t="s">
        <v>20</v>
      </c>
      <c r="O337" s="1" t="s">
        <v>42</v>
      </c>
      <c r="P337" s="1" t="s">
        <v>22</v>
      </c>
      <c r="Q337" s="1" t="s">
        <v>31</v>
      </c>
      <c r="R337">
        <v>0.75141350354215874</v>
      </c>
    </row>
    <row r="338" spans="1:18" x14ac:dyDescent="0.2">
      <c r="A338" s="1">
        <v>198385</v>
      </c>
      <c r="B338" s="1" t="s">
        <v>411</v>
      </c>
      <c r="C338" s="1" t="s">
        <v>86</v>
      </c>
      <c r="D338" s="1">
        <v>0.13370000000000001</v>
      </c>
      <c r="E338" s="1">
        <v>1867</v>
      </c>
      <c r="F338" s="1">
        <v>64410</v>
      </c>
      <c r="G338" s="1">
        <v>0.91069999999999995</v>
      </c>
      <c r="H338" s="1">
        <v>0.94610000000000005</v>
      </c>
      <c r="I338" s="1">
        <v>0.1759</v>
      </c>
      <c r="J338" s="1">
        <v>81400</v>
      </c>
      <c r="K338" s="1">
        <v>18688</v>
      </c>
      <c r="L338" s="1">
        <v>13033</v>
      </c>
      <c r="M338" s="1">
        <v>8</v>
      </c>
      <c r="N338" s="1" t="s">
        <v>20</v>
      </c>
      <c r="O338" s="1" t="s">
        <v>21</v>
      </c>
      <c r="P338" s="1" t="s">
        <v>30</v>
      </c>
      <c r="Q338" s="1" t="s">
        <v>23</v>
      </c>
      <c r="R338">
        <v>0.75141000106379485</v>
      </c>
    </row>
    <row r="339" spans="1:18" x14ac:dyDescent="0.2">
      <c r="A339" s="1">
        <v>174127</v>
      </c>
      <c r="B339" s="1" t="s">
        <v>412</v>
      </c>
      <c r="C339" s="1" t="s">
        <v>54</v>
      </c>
      <c r="D339" s="1">
        <v>0.48480000000000001</v>
      </c>
      <c r="E339" s="1">
        <v>705</v>
      </c>
      <c r="F339" s="1">
        <v>45484</v>
      </c>
      <c r="G339" s="1">
        <v>0.51160000000000005</v>
      </c>
      <c r="H339" s="1">
        <v>0.74560000000000004</v>
      </c>
      <c r="I339" s="1">
        <v>0.42109999999999997</v>
      </c>
      <c r="J339" s="1">
        <v>40873</v>
      </c>
      <c r="K339" s="1">
        <v>27000</v>
      </c>
      <c r="L339" s="1">
        <v>8513</v>
      </c>
      <c r="M339" s="1">
        <v>12</v>
      </c>
      <c r="N339" s="1" t="s">
        <v>20</v>
      </c>
      <c r="O339" s="1" t="s">
        <v>29</v>
      </c>
      <c r="P339" s="1" t="s">
        <v>22</v>
      </c>
      <c r="Q339" s="1" t="s">
        <v>31</v>
      </c>
      <c r="R339">
        <v>0.75059107873157904</v>
      </c>
    </row>
    <row r="340" spans="1:18" x14ac:dyDescent="0.2">
      <c r="A340" s="1">
        <v>129242</v>
      </c>
      <c r="B340" s="1" t="s">
        <v>413</v>
      </c>
      <c r="C340" s="1" t="s">
        <v>147</v>
      </c>
      <c r="D340" s="1">
        <v>0.33289999999999997</v>
      </c>
      <c r="E340" s="1">
        <v>5373</v>
      </c>
      <c r="F340" s="1">
        <v>58350</v>
      </c>
      <c r="G340" s="1">
        <v>0.84299999999999997</v>
      </c>
      <c r="H340" s="1">
        <v>0.91290000000000004</v>
      </c>
      <c r="I340" s="1">
        <v>6.9199999999999998E-2</v>
      </c>
      <c r="J340" s="1">
        <v>88794</v>
      </c>
      <c r="K340" s="1">
        <v>26000</v>
      </c>
      <c r="L340" s="1">
        <v>13298</v>
      </c>
      <c r="M340" s="1">
        <v>12</v>
      </c>
      <c r="N340" s="1" t="s">
        <v>20</v>
      </c>
      <c r="O340" s="1" t="s">
        <v>21</v>
      </c>
      <c r="P340" s="1" t="s">
        <v>39</v>
      </c>
      <c r="Q340" s="1" t="s">
        <v>23</v>
      </c>
      <c r="R340">
        <v>0.75048376651406035</v>
      </c>
    </row>
    <row r="341" spans="1:18" x14ac:dyDescent="0.2">
      <c r="A341" s="1">
        <v>176044</v>
      </c>
      <c r="B341" s="1" t="s">
        <v>414</v>
      </c>
      <c r="C341" s="1" t="s">
        <v>169</v>
      </c>
      <c r="D341" s="1">
        <v>0.92379999999999995</v>
      </c>
      <c r="E341" s="1">
        <v>1439</v>
      </c>
      <c r="F341" s="1">
        <v>7692</v>
      </c>
      <c r="G341" s="1">
        <v>0.2676</v>
      </c>
      <c r="H341" s="1">
        <v>0.69750000000000001</v>
      </c>
      <c r="I341" s="1">
        <v>0.56359999999999999</v>
      </c>
      <c r="J341" s="1">
        <v>31919</v>
      </c>
      <c r="K341" s="1">
        <v>28413</v>
      </c>
      <c r="L341" s="1">
        <v>6733</v>
      </c>
      <c r="M341" s="1">
        <v>13</v>
      </c>
      <c r="N341" s="1" t="s">
        <v>28</v>
      </c>
      <c r="O341" s="1" t="s">
        <v>42</v>
      </c>
      <c r="P341" s="1" t="s">
        <v>30</v>
      </c>
      <c r="Q341" s="1" t="s">
        <v>31</v>
      </c>
      <c r="R341">
        <v>0.75024148640616328</v>
      </c>
    </row>
    <row r="342" spans="1:18" x14ac:dyDescent="0.2">
      <c r="A342" s="1">
        <v>212054</v>
      </c>
      <c r="B342" s="1" t="s">
        <v>415</v>
      </c>
      <c r="C342" s="1" t="s">
        <v>98</v>
      </c>
      <c r="D342" s="1">
        <v>0.7944</v>
      </c>
      <c r="E342" s="1">
        <v>13233</v>
      </c>
      <c r="F342" s="1">
        <v>62412</v>
      </c>
      <c r="G342" s="1">
        <v>0.78159999999999996</v>
      </c>
      <c r="H342" s="1">
        <v>0.89510000000000001</v>
      </c>
      <c r="I342" s="1">
        <v>0.2676</v>
      </c>
      <c r="J342" s="1">
        <v>84648</v>
      </c>
      <c r="K342" s="1">
        <v>25325</v>
      </c>
      <c r="L342" s="1">
        <v>12380</v>
      </c>
      <c r="M342" s="1">
        <v>9</v>
      </c>
      <c r="N342" s="1" t="s">
        <v>20</v>
      </c>
      <c r="O342" s="1" t="s">
        <v>29</v>
      </c>
      <c r="P342" s="1" t="s">
        <v>39</v>
      </c>
      <c r="Q342" s="1" t="s">
        <v>23</v>
      </c>
      <c r="R342">
        <v>0.74749407438354676</v>
      </c>
    </row>
    <row r="343" spans="1:18" x14ac:dyDescent="0.2">
      <c r="A343" s="1">
        <v>219198</v>
      </c>
      <c r="B343" s="1" t="s">
        <v>416</v>
      </c>
      <c r="C343" s="1" t="s">
        <v>41</v>
      </c>
      <c r="D343" s="1">
        <v>0.42570000000000002</v>
      </c>
      <c r="E343" s="1">
        <v>697</v>
      </c>
      <c r="F343" s="1">
        <v>34600</v>
      </c>
      <c r="G343" s="1">
        <v>0.52380000000000004</v>
      </c>
      <c r="H343" s="1">
        <v>0.67589999999999995</v>
      </c>
      <c r="I343" s="1">
        <v>0.2235</v>
      </c>
      <c r="J343" s="1">
        <v>48179</v>
      </c>
      <c r="K343" s="1">
        <v>26396</v>
      </c>
      <c r="L343" s="1">
        <v>7411</v>
      </c>
      <c r="M343" s="1">
        <v>12</v>
      </c>
      <c r="N343" s="1" t="s">
        <v>20</v>
      </c>
      <c r="O343" s="1" t="s">
        <v>42</v>
      </c>
      <c r="P343" s="1" t="s">
        <v>22</v>
      </c>
      <c r="Q343" s="1" t="s">
        <v>31</v>
      </c>
      <c r="R343">
        <v>0.74705541982167867</v>
      </c>
    </row>
    <row r="344" spans="1:18" x14ac:dyDescent="0.2">
      <c r="A344" s="1">
        <v>162584</v>
      </c>
      <c r="B344" s="1" t="s">
        <v>417</v>
      </c>
      <c r="C344" s="1" t="s">
        <v>61</v>
      </c>
      <c r="D344" s="1">
        <v>0.89180000000000004</v>
      </c>
      <c r="E344" s="1">
        <v>2909</v>
      </c>
      <c r="F344" s="1">
        <v>25814</v>
      </c>
      <c r="G344" s="1">
        <v>0.49659999999999999</v>
      </c>
      <c r="H344" s="1">
        <v>0.69279999999999997</v>
      </c>
      <c r="I344" s="1">
        <v>0.3221</v>
      </c>
      <c r="J344" s="1">
        <v>55493</v>
      </c>
      <c r="K344" s="1">
        <v>21105</v>
      </c>
      <c r="L344" s="1">
        <v>9386</v>
      </c>
      <c r="M344" s="1">
        <v>13</v>
      </c>
      <c r="N344" s="1" t="s">
        <v>28</v>
      </c>
      <c r="O344" s="1" t="s">
        <v>42</v>
      </c>
      <c r="P344" s="1" t="s">
        <v>30</v>
      </c>
      <c r="Q344" s="1" t="s">
        <v>23</v>
      </c>
      <c r="R344">
        <v>0.7468967341322863</v>
      </c>
    </row>
    <row r="345" spans="1:18" x14ac:dyDescent="0.2">
      <c r="A345" s="1">
        <v>100751</v>
      </c>
      <c r="B345" s="1" t="s">
        <v>418</v>
      </c>
      <c r="C345" s="1" t="s">
        <v>177</v>
      </c>
      <c r="D345" s="1">
        <v>0.76649999999999996</v>
      </c>
      <c r="E345" s="1">
        <v>33227</v>
      </c>
      <c r="F345" s="1">
        <v>34172</v>
      </c>
      <c r="G345" s="1">
        <v>0.73370000000000002</v>
      </c>
      <c r="H345" s="1">
        <v>0.89490000000000003</v>
      </c>
      <c r="I345" s="1">
        <v>0.184</v>
      </c>
      <c r="J345" s="1">
        <v>59221</v>
      </c>
      <c r="K345" s="1">
        <v>22750</v>
      </c>
      <c r="L345" s="1">
        <v>11419</v>
      </c>
      <c r="M345" s="1">
        <v>19</v>
      </c>
      <c r="N345" s="1" t="s">
        <v>28</v>
      </c>
      <c r="O345" s="1" t="s">
        <v>29</v>
      </c>
      <c r="P345" s="1" t="s">
        <v>30</v>
      </c>
      <c r="Q345" s="1" t="s">
        <v>23</v>
      </c>
      <c r="R345">
        <v>0.74578631573235721</v>
      </c>
    </row>
    <row r="346" spans="1:18" x14ac:dyDescent="0.2">
      <c r="A346" s="1">
        <v>129525</v>
      </c>
      <c r="B346" s="1" t="s">
        <v>419</v>
      </c>
      <c r="C346" s="1" t="s">
        <v>147</v>
      </c>
      <c r="D346" s="1">
        <v>0.95750000000000002</v>
      </c>
      <c r="E346" s="1">
        <v>4146</v>
      </c>
      <c r="F346" s="1">
        <v>49075</v>
      </c>
      <c r="G346" s="1">
        <v>0.54379999999999995</v>
      </c>
      <c r="H346" s="1">
        <v>0.82899999999999996</v>
      </c>
      <c r="I346" s="1">
        <v>0.33040000000000003</v>
      </c>
      <c r="J346" s="1">
        <v>60823</v>
      </c>
      <c r="K346" s="1">
        <v>27000</v>
      </c>
      <c r="L346" s="1">
        <v>8428</v>
      </c>
      <c r="M346" s="1">
        <v>11</v>
      </c>
      <c r="N346" s="1" t="s">
        <v>20</v>
      </c>
      <c r="O346" s="1" t="s">
        <v>29</v>
      </c>
      <c r="P346" s="1" t="s">
        <v>39</v>
      </c>
      <c r="Q346" s="1" t="s">
        <v>23</v>
      </c>
      <c r="R346">
        <v>0.74530800951314702</v>
      </c>
    </row>
    <row r="347" spans="1:18" x14ac:dyDescent="0.2">
      <c r="A347" s="1">
        <v>195030</v>
      </c>
      <c r="B347" s="1" t="s">
        <v>420</v>
      </c>
      <c r="C347" s="1" t="s">
        <v>58</v>
      </c>
      <c r="D347" s="1">
        <v>0.40079999999999999</v>
      </c>
      <c r="E347" s="1">
        <v>6331</v>
      </c>
      <c r="F347" s="1">
        <v>67080</v>
      </c>
      <c r="G347" s="1">
        <v>0.85429999999999995</v>
      </c>
      <c r="H347" s="1">
        <v>0.90690000000000004</v>
      </c>
      <c r="I347" s="1">
        <v>0.17249999999999999</v>
      </c>
      <c r="J347" s="1">
        <v>79042</v>
      </c>
      <c r="K347" s="1">
        <v>21000</v>
      </c>
      <c r="L347" s="1">
        <v>14585</v>
      </c>
      <c r="M347" s="1">
        <v>9</v>
      </c>
      <c r="N347" s="1" t="s">
        <v>20</v>
      </c>
      <c r="O347" s="1" t="s">
        <v>29</v>
      </c>
      <c r="P347" s="1" t="s">
        <v>39</v>
      </c>
      <c r="Q347" s="1" t="s">
        <v>23</v>
      </c>
      <c r="R347">
        <v>0.74429513032890526</v>
      </c>
    </row>
    <row r="348" spans="1:18" x14ac:dyDescent="0.2">
      <c r="A348" s="1">
        <v>232043</v>
      </c>
      <c r="B348" s="1" t="s">
        <v>421</v>
      </c>
      <c r="C348" s="1" t="s">
        <v>52</v>
      </c>
      <c r="D348" s="1">
        <v>1</v>
      </c>
      <c r="E348" s="1">
        <v>754</v>
      </c>
      <c r="F348" s="1">
        <v>43920</v>
      </c>
      <c r="G348" s="1">
        <v>0.67</v>
      </c>
      <c r="H348" s="1">
        <v>0.76090000000000002</v>
      </c>
      <c r="I348" s="1">
        <v>0.32679999999999998</v>
      </c>
      <c r="J348" s="1">
        <v>54869</v>
      </c>
      <c r="K348" s="1">
        <v>24813</v>
      </c>
      <c r="L348" s="1">
        <v>6452</v>
      </c>
      <c r="M348" s="1">
        <v>9</v>
      </c>
      <c r="N348" s="1" t="s">
        <v>20</v>
      </c>
      <c r="O348" s="1" t="s">
        <v>29</v>
      </c>
      <c r="P348" s="1" t="s">
        <v>30</v>
      </c>
      <c r="Q348" s="1" t="s">
        <v>23</v>
      </c>
      <c r="R348">
        <v>0.74352325812034892</v>
      </c>
    </row>
    <row r="349" spans="1:18" x14ac:dyDescent="0.2">
      <c r="A349" s="1">
        <v>171599</v>
      </c>
      <c r="B349" s="1" t="s">
        <v>422</v>
      </c>
      <c r="C349" s="1" t="s">
        <v>109</v>
      </c>
      <c r="D349" s="1">
        <v>0.83250000000000002</v>
      </c>
      <c r="E349" s="1">
        <v>892</v>
      </c>
      <c r="F349" s="1">
        <v>34068</v>
      </c>
      <c r="G349" s="1">
        <v>0.35270000000000001</v>
      </c>
      <c r="H349" s="1">
        <v>0.61380000000000001</v>
      </c>
      <c r="I349" s="1">
        <v>0.49469999999999997</v>
      </c>
      <c r="J349" s="1">
        <v>47907</v>
      </c>
      <c r="K349" s="1">
        <v>27000</v>
      </c>
      <c r="L349" s="1">
        <v>6387</v>
      </c>
      <c r="M349" s="1">
        <v>17</v>
      </c>
      <c r="N349" s="1" t="s">
        <v>20</v>
      </c>
      <c r="O349" s="1" t="s">
        <v>42</v>
      </c>
      <c r="P349" s="1" t="s">
        <v>22</v>
      </c>
      <c r="Q349" s="1" t="s">
        <v>31</v>
      </c>
      <c r="R349">
        <v>0.74336915144601468</v>
      </c>
    </row>
    <row r="350" spans="1:18" x14ac:dyDescent="0.2">
      <c r="A350" s="1">
        <v>221661</v>
      </c>
      <c r="B350" s="1" t="s">
        <v>423</v>
      </c>
      <c r="C350" s="1" t="s">
        <v>163</v>
      </c>
      <c r="D350" s="1">
        <v>0.65500000000000003</v>
      </c>
      <c r="E350" s="1">
        <v>2773</v>
      </c>
      <c r="F350" s="1">
        <v>27300</v>
      </c>
      <c r="G350" s="1">
        <v>0.49390000000000001</v>
      </c>
      <c r="H350" s="1">
        <v>0.82809999999999995</v>
      </c>
      <c r="I350" s="1">
        <v>0.30630000000000002</v>
      </c>
      <c r="J350" s="1">
        <v>53723</v>
      </c>
      <c r="K350" s="1">
        <v>24500</v>
      </c>
      <c r="L350" s="1">
        <v>6732</v>
      </c>
      <c r="M350" s="1">
        <v>19</v>
      </c>
      <c r="N350" s="1" t="s">
        <v>20</v>
      </c>
      <c r="O350" s="1" t="s">
        <v>21</v>
      </c>
      <c r="P350" s="1" t="s">
        <v>30</v>
      </c>
      <c r="Q350" s="1" t="s">
        <v>23</v>
      </c>
      <c r="R350">
        <v>0.74303257901684461</v>
      </c>
    </row>
    <row r="351" spans="1:18" x14ac:dyDescent="0.2">
      <c r="A351" s="1">
        <v>175078</v>
      </c>
      <c r="B351" s="1" t="s">
        <v>424</v>
      </c>
      <c r="C351" s="1" t="s">
        <v>54</v>
      </c>
      <c r="D351" s="1">
        <v>0.62180000000000002</v>
      </c>
      <c r="E351" s="1">
        <v>2315</v>
      </c>
      <c r="F351" s="1">
        <v>10361</v>
      </c>
      <c r="G351" s="1">
        <v>0.45100000000000001</v>
      </c>
      <c r="H351" s="1">
        <v>0.73709999999999998</v>
      </c>
      <c r="I351" s="1">
        <v>0.1207</v>
      </c>
      <c r="J351" s="1">
        <v>51342</v>
      </c>
      <c r="K351" s="1">
        <v>20500</v>
      </c>
      <c r="L351" s="1">
        <v>10672</v>
      </c>
      <c r="M351" s="1">
        <v>16</v>
      </c>
      <c r="N351" s="1" t="s">
        <v>28</v>
      </c>
      <c r="O351" s="1" t="s">
        <v>42</v>
      </c>
      <c r="P351" s="1" t="s">
        <v>22</v>
      </c>
      <c r="Q351" s="1" t="s">
        <v>23</v>
      </c>
      <c r="R351">
        <v>0.74284927984771254</v>
      </c>
    </row>
    <row r="352" spans="1:18" x14ac:dyDescent="0.2">
      <c r="A352" s="1">
        <v>226471</v>
      </c>
      <c r="B352" s="1" t="s">
        <v>425</v>
      </c>
      <c r="C352" s="1" t="s">
        <v>36</v>
      </c>
      <c r="D352" s="1">
        <v>0.95760000000000001</v>
      </c>
      <c r="E352" s="1">
        <v>2759</v>
      </c>
      <c r="F352" s="1">
        <v>32020</v>
      </c>
      <c r="G352" s="1">
        <v>0.49309999999999998</v>
      </c>
      <c r="H352" s="1">
        <v>0.62419999999999998</v>
      </c>
      <c r="I352" s="1">
        <v>0.39650000000000002</v>
      </c>
      <c r="J352" s="1">
        <v>56132</v>
      </c>
      <c r="K352" s="1">
        <v>26000</v>
      </c>
      <c r="L352" s="1">
        <v>8752</v>
      </c>
      <c r="M352" s="1">
        <v>17</v>
      </c>
      <c r="N352" s="1" t="s">
        <v>20</v>
      </c>
      <c r="O352" s="1" t="s">
        <v>21</v>
      </c>
      <c r="P352" s="1" t="s">
        <v>30</v>
      </c>
      <c r="Q352" s="1" t="s">
        <v>23</v>
      </c>
      <c r="R352">
        <v>0.74246238975063195</v>
      </c>
    </row>
    <row r="353" spans="1:18" x14ac:dyDescent="0.2">
      <c r="A353" s="1">
        <v>186201</v>
      </c>
      <c r="B353" s="1" t="s">
        <v>426</v>
      </c>
      <c r="C353" s="1" t="s">
        <v>66</v>
      </c>
      <c r="D353" s="1">
        <v>0.70640000000000003</v>
      </c>
      <c r="E353" s="1">
        <v>4898</v>
      </c>
      <c r="F353" s="1">
        <v>27708</v>
      </c>
      <c r="G353" s="1">
        <v>0.69810000000000005</v>
      </c>
      <c r="H353" s="1">
        <v>0.83609999999999995</v>
      </c>
      <c r="I353" s="1">
        <v>0.2823</v>
      </c>
      <c r="J353" s="1">
        <v>67541</v>
      </c>
      <c r="K353" s="1">
        <v>21000</v>
      </c>
      <c r="L353" s="1">
        <v>12502</v>
      </c>
      <c r="M353" s="1">
        <v>17</v>
      </c>
      <c r="N353" s="1" t="s">
        <v>28</v>
      </c>
      <c r="O353" s="1" t="s">
        <v>21</v>
      </c>
      <c r="P353" s="1" t="s">
        <v>39</v>
      </c>
      <c r="Q353" s="1" t="s">
        <v>23</v>
      </c>
      <c r="R353">
        <v>0.74197050160342848</v>
      </c>
    </row>
    <row r="354" spans="1:18" x14ac:dyDescent="0.2">
      <c r="A354" s="1">
        <v>206507</v>
      </c>
      <c r="B354" s="1" t="s">
        <v>427</v>
      </c>
      <c r="C354" s="1" t="s">
        <v>19</v>
      </c>
      <c r="D354" s="1">
        <v>0.92400000000000004</v>
      </c>
      <c r="E354" s="1">
        <v>1006</v>
      </c>
      <c r="F354" s="1">
        <v>32082</v>
      </c>
      <c r="G354" s="1">
        <v>0.47270000000000001</v>
      </c>
      <c r="H354" s="1">
        <v>0.72030000000000005</v>
      </c>
      <c r="I354" s="1">
        <v>0.38850000000000001</v>
      </c>
      <c r="J354" s="1">
        <v>48491</v>
      </c>
      <c r="K354" s="1">
        <v>24208</v>
      </c>
      <c r="L354" s="1">
        <v>6539</v>
      </c>
      <c r="M354" s="1">
        <v>12</v>
      </c>
      <c r="N354" s="1" t="s">
        <v>20</v>
      </c>
      <c r="O354" s="1" t="s">
        <v>42</v>
      </c>
      <c r="P354" s="1" t="s">
        <v>22</v>
      </c>
      <c r="Q354" s="1" t="s">
        <v>31</v>
      </c>
      <c r="R354">
        <v>0.74191382543107798</v>
      </c>
    </row>
    <row r="355" spans="1:18" x14ac:dyDescent="0.2">
      <c r="A355" s="1">
        <v>119173</v>
      </c>
      <c r="B355" s="1" t="s">
        <v>428</v>
      </c>
      <c r="C355" s="1" t="s">
        <v>33</v>
      </c>
      <c r="D355" s="1">
        <v>0.73129999999999995</v>
      </c>
      <c r="E355" s="1">
        <v>1719</v>
      </c>
      <c r="F355" s="1">
        <v>49564</v>
      </c>
      <c r="G355" s="1">
        <v>0.53249999999999997</v>
      </c>
      <c r="H355" s="1">
        <v>0.71140000000000003</v>
      </c>
      <c r="I355" s="1">
        <v>0.57099999999999995</v>
      </c>
      <c r="J355" s="1">
        <v>72379</v>
      </c>
      <c r="K355" s="1">
        <v>25949</v>
      </c>
      <c r="L355" s="1">
        <v>9605</v>
      </c>
      <c r="M355" s="1">
        <v>8</v>
      </c>
      <c r="N355" s="1" t="s">
        <v>20</v>
      </c>
      <c r="O355" s="1" t="s">
        <v>29</v>
      </c>
      <c r="P355" s="1" t="s">
        <v>22</v>
      </c>
      <c r="Q355" s="1" t="s">
        <v>23</v>
      </c>
      <c r="R355">
        <v>0.74065403543979735</v>
      </c>
    </row>
    <row r="356" spans="1:18" x14ac:dyDescent="0.2">
      <c r="A356" s="1">
        <v>164988</v>
      </c>
      <c r="B356" s="1" t="s">
        <v>429</v>
      </c>
      <c r="C356" s="1" t="s">
        <v>129</v>
      </c>
      <c r="D356" s="1">
        <v>0.1111</v>
      </c>
      <c r="E356" s="1">
        <v>18248</v>
      </c>
      <c r="F356" s="1">
        <v>68102</v>
      </c>
      <c r="G356" s="1">
        <v>0.88660000000000005</v>
      </c>
      <c r="H356" s="1">
        <v>0.94720000000000004</v>
      </c>
      <c r="I356" s="1">
        <v>0.1915</v>
      </c>
      <c r="J356" s="1">
        <v>83238</v>
      </c>
      <c r="K356" s="1">
        <v>23250</v>
      </c>
      <c r="L356" s="1">
        <v>16623</v>
      </c>
      <c r="M356" s="1">
        <v>10</v>
      </c>
      <c r="N356" s="1" t="s">
        <v>20</v>
      </c>
      <c r="O356" s="1" t="s">
        <v>29</v>
      </c>
      <c r="P356" s="1" t="s">
        <v>39</v>
      </c>
      <c r="Q356" s="1" t="s">
        <v>23</v>
      </c>
      <c r="R356">
        <v>0.74005755547144647</v>
      </c>
    </row>
    <row r="357" spans="1:18" x14ac:dyDescent="0.2">
      <c r="A357" s="1">
        <v>212106</v>
      </c>
      <c r="B357" s="1" t="s">
        <v>430</v>
      </c>
      <c r="C357" s="1" t="s">
        <v>98</v>
      </c>
      <c r="D357" s="1">
        <v>0.83560000000000001</v>
      </c>
      <c r="E357" s="1">
        <v>5350</v>
      </c>
      <c r="F357" s="1">
        <v>48986</v>
      </c>
      <c r="G357" s="1">
        <v>0.77490000000000003</v>
      </c>
      <c r="H357" s="1">
        <v>0.84150000000000003</v>
      </c>
      <c r="I357" s="1">
        <v>0.2024</v>
      </c>
      <c r="J357" s="1">
        <v>74742</v>
      </c>
      <c r="K357" s="1">
        <v>26244</v>
      </c>
      <c r="L357" s="1">
        <v>10204</v>
      </c>
      <c r="M357" s="1">
        <v>12</v>
      </c>
      <c r="N357" s="1" t="s">
        <v>20</v>
      </c>
      <c r="O357" s="1" t="s">
        <v>29</v>
      </c>
      <c r="P357" s="1" t="s">
        <v>39</v>
      </c>
      <c r="Q357" s="1" t="s">
        <v>23</v>
      </c>
      <c r="R357">
        <v>0.73986412571677351</v>
      </c>
    </row>
    <row r="358" spans="1:18" x14ac:dyDescent="0.2">
      <c r="A358" s="1">
        <v>449384</v>
      </c>
      <c r="B358" s="1" t="s">
        <v>431</v>
      </c>
      <c r="C358" s="1" t="s">
        <v>33</v>
      </c>
      <c r="D358" s="1">
        <v>0.41820000000000002</v>
      </c>
      <c r="E358" s="1">
        <v>294</v>
      </c>
      <c r="F358" s="1">
        <v>37635</v>
      </c>
      <c r="G358" s="1">
        <v>1</v>
      </c>
      <c r="H358" s="1">
        <v>0.9</v>
      </c>
      <c r="I358" s="1">
        <v>0.1081</v>
      </c>
      <c r="J358" s="1">
        <v>114785</v>
      </c>
      <c r="K358" s="1">
        <v>28332</v>
      </c>
      <c r="L358" s="1">
        <v>11289</v>
      </c>
      <c r="M358" s="1">
        <v>11</v>
      </c>
      <c r="N358" s="1" t="s">
        <v>142</v>
      </c>
      <c r="O358" s="1" t="s">
        <v>29</v>
      </c>
      <c r="P358" s="1" t="s">
        <v>22</v>
      </c>
      <c r="Q358" s="1" t="s">
        <v>23</v>
      </c>
      <c r="R358">
        <v>0.73788727967518197</v>
      </c>
    </row>
    <row r="359" spans="1:18" x14ac:dyDescent="0.2">
      <c r="A359" s="1">
        <v>227526</v>
      </c>
      <c r="B359" s="1" t="s">
        <v>432</v>
      </c>
      <c r="C359" s="1" t="s">
        <v>36</v>
      </c>
      <c r="D359" s="1">
        <v>0.79310000000000003</v>
      </c>
      <c r="E359" s="1">
        <v>8877</v>
      </c>
      <c r="F359" s="1">
        <v>26874</v>
      </c>
      <c r="G359" s="1">
        <v>0.432</v>
      </c>
      <c r="H359" s="1">
        <v>0.75619999999999998</v>
      </c>
      <c r="I359" s="1">
        <v>0.65600000000000003</v>
      </c>
      <c r="J359" s="1">
        <v>45411</v>
      </c>
      <c r="K359" s="1">
        <v>27000</v>
      </c>
      <c r="L359" s="1">
        <v>9530</v>
      </c>
      <c r="M359" s="1">
        <v>17</v>
      </c>
      <c r="N359" s="1" t="s">
        <v>28</v>
      </c>
      <c r="O359" s="1" t="s">
        <v>42</v>
      </c>
      <c r="P359" s="1" t="s">
        <v>30</v>
      </c>
      <c r="Q359" s="1" t="s">
        <v>31</v>
      </c>
      <c r="R359">
        <v>0.73659230840537915</v>
      </c>
    </row>
    <row r="360" spans="1:18" x14ac:dyDescent="0.2">
      <c r="A360" s="1">
        <v>174844</v>
      </c>
      <c r="B360" s="1" t="s">
        <v>433</v>
      </c>
      <c r="C360" s="1" t="s">
        <v>54</v>
      </c>
      <c r="D360" s="1">
        <v>0.48320000000000002</v>
      </c>
      <c r="E360" s="1">
        <v>3093</v>
      </c>
      <c r="F360" s="1">
        <v>59760</v>
      </c>
      <c r="G360" s="1">
        <v>0.84</v>
      </c>
      <c r="H360" s="1">
        <v>0.92230000000000001</v>
      </c>
      <c r="I360" s="1">
        <v>0.21210000000000001</v>
      </c>
      <c r="J360" s="1">
        <v>65543</v>
      </c>
      <c r="K360" s="1">
        <v>26000</v>
      </c>
      <c r="L360" s="1">
        <v>9218</v>
      </c>
      <c r="M360" s="1">
        <v>11</v>
      </c>
      <c r="N360" s="1" t="s">
        <v>20</v>
      </c>
      <c r="O360" s="1" t="s">
        <v>42</v>
      </c>
      <c r="P360" s="1" t="s">
        <v>22</v>
      </c>
      <c r="Q360" s="1" t="s">
        <v>23</v>
      </c>
      <c r="R360">
        <v>0.73584292925983463</v>
      </c>
    </row>
    <row r="361" spans="1:18" x14ac:dyDescent="0.2">
      <c r="A361" s="1">
        <v>172264</v>
      </c>
      <c r="B361" s="1" t="s">
        <v>434</v>
      </c>
      <c r="C361" s="1" t="s">
        <v>109</v>
      </c>
      <c r="D361" s="1">
        <v>0.68899999999999995</v>
      </c>
      <c r="E361" s="1">
        <v>1495</v>
      </c>
      <c r="F361" s="1">
        <v>30778</v>
      </c>
      <c r="G361" s="1">
        <v>0.38619999999999999</v>
      </c>
      <c r="H361" s="1">
        <v>0.7</v>
      </c>
      <c r="I361" s="1">
        <v>0.34189999999999998</v>
      </c>
      <c r="J361" s="1">
        <v>57529</v>
      </c>
      <c r="K361" s="1">
        <v>18750</v>
      </c>
      <c r="L361" s="1">
        <v>6749</v>
      </c>
      <c r="M361" s="1">
        <v>14</v>
      </c>
      <c r="N361" s="1" t="s">
        <v>20</v>
      </c>
      <c r="O361" s="1" t="s">
        <v>42</v>
      </c>
      <c r="P361" s="1" t="s">
        <v>22</v>
      </c>
      <c r="Q361" s="1" t="s">
        <v>23</v>
      </c>
      <c r="R361">
        <v>0.73500861199341805</v>
      </c>
    </row>
    <row r="362" spans="1:18" x14ac:dyDescent="0.2">
      <c r="A362" s="1">
        <v>187648</v>
      </c>
      <c r="B362" s="1" t="s">
        <v>435</v>
      </c>
      <c r="C362" s="1" t="s">
        <v>436</v>
      </c>
      <c r="D362" s="1">
        <v>0.91659999999999997</v>
      </c>
      <c r="E362" s="1">
        <v>3357</v>
      </c>
      <c r="F362" s="1">
        <v>9174</v>
      </c>
      <c r="G362" s="1">
        <v>0.45090000000000002</v>
      </c>
      <c r="H362" s="1">
        <v>0.62029999999999996</v>
      </c>
      <c r="I362" s="1">
        <v>0.35709999999999997</v>
      </c>
      <c r="J362" s="1">
        <v>38550</v>
      </c>
      <c r="K362" s="1">
        <v>16500</v>
      </c>
      <c r="L362" s="1">
        <v>8343</v>
      </c>
      <c r="M362" s="1">
        <v>18</v>
      </c>
      <c r="N362" s="1" t="s">
        <v>28</v>
      </c>
      <c r="O362" s="1" t="s">
        <v>42</v>
      </c>
      <c r="P362" s="1" t="s">
        <v>22</v>
      </c>
      <c r="Q362" s="1" t="s">
        <v>31</v>
      </c>
      <c r="R362">
        <v>0.7347256400128952</v>
      </c>
    </row>
    <row r="363" spans="1:18" x14ac:dyDescent="0.2">
      <c r="A363" s="1">
        <v>195720</v>
      </c>
      <c r="B363" s="1" t="s">
        <v>437</v>
      </c>
      <c r="C363" s="1" t="s">
        <v>58</v>
      </c>
      <c r="D363" s="1">
        <v>0.66400000000000003</v>
      </c>
      <c r="E363" s="1">
        <v>2565</v>
      </c>
      <c r="F363" s="1">
        <v>41190</v>
      </c>
      <c r="G363" s="1">
        <v>0.74170000000000003</v>
      </c>
      <c r="H363" s="1">
        <v>0.86419999999999997</v>
      </c>
      <c r="I363" s="1">
        <v>0.28689999999999999</v>
      </c>
      <c r="J363" s="1">
        <v>66944</v>
      </c>
      <c r="K363" s="1">
        <v>23250</v>
      </c>
      <c r="L363" s="1">
        <v>9676</v>
      </c>
      <c r="M363" s="1">
        <v>11</v>
      </c>
      <c r="N363" s="1" t="s">
        <v>20</v>
      </c>
      <c r="O363" s="1" t="s">
        <v>21</v>
      </c>
      <c r="P363" s="1" t="s">
        <v>39</v>
      </c>
      <c r="Q363" s="1" t="s">
        <v>23</v>
      </c>
      <c r="R363">
        <v>0.73267173990496115</v>
      </c>
    </row>
    <row r="364" spans="1:18" x14ac:dyDescent="0.2">
      <c r="A364" s="1">
        <v>174747</v>
      </c>
      <c r="B364" s="1" t="s">
        <v>438</v>
      </c>
      <c r="C364" s="1" t="s">
        <v>54</v>
      </c>
      <c r="D364" s="1">
        <v>0.91520000000000001</v>
      </c>
      <c r="E364" s="1">
        <v>1370</v>
      </c>
      <c r="F364" s="1">
        <v>55756</v>
      </c>
      <c r="G364" s="1">
        <v>0.7712</v>
      </c>
      <c r="H364" s="1">
        <v>0.86280000000000001</v>
      </c>
      <c r="I364" s="1">
        <v>0.1986</v>
      </c>
      <c r="J364" s="1">
        <v>63260</v>
      </c>
      <c r="K364" s="1">
        <v>26944</v>
      </c>
      <c r="L364" s="1">
        <v>9135</v>
      </c>
      <c r="M364" s="1">
        <v>11</v>
      </c>
      <c r="N364" s="1" t="s">
        <v>20</v>
      </c>
      <c r="O364" s="1" t="s">
        <v>21</v>
      </c>
      <c r="P364" s="1" t="s">
        <v>22</v>
      </c>
      <c r="Q364" s="1" t="s">
        <v>23</v>
      </c>
      <c r="R364">
        <v>0.73122783376528089</v>
      </c>
    </row>
    <row r="365" spans="1:18" x14ac:dyDescent="0.2">
      <c r="A365" s="1">
        <v>137564</v>
      </c>
      <c r="B365" s="1" t="s">
        <v>439</v>
      </c>
      <c r="C365" s="1" t="s">
        <v>27</v>
      </c>
      <c r="D365" s="1">
        <v>0.52980000000000005</v>
      </c>
      <c r="E365" s="1">
        <v>4813</v>
      </c>
      <c r="F365" s="1">
        <v>32950</v>
      </c>
      <c r="G365" s="1">
        <v>0.42549999999999999</v>
      </c>
      <c r="H365" s="1">
        <v>0.69889999999999997</v>
      </c>
      <c r="I365" s="1">
        <v>0.21510000000000001</v>
      </c>
      <c r="J365" s="1">
        <v>46744</v>
      </c>
      <c r="K365" s="1">
        <v>21500</v>
      </c>
      <c r="L365" s="1">
        <v>7041</v>
      </c>
      <c r="M365" s="1">
        <v>19</v>
      </c>
      <c r="N365" s="1" t="s">
        <v>20</v>
      </c>
      <c r="O365" s="1" t="s">
        <v>29</v>
      </c>
      <c r="P365" s="1" t="s">
        <v>30</v>
      </c>
      <c r="Q365" s="1" t="s">
        <v>31</v>
      </c>
      <c r="R365">
        <v>0.73073505907642033</v>
      </c>
    </row>
    <row r="366" spans="1:18" x14ac:dyDescent="0.2">
      <c r="A366" s="1">
        <v>209807</v>
      </c>
      <c r="B366" s="1" t="s">
        <v>440</v>
      </c>
      <c r="C366" s="1" t="s">
        <v>79</v>
      </c>
      <c r="D366" s="1">
        <v>0.90869999999999995</v>
      </c>
      <c r="E366" s="1">
        <v>13182</v>
      </c>
      <c r="F366" s="1">
        <v>31074</v>
      </c>
      <c r="G366" s="1">
        <v>0.52659999999999996</v>
      </c>
      <c r="H366" s="1">
        <v>0.7611</v>
      </c>
      <c r="I366" s="1">
        <v>0.41649999999999998</v>
      </c>
      <c r="J366" s="1">
        <v>57906</v>
      </c>
      <c r="K366" s="1">
        <v>20500</v>
      </c>
      <c r="L366" s="1">
        <v>11893</v>
      </c>
      <c r="M366" s="1">
        <v>17</v>
      </c>
      <c r="N366" s="1" t="s">
        <v>28</v>
      </c>
      <c r="O366" s="1" t="s">
        <v>29</v>
      </c>
      <c r="P366" s="1" t="s">
        <v>22</v>
      </c>
      <c r="Q366" s="1" t="s">
        <v>23</v>
      </c>
      <c r="R366">
        <v>0.73066956959919538</v>
      </c>
    </row>
    <row r="367" spans="1:18" x14ac:dyDescent="0.2">
      <c r="A367" s="1">
        <v>217864</v>
      </c>
      <c r="B367" s="1" t="s">
        <v>441</v>
      </c>
      <c r="C367" s="1" t="s">
        <v>155</v>
      </c>
      <c r="D367" s="1">
        <v>0.22720000000000001</v>
      </c>
      <c r="E367" s="1">
        <v>2705</v>
      </c>
      <c r="F367" s="1">
        <v>38508</v>
      </c>
      <c r="G367" s="1">
        <v>0.75</v>
      </c>
      <c r="H367" s="1">
        <v>0.85780000000000001</v>
      </c>
      <c r="I367" s="1">
        <v>0.19800000000000001</v>
      </c>
      <c r="J367" s="1">
        <v>72085</v>
      </c>
      <c r="K367" s="1">
        <v>21096</v>
      </c>
      <c r="L367" s="1">
        <v>10071</v>
      </c>
      <c r="M367" s="1">
        <v>11</v>
      </c>
      <c r="N367" s="1" t="s">
        <v>28</v>
      </c>
      <c r="O367" s="1" t="s">
        <v>29</v>
      </c>
      <c r="P367" s="1" t="s">
        <v>30</v>
      </c>
      <c r="Q367" s="1" t="s">
        <v>23</v>
      </c>
      <c r="R367">
        <v>0.72934449155008585</v>
      </c>
    </row>
    <row r="368" spans="1:18" x14ac:dyDescent="0.2">
      <c r="A368" s="1">
        <v>110644</v>
      </c>
      <c r="B368" s="1" t="s">
        <v>442</v>
      </c>
      <c r="C368" s="1" t="s">
        <v>33</v>
      </c>
      <c r="D368" s="1">
        <v>0.41830000000000001</v>
      </c>
      <c r="E368" s="1">
        <v>32253</v>
      </c>
      <c r="F368" s="1">
        <v>50974</v>
      </c>
      <c r="G368" s="1">
        <v>0.85670000000000002</v>
      </c>
      <c r="H368" s="1">
        <v>0.92810000000000004</v>
      </c>
      <c r="I368" s="1">
        <v>0.3135</v>
      </c>
      <c r="J368" s="1">
        <v>80838</v>
      </c>
      <c r="K368" s="1">
        <v>13000</v>
      </c>
      <c r="L368" s="1">
        <v>18357</v>
      </c>
      <c r="M368" s="1">
        <v>22</v>
      </c>
      <c r="N368" s="1" t="s">
        <v>28</v>
      </c>
      <c r="O368" s="1" t="s">
        <v>21</v>
      </c>
      <c r="P368" s="1" t="s">
        <v>22</v>
      </c>
      <c r="Q368" s="1" t="s">
        <v>23</v>
      </c>
      <c r="R368">
        <v>0.7283894705423668</v>
      </c>
    </row>
    <row r="369" spans="1:18" x14ac:dyDescent="0.2">
      <c r="A369" s="1">
        <v>155061</v>
      </c>
      <c r="B369" s="1" t="s">
        <v>443</v>
      </c>
      <c r="C369" s="1" t="s">
        <v>56</v>
      </c>
      <c r="D369" s="1">
        <v>0.90259999999999996</v>
      </c>
      <c r="E369" s="1">
        <v>9733</v>
      </c>
      <c r="F369" s="1">
        <v>17741</v>
      </c>
      <c r="G369" s="1">
        <v>0.47699999999999998</v>
      </c>
      <c r="H369" s="1">
        <v>0.76880000000000004</v>
      </c>
      <c r="I369" s="1">
        <v>0.2278</v>
      </c>
      <c r="J369" s="1">
        <v>48928</v>
      </c>
      <c r="K369" s="1">
        <v>21000</v>
      </c>
      <c r="L369" s="1">
        <v>7997</v>
      </c>
      <c r="M369" s="1">
        <v>15</v>
      </c>
      <c r="N369" s="1" t="s">
        <v>28</v>
      </c>
      <c r="O369" s="1" t="s">
        <v>42</v>
      </c>
      <c r="P369" s="1" t="s">
        <v>22</v>
      </c>
      <c r="Q369" s="1" t="s">
        <v>31</v>
      </c>
      <c r="R369">
        <v>0.72754221130390084</v>
      </c>
    </row>
    <row r="370" spans="1:18" x14ac:dyDescent="0.2">
      <c r="A370" s="1">
        <v>164173</v>
      </c>
      <c r="B370" s="1" t="s">
        <v>444</v>
      </c>
      <c r="C370" s="1" t="s">
        <v>61</v>
      </c>
      <c r="D370" s="1">
        <v>0.78910000000000002</v>
      </c>
      <c r="E370" s="1">
        <v>3102</v>
      </c>
      <c r="F370" s="1">
        <v>40560</v>
      </c>
      <c r="G370" s="1">
        <v>0.68489999999999995</v>
      </c>
      <c r="H370" s="1">
        <v>0.78790000000000004</v>
      </c>
      <c r="I370" s="1">
        <v>0.30880000000000002</v>
      </c>
      <c r="J370" s="1">
        <v>62079</v>
      </c>
      <c r="K370" s="1">
        <v>26000</v>
      </c>
      <c r="L370" s="1">
        <v>8822</v>
      </c>
      <c r="M370" s="1">
        <v>15</v>
      </c>
      <c r="N370" s="1" t="s">
        <v>20</v>
      </c>
      <c r="O370" s="1" t="s">
        <v>21</v>
      </c>
      <c r="P370" s="1" t="s">
        <v>30</v>
      </c>
      <c r="Q370" s="1" t="s">
        <v>23</v>
      </c>
      <c r="R370">
        <v>0.72462492652153743</v>
      </c>
    </row>
    <row r="371" spans="1:18" x14ac:dyDescent="0.2">
      <c r="A371" s="1">
        <v>143118</v>
      </c>
      <c r="B371" s="1" t="s">
        <v>445</v>
      </c>
      <c r="C371" s="1" t="s">
        <v>25</v>
      </c>
      <c r="D371" s="1">
        <v>0.8085</v>
      </c>
      <c r="E371" s="1">
        <v>3974</v>
      </c>
      <c r="F371" s="1">
        <v>29170</v>
      </c>
      <c r="G371" s="1">
        <v>0.60319999999999996</v>
      </c>
      <c r="H371" s="1">
        <v>0.77059999999999995</v>
      </c>
      <c r="I371" s="1">
        <v>0.44950000000000001</v>
      </c>
      <c r="J371" s="1">
        <v>58709</v>
      </c>
      <c r="K371" s="1">
        <v>20318</v>
      </c>
      <c r="L371" s="1">
        <v>9142</v>
      </c>
      <c r="M371" s="1">
        <v>18</v>
      </c>
      <c r="N371" s="1" t="s">
        <v>20</v>
      </c>
      <c r="O371" s="1" t="s">
        <v>21</v>
      </c>
      <c r="P371" s="1" t="s">
        <v>22</v>
      </c>
      <c r="Q371" s="1" t="s">
        <v>23</v>
      </c>
      <c r="R371">
        <v>0.72455722222730867</v>
      </c>
    </row>
    <row r="372" spans="1:18" x14ac:dyDescent="0.2">
      <c r="A372" s="1">
        <v>213598</v>
      </c>
      <c r="B372" s="1" t="s">
        <v>446</v>
      </c>
      <c r="C372" s="1" t="s">
        <v>98</v>
      </c>
      <c r="D372" s="1">
        <v>0.65720000000000001</v>
      </c>
      <c r="E372" s="1">
        <v>1539</v>
      </c>
      <c r="F372" s="1">
        <v>19384</v>
      </c>
      <c r="G372" s="1">
        <v>0.4355</v>
      </c>
      <c r="H372" s="1">
        <v>0.73409999999999997</v>
      </c>
      <c r="I372" s="1">
        <v>0.68669999999999998</v>
      </c>
      <c r="J372" s="1">
        <v>43167</v>
      </c>
      <c r="K372" s="1">
        <v>28250</v>
      </c>
      <c r="L372" s="1">
        <v>9580</v>
      </c>
      <c r="M372" s="1">
        <v>12</v>
      </c>
      <c r="N372" s="1" t="s">
        <v>28</v>
      </c>
      <c r="O372" s="1" t="s">
        <v>21</v>
      </c>
      <c r="P372" s="1" t="s">
        <v>39</v>
      </c>
      <c r="Q372" s="1" t="s">
        <v>31</v>
      </c>
      <c r="R372">
        <v>0.72431923347886273</v>
      </c>
    </row>
    <row r="373" spans="1:18" x14ac:dyDescent="0.2">
      <c r="A373" s="1">
        <v>127741</v>
      </c>
      <c r="B373" s="1" t="s">
        <v>447</v>
      </c>
      <c r="C373" s="1" t="s">
        <v>161</v>
      </c>
      <c r="D373" s="1">
        <v>0.85850000000000004</v>
      </c>
      <c r="E373" s="1">
        <v>5598</v>
      </c>
      <c r="F373" s="1">
        <v>27266</v>
      </c>
      <c r="G373" s="1">
        <v>0.51239999999999997</v>
      </c>
      <c r="H373" s="1">
        <v>0.75849999999999995</v>
      </c>
      <c r="I373" s="1">
        <v>0.26179999999999998</v>
      </c>
      <c r="J373" s="1">
        <v>52231</v>
      </c>
      <c r="K373" s="1">
        <v>20470</v>
      </c>
      <c r="L373" s="1">
        <v>8988</v>
      </c>
      <c r="M373" s="1">
        <v>14</v>
      </c>
      <c r="N373" s="1" t="s">
        <v>28</v>
      </c>
      <c r="O373" s="1" t="s">
        <v>29</v>
      </c>
      <c r="P373" s="1" t="s">
        <v>22</v>
      </c>
      <c r="Q373" s="1" t="s">
        <v>23</v>
      </c>
      <c r="R373">
        <v>0.72397091411457426</v>
      </c>
    </row>
    <row r="374" spans="1:18" x14ac:dyDescent="0.2">
      <c r="A374" s="1">
        <v>235097</v>
      </c>
      <c r="B374" s="1" t="s">
        <v>448</v>
      </c>
      <c r="C374" s="1" t="s">
        <v>171</v>
      </c>
      <c r="D374" s="1">
        <v>0.90749999999999997</v>
      </c>
      <c r="E374" s="1">
        <v>6222</v>
      </c>
      <c r="F374" s="1">
        <v>25959</v>
      </c>
      <c r="G374" s="1">
        <v>0.43490000000000001</v>
      </c>
      <c r="H374" s="1">
        <v>0.67400000000000004</v>
      </c>
      <c r="I374" s="1">
        <v>0.35099999999999998</v>
      </c>
      <c r="J374" s="1">
        <v>57897</v>
      </c>
      <c r="K374" s="1">
        <v>19500</v>
      </c>
      <c r="L374" s="1">
        <v>10643</v>
      </c>
      <c r="M374" s="1">
        <v>18</v>
      </c>
      <c r="N374" s="1" t="s">
        <v>28</v>
      </c>
      <c r="O374" s="1" t="s">
        <v>42</v>
      </c>
      <c r="P374" s="1" t="s">
        <v>22</v>
      </c>
      <c r="Q374" s="1" t="s">
        <v>23</v>
      </c>
      <c r="R374">
        <v>0.72203208773564831</v>
      </c>
    </row>
    <row r="375" spans="1:18" x14ac:dyDescent="0.2">
      <c r="A375" s="1">
        <v>460349</v>
      </c>
      <c r="B375" s="1" t="s">
        <v>449</v>
      </c>
      <c r="C375" s="1" t="s">
        <v>92</v>
      </c>
      <c r="D375" s="1">
        <v>0.90969999999999995</v>
      </c>
      <c r="E375" s="1">
        <v>2202</v>
      </c>
      <c r="F375" s="1">
        <v>13365</v>
      </c>
      <c r="G375" s="1">
        <v>0</v>
      </c>
      <c r="H375" s="1">
        <v>0.52170000000000005</v>
      </c>
      <c r="I375" s="1">
        <v>0.36230000000000001</v>
      </c>
      <c r="J375" s="1">
        <v>43418</v>
      </c>
      <c r="K375" s="1">
        <v>26000</v>
      </c>
      <c r="L375" s="1">
        <v>10481</v>
      </c>
      <c r="M375" s="1">
        <v>13</v>
      </c>
      <c r="N375" s="1" t="s">
        <v>20</v>
      </c>
      <c r="O375" s="1" t="s">
        <v>29</v>
      </c>
      <c r="P375" s="1" t="s">
        <v>39</v>
      </c>
      <c r="Q375" s="1" t="s">
        <v>31</v>
      </c>
      <c r="R375">
        <v>0.72156531537834989</v>
      </c>
    </row>
    <row r="376" spans="1:18" x14ac:dyDescent="0.2">
      <c r="A376" s="1">
        <v>231095</v>
      </c>
      <c r="B376" s="1" t="s">
        <v>450</v>
      </c>
      <c r="C376" s="1" t="s">
        <v>451</v>
      </c>
      <c r="D376" s="1">
        <v>0.66669999999999996</v>
      </c>
      <c r="E376" s="1">
        <v>50</v>
      </c>
      <c r="F376" s="1">
        <v>40760</v>
      </c>
      <c r="G376" s="1">
        <v>0.31580000000000003</v>
      </c>
      <c r="H376" s="1">
        <v>0.85709999999999997</v>
      </c>
      <c r="I376" s="1">
        <v>0.44869999999999999</v>
      </c>
      <c r="J376" s="1">
        <v>30573</v>
      </c>
      <c r="K376" s="1">
        <v>23000</v>
      </c>
      <c r="L376" s="1">
        <v>5583</v>
      </c>
      <c r="M376" s="1">
        <v>7</v>
      </c>
      <c r="N376" s="1" t="s">
        <v>20</v>
      </c>
      <c r="O376" s="1" t="s">
        <v>42</v>
      </c>
      <c r="P376" s="1" t="s">
        <v>39</v>
      </c>
      <c r="Q376" s="1" t="s">
        <v>31</v>
      </c>
      <c r="R376">
        <v>0.72130037897644084</v>
      </c>
    </row>
    <row r="377" spans="1:18" x14ac:dyDescent="0.2">
      <c r="A377" s="1">
        <v>165024</v>
      </c>
      <c r="B377" s="1" t="s">
        <v>452</v>
      </c>
      <c r="C377" s="1" t="s">
        <v>129</v>
      </c>
      <c r="D377" s="1">
        <v>0.87809999999999999</v>
      </c>
      <c r="E377" s="1">
        <v>7829</v>
      </c>
      <c r="F377" s="1">
        <v>17948</v>
      </c>
      <c r="G377" s="1">
        <v>0.53410000000000002</v>
      </c>
      <c r="H377" s="1">
        <v>0.75119999999999998</v>
      </c>
      <c r="I377" s="1">
        <v>0.31940000000000002</v>
      </c>
      <c r="J377" s="1">
        <v>57466</v>
      </c>
      <c r="K377" s="1">
        <v>24286</v>
      </c>
      <c r="L377" s="1">
        <v>11130</v>
      </c>
      <c r="M377" s="1">
        <v>17</v>
      </c>
      <c r="N377" s="1" t="s">
        <v>28</v>
      </c>
      <c r="O377" s="1" t="s">
        <v>21</v>
      </c>
      <c r="P377" s="1" t="s">
        <v>39</v>
      </c>
      <c r="Q377" s="1" t="s">
        <v>23</v>
      </c>
      <c r="R377">
        <v>0.72021745174300877</v>
      </c>
    </row>
    <row r="378" spans="1:18" x14ac:dyDescent="0.2">
      <c r="A378" s="1">
        <v>206589</v>
      </c>
      <c r="B378" s="1" t="s">
        <v>453</v>
      </c>
      <c r="C378" s="1" t="s">
        <v>19</v>
      </c>
      <c r="D378" s="1">
        <v>0.59530000000000005</v>
      </c>
      <c r="E378" s="1">
        <v>1730</v>
      </c>
      <c r="F378" s="1">
        <v>61640</v>
      </c>
      <c r="G378" s="1">
        <v>0.73939999999999995</v>
      </c>
      <c r="H378" s="1">
        <v>0.82079999999999997</v>
      </c>
      <c r="I378" s="1">
        <v>0.20899999999999999</v>
      </c>
      <c r="J378" s="1">
        <v>59629</v>
      </c>
      <c r="K378" s="1">
        <v>26500</v>
      </c>
      <c r="L378" s="1">
        <v>8909</v>
      </c>
      <c r="M378" s="1">
        <v>10</v>
      </c>
      <c r="N378" s="1" t="s">
        <v>20</v>
      </c>
      <c r="O378" s="1" t="s">
        <v>42</v>
      </c>
      <c r="P378" s="1" t="s">
        <v>22</v>
      </c>
      <c r="Q378" s="1" t="s">
        <v>23</v>
      </c>
      <c r="R378">
        <v>0.71943497636625175</v>
      </c>
    </row>
    <row r="379" spans="1:18" x14ac:dyDescent="0.2">
      <c r="A379" s="1">
        <v>141486</v>
      </c>
      <c r="B379" s="1" t="s">
        <v>454</v>
      </c>
      <c r="C379" s="1" t="s">
        <v>240</v>
      </c>
      <c r="D379" s="1">
        <v>0.9143</v>
      </c>
      <c r="E379" s="1">
        <v>1672</v>
      </c>
      <c r="F379" s="1">
        <v>30874</v>
      </c>
      <c r="G379" s="1">
        <v>0.55400000000000005</v>
      </c>
      <c r="H379" s="1">
        <v>0.70369999999999999</v>
      </c>
      <c r="I379" s="1">
        <v>0.4133</v>
      </c>
      <c r="J379" s="1">
        <v>52343</v>
      </c>
      <c r="K379" s="1">
        <v>23250</v>
      </c>
      <c r="L379" s="1">
        <v>9015</v>
      </c>
      <c r="M379" s="1">
        <v>11</v>
      </c>
      <c r="N379" s="1" t="s">
        <v>20</v>
      </c>
      <c r="O379" s="1" t="s">
        <v>29</v>
      </c>
      <c r="P379" s="1" t="s">
        <v>22</v>
      </c>
      <c r="Q379" s="1" t="s">
        <v>23</v>
      </c>
      <c r="R379">
        <v>0.71756259139932721</v>
      </c>
    </row>
    <row r="380" spans="1:18" x14ac:dyDescent="0.2">
      <c r="A380" s="1">
        <v>213996</v>
      </c>
      <c r="B380" s="1" t="s">
        <v>455</v>
      </c>
      <c r="C380" s="1" t="s">
        <v>98</v>
      </c>
      <c r="D380" s="1">
        <v>0.78969999999999996</v>
      </c>
      <c r="E380" s="1">
        <v>2259</v>
      </c>
      <c r="F380" s="1">
        <v>42240</v>
      </c>
      <c r="G380" s="1">
        <v>0.74960000000000004</v>
      </c>
      <c r="H380" s="1">
        <v>0.88570000000000004</v>
      </c>
      <c r="I380" s="1">
        <v>0.19639999999999999</v>
      </c>
      <c r="J380" s="1">
        <v>54064</v>
      </c>
      <c r="K380" s="1">
        <v>25621</v>
      </c>
      <c r="L380" s="1">
        <v>9179</v>
      </c>
      <c r="M380" s="1">
        <v>12</v>
      </c>
      <c r="N380" s="1" t="s">
        <v>20</v>
      </c>
      <c r="O380" s="1" t="s">
        <v>21</v>
      </c>
      <c r="P380" s="1" t="s">
        <v>39</v>
      </c>
      <c r="Q380" s="1" t="s">
        <v>23</v>
      </c>
      <c r="R380">
        <v>0.71737364927332059</v>
      </c>
    </row>
    <row r="381" spans="1:18" x14ac:dyDescent="0.2">
      <c r="A381" s="1">
        <v>206835</v>
      </c>
      <c r="B381" s="1" t="s">
        <v>456</v>
      </c>
      <c r="C381" s="1" t="s">
        <v>224</v>
      </c>
      <c r="D381" s="1">
        <v>0.66169999999999995</v>
      </c>
      <c r="E381" s="1">
        <v>673</v>
      </c>
      <c r="F381" s="1">
        <v>33550</v>
      </c>
      <c r="G381" s="1">
        <v>0.34760000000000002</v>
      </c>
      <c r="H381" s="1">
        <v>0.5</v>
      </c>
      <c r="I381" s="1">
        <v>0.29249999999999998</v>
      </c>
      <c r="J381" s="1">
        <v>59841</v>
      </c>
      <c r="K381" s="1">
        <v>24813</v>
      </c>
      <c r="L381" s="1">
        <v>5562</v>
      </c>
      <c r="M381" s="1">
        <v>15</v>
      </c>
      <c r="N381" s="1" t="s">
        <v>20</v>
      </c>
      <c r="O381" s="1" t="s">
        <v>42</v>
      </c>
      <c r="P381" s="1" t="s">
        <v>30</v>
      </c>
      <c r="Q381" s="1" t="s">
        <v>23</v>
      </c>
      <c r="R381">
        <v>0.71729043601136888</v>
      </c>
    </row>
    <row r="382" spans="1:18" x14ac:dyDescent="0.2">
      <c r="A382" s="1">
        <v>482158</v>
      </c>
      <c r="B382" s="1" t="s">
        <v>457</v>
      </c>
      <c r="C382" s="1" t="s">
        <v>126</v>
      </c>
      <c r="D382" s="1">
        <v>0.99680000000000002</v>
      </c>
      <c r="E382" s="1">
        <v>6574</v>
      </c>
      <c r="F382" s="1">
        <v>16390</v>
      </c>
      <c r="G382" s="1">
        <v>0.25330000000000003</v>
      </c>
      <c r="H382" s="1">
        <v>0.65290000000000004</v>
      </c>
      <c r="I382" s="1">
        <v>0.42880000000000001</v>
      </c>
      <c r="J382" s="1">
        <v>40863</v>
      </c>
      <c r="K382" s="1">
        <v>19000</v>
      </c>
      <c r="L382" s="1">
        <v>8304</v>
      </c>
      <c r="M382" s="1">
        <v>18</v>
      </c>
      <c r="N382" s="1" t="s">
        <v>28</v>
      </c>
      <c r="O382" s="1" t="s">
        <v>29</v>
      </c>
      <c r="P382" s="1" t="s">
        <v>30</v>
      </c>
      <c r="Q382" s="1" t="s">
        <v>31</v>
      </c>
      <c r="R382">
        <v>0.71608314794305339</v>
      </c>
    </row>
    <row r="383" spans="1:18" x14ac:dyDescent="0.2">
      <c r="A383" s="1">
        <v>174914</v>
      </c>
      <c r="B383" s="1" t="s">
        <v>458</v>
      </c>
      <c r="C383" s="1" t="s">
        <v>54</v>
      </c>
      <c r="D383" s="1">
        <v>0.85360000000000003</v>
      </c>
      <c r="E383" s="1">
        <v>6245</v>
      </c>
      <c r="F383" s="1">
        <v>54398</v>
      </c>
      <c r="G383" s="1">
        <v>0.76380000000000003</v>
      </c>
      <c r="H383" s="1">
        <v>0.88449999999999995</v>
      </c>
      <c r="I383" s="1">
        <v>0.2177</v>
      </c>
      <c r="J383" s="1">
        <v>73739</v>
      </c>
      <c r="K383" s="1">
        <v>23250</v>
      </c>
      <c r="L383" s="1">
        <v>11771</v>
      </c>
      <c r="M383" s="1">
        <v>14</v>
      </c>
      <c r="N383" s="1" t="s">
        <v>20</v>
      </c>
      <c r="O383" s="1" t="s">
        <v>29</v>
      </c>
      <c r="P383" s="1" t="s">
        <v>22</v>
      </c>
      <c r="Q383" s="1" t="s">
        <v>23</v>
      </c>
      <c r="R383">
        <v>0.71599273398692154</v>
      </c>
    </row>
    <row r="384" spans="1:18" x14ac:dyDescent="0.2">
      <c r="A384" s="1">
        <v>110565</v>
      </c>
      <c r="B384" s="1" t="s">
        <v>459</v>
      </c>
      <c r="C384" s="1" t="s">
        <v>33</v>
      </c>
      <c r="D384" s="1">
        <v>0.9052</v>
      </c>
      <c r="E384" s="1">
        <v>38546</v>
      </c>
      <c r="F384" s="1">
        <v>20070</v>
      </c>
      <c r="G384" s="1">
        <v>0.70179999999999998</v>
      </c>
      <c r="H384" s="1">
        <v>0.82420000000000004</v>
      </c>
      <c r="I384" s="1">
        <v>0.48070000000000002</v>
      </c>
      <c r="J384" s="1">
        <v>62951</v>
      </c>
      <c r="K384" s="1">
        <v>13750</v>
      </c>
      <c r="L384" s="1">
        <v>12295</v>
      </c>
      <c r="M384" s="1">
        <v>26</v>
      </c>
      <c r="N384" s="1" t="s">
        <v>28</v>
      </c>
      <c r="O384" s="1" t="s">
        <v>21</v>
      </c>
      <c r="P384" s="1" t="s">
        <v>22</v>
      </c>
      <c r="Q384" s="1" t="s">
        <v>23</v>
      </c>
      <c r="R384">
        <v>0.71581466863883303</v>
      </c>
    </row>
    <row r="385" spans="1:18" x14ac:dyDescent="0.2">
      <c r="A385" s="1">
        <v>219471</v>
      </c>
      <c r="B385" s="1" t="s">
        <v>460</v>
      </c>
      <c r="C385" s="1" t="s">
        <v>41</v>
      </c>
      <c r="D385" s="1">
        <v>0.98780000000000001</v>
      </c>
      <c r="E385" s="1">
        <v>5439</v>
      </c>
      <c r="F385" s="1">
        <v>12942</v>
      </c>
      <c r="G385" s="1">
        <v>0.59909999999999997</v>
      </c>
      <c r="H385" s="1">
        <v>0.79339999999999999</v>
      </c>
      <c r="I385" s="1">
        <v>0.18659999999999999</v>
      </c>
      <c r="J385" s="1">
        <v>51926</v>
      </c>
      <c r="K385" s="1">
        <v>23592</v>
      </c>
      <c r="L385" s="1">
        <v>9264</v>
      </c>
      <c r="M385" s="1">
        <v>16</v>
      </c>
      <c r="N385" s="1" t="s">
        <v>28</v>
      </c>
      <c r="O385" s="1" t="s">
        <v>42</v>
      </c>
      <c r="P385" s="1" t="s">
        <v>22</v>
      </c>
      <c r="Q385" s="1" t="s">
        <v>23</v>
      </c>
      <c r="R385">
        <v>0.71575966449507145</v>
      </c>
    </row>
    <row r="386" spans="1:18" x14ac:dyDescent="0.2">
      <c r="A386" s="1">
        <v>166638</v>
      </c>
      <c r="B386" s="1" t="s">
        <v>461</v>
      </c>
      <c r="C386" s="1" t="s">
        <v>129</v>
      </c>
      <c r="D386" s="1">
        <v>0.83779999999999999</v>
      </c>
      <c r="E386" s="1">
        <v>11512</v>
      </c>
      <c r="F386" s="1">
        <v>38125</v>
      </c>
      <c r="G386" s="1">
        <v>0.49409999999999998</v>
      </c>
      <c r="H386" s="1">
        <v>0.70409999999999995</v>
      </c>
      <c r="I386" s="1">
        <v>0.41549999999999998</v>
      </c>
      <c r="J386" s="1">
        <v>65865</v>
      </c>
      <c r="K386" s="1">
        <v>21974</v>
      </c>
      <c r="L386" s="1">
        <v>12724</v>
      </c>
      <c r="M386" s="1">
        <v>15</v>
      </c>
      <c r="N386" s="1" t="s">
        <v>28</v>
      </c>
      <c r="O386" s="1" t="s">
        <v>29</v>
      </c>
      <c r="P386" s="1" t="s">
        <v>39</v>
      </c>
      <c r="Q386" s="1" t="s">
        <v>23</v>
      </c>
      <c r="R386">
        <v>0.71520966551654752</v>
      </c>
    </row>
    <row r="387" spans="1:18" x14ac:dyDescent="0.2">
      <c r="A387" s="1">
        <v>183062</v>
      </c>
      <c r="B387" s="1" t="s">
        <v>462</v>
      </c>
      <c r="C387" s="1" t="s">
        <v>38</v>
      </c>
      <c r="D387" s="1">
        <v>0.90329999999999999</v>
      </c>
      <c r="E387" s="1">
        <v>2699</v>
      </c>
      <c r="F387" s="1">
        <v>26840</v>
      </c>
      <c r="G387" s="1">
        <v>0.60060000000000002</v>
      </c>
      <c r="H387" s="1">
        <v>0.78680000000000005</v>
      </c>
      <c r="I387" s="1">
        <v>0.2616</v>
      </c>
      <c r="J387" s="1">
        <v>54368</v>
      </c>
      <c r="K387" s="1">
        <v>25749</v>
      </c>
      <c r="L387" s="1">
        <v>10286</v>
      </c>
      <c r="M387" s="1">
        <v>17</v>
      </c>
      <c r="N387" s="1" t="s">
        <v>28</v>
      </c>
      <c r="O387" s="1" t="s">
        <v>42</v>
      </c>
      <c r="P387" s="1" t="s">
        <v>39</v>
      </c>
      <c r="Q387" s="1" t="s">
        <v>23</v>
      </c>
      <c r="R387">
        <v>0.71498282068091057</v>
      </c>
    </row>
    <row r="388" spans="1:18" x14ac:dyDescent="0.2">
      <c r="A388" s="1">
        <v>157076</v>
      </c>
      <c r="B388" s="1" t="s">
        <v>463</v>
      </c>
      <c r="C388" s="1" t="s">
        <v>104</v>
      </c>
      <c r="D388" s="1">
        <v>0.71599999999999997</v>
      </c>
      <c r="E388" s="1">
        <v>842</v>
      </c>
      <c r="F388" s="1">
        <v>34673</v>
      </c>
      <c r="G388" s="1">
        <v>0.46800000000000003</v>
      </c>
      <c r="H388" s="1">
        <v>0.52559999999999996</v>
      </c>
      <c r="I388" s="1">
        <v>0.49519999999999997</v>
      </c>
      <c r="J388" s="1">
        <v>46747</v>
      </c>
      <c r="K388" s="1">
        <v>23250</v>
      </c>
      <c r="L388" s="1">
        <v>6353</v>
      </c>
      <c r="M388" s="1">
        <v>15</v>
      </c>
      <c r="N388" s="1" t="s">
        <v>20</v>
      </c>
      <c r="O388" s="1" t="s">
        <v>29</v>
      </c>
      <c r="P388" s="1" t="s">
        <v>30</v>
      </c>
      <c r="Q388" s="1" t="s">
        <v>31</v>
      </c>
      <c r="R388">
        <v>0.71451766957732565</v>
      </c>
    </row>
    <row r="389" spans="1:18" x14ac:dyDescent="0.2">
      <c r="A389" s="1">
        <v>174899</v>
      </c>
      <c r="B389" s="1" t="s">
        <v>464</v>
      </c>
      <c r="C389" s="1" t="s">
        <v>54</v>
      </c>
      <c r="D389" s="1">
        <v>0.92959999999999998</v>
      </c>
      <c r="E389" s="1">
        <v>1765</v>
      </c>
      <c r="F389" s="1">
        <v>41778</v>
      </c>
      <c r="G389" s="1">
        <v>0.70530000000000004</v>
      </c>
      <c r="H389" s="1">
        <v>0.81840000000000002</v>
      </c>
      <c r="I389" s="1">
        <v>0.24840000000000001</v>
      </c>
      <c r="J389" s="1">
        <v>65934</v>
      </c>
      <c r="K389" s="1">
        <v>20000</v>
      </c>
      <c r="L389" s="1">
        <v>7589</v>
      </c>
      <c r="M389" s="1">
        <v>12</v>
      </c>
      <c r="N389" s="1" t="s">
        <v>20</v>
      </c>
      <c r="O389" s="1" t="s">
        <v>29</v>
      </c>
      <c r="P389" s="1" t="s">
        <v>22</v>
      </c>
      <c r="Q389" s="1" t="s">
        <v>23</v>
      </c>
      <c r="R389">
        <v>0.71427958339314312</v>
      </c>
    </row>
    <row r="390" spans="1:18" x14ac:dyDescent="0.2">
      <c r="A390" s="1">
        <v>199962</v>
      </c>
      <c r="B390" s="1" t="s">
        <v>465</v>
      </c>
      <c r="C390" s="1" t="s">
        <v>86</v>
      </c>
      <c r="D390" s="1">
        <v>0.9113</v>
      </c>
      <c r="E390" s="1">
        <v>2668</v>
      </c>
      <c r="F390" s="1">
        <v>41636</v>
      </c>
      <c r="G390" s="1">
        <v>0.46350000000000002</v>
      </c>
      <c r="H390" s="1">
        <v>0.70479999999999998</v>
      </c>
      <c r="I390" s="1">
        <v>0.44240000000000002</v>
      </c>
      <c r="J390" s="1">
        <v>52649</v>
      </c>
      <c r="K390" s="1">
        <v>25000</v>
      </c>
      <c r="L390" s="1">
        <v>8244</v>
      </c>
      <c r="M390" s="1">
        <v>15</v>
      </c>
      <c r="N390" s="1" t="s">
        <v>20</v>
      </c>
      <c r="O390" s="1" t="s">
        <v>21</v>
      </c>
      <c r="P390" s="1" t="s">
        <v>30</v>
      </c>
      <c r="Q390" s="1" t="s">
        <v>23</v>
      </c>
      <c r="R390">
        <v>0.71422849455924853</v>
      </c>
    </row>
    <row r="391" spans="1:18" x14ac:dyDescent="0.2">
      <c r="A391" s="1">
        <v>165699</v>
      </c>
      <c r="B391" s="1" t="s">
        <v>466</v>
      </c>
      <c r="C391" s="1" t="s">
        <v>129</v>
      </c>
      <c r="D391" s="1">
        <v>0.71209999999999996</v>
      </c>
      <c r="E391" s="1">
        <v>3125</v>
      </c>
      <c r="F391" s="1">
        <v>40650</v>
      </c>
      <c r="G391" s="1">
        <v>0.75560000000000005</v>
      </c>
      <c r="H391" s="1">
        <v>0.84360000000000002</v>
      </c>
      <c r="I391" s="1">
        <v>0.13</v>
      </c>
      <c r="J391" s="1">
        <v>58336</v>
      </c>
      <c r="K391" s="1">
        <v>27000</v>
      </c>
      <c r="L391" s="1">
        <v>11416</v>
      </c>
      <c r="M391" s="1">
        <v>13</v>
      </c>
      <c r="N391" s="1" t="s">
        <v>20</v>
      </c>
      <c r="O391" s="1" t="s">
        <v>21</v>
      </c>
      <c r="P391" s="1" t="s">
        <v>39</v>
      </c>
      <c r="Q391" s="1" t="s">
        <v>23</v>
      </c>
      <c r="R391">
        <v>0.71285008413352879</v>
      </c>
    </row>
    <row r="392" spans="1:18" x14ac:dyDescent="0.2">
      <c r="A392" s="1">
        <v>228769</v>
      </c>
      <c r="B392" s="1" t="s">
        <v>467</v>
      </c>
      <c r="C392" s="1" t="s">
        <v>36</v>
      </c>
      <c r="D392" s="1">
        <v>0.79900000000000004</v>
      </c>
      <c r="E392" s="1">
        <v>32294</v>
      </c>
      <c r="F392" s="1">
        <v>29582</v>
      </c>
      <c r="G392" s="1">
        <v>0.54020000000000001</v>
      </c>
      <c r="H392" s="1">
        <v>0.72940000000000005</v>
      </c>
      <c r="I392" s="1">
        <v>0.42299999999999999</v>
      </c>
      <c r="J392" s="1">
        <v>63199</v>
      </c>
      <c r="K392" s="1">
        <v>17527</v>
      </c>
      <c r="L392" s="1">
        <v>11502</v>
      </c>
      <c r="M392" s="1">
        <v>23</v>
      </c>
      <c r="N392" s="1" t="s">
        <v>28</v>
      </c>
      <c r="O392" s="1" t="s">
        <v>29</v>
      </c>
      <c r="P392" s="1" t="s">
        <v>30</v>
      </c>
      <c r="Q392" s="1" t="s">
        <v>23</v>
      </c>
      <c r="R392">
        <v>0.71139713775039215</v>
      </c>
    </row>
    <row r="393" spans="1:18" x14ac:dyDescent="0.2">
      <c r="A393" s="1">
        <v>179964</v>
      </c>
      <c r="B393" s="1" t="s">
        <v>468</v>
      </c>
      <c r="C393" s="1" t="s">
        <v>77</v>
      </c>
      <c r="D393" s="1">
        <v>0.70960000000000001</v>
      </c>
      <c r="E393" s="1">
        <v>1300</v>
      </c>
      <c r="F393" s="1">
        <v>30340</v>
      </c>
      <c r="G393" s="1">
        <v>0.46810000000000002</v>
      </c>
      <c r="H393" s="1">
        <v>0.57969999999999999</v>
      </c>
      <c r="I393" s="1">
        <v>0.34820000000000001</v>
      </c>
      <c r="J393" s="1">
        <v>42401</v>
      </c>
      <c r="K393" s="1">
        <v>21983</v>
      </c>
      <c r="L393" s="1">
        <v>5707</v>
      </c>
      <c r="M393" s="1">
        <v>16</v>
      </c>
      <c r="N393" s="1" t="s">
        <v>20</v>
      </c>
      <c r="O393" s="1" t="s">
        <v>42</v>
      </c>
      <c r="P393" s="1" t="s">
        <v>22</v>
      </c>
      <c r="Q393" s="1" t="s">
        <v>31</v>
      </c>
      <c r="R393">
        <v>0.71134758665005438</v>
      </c>
    </row>
    <row r="394" spans="1:18" x14ac:dyDescent="0.2">
      <c r="A394" s="1">
        <v>207324</v>
      </c>
      <c r="B394" s="1" t="s">
        <v>469</v>
      </c>
      <c r="C394" s="1" t="s">
        <v>224</v>
      </c>
      <c r="D394" s="1">
        <v>0.96540000000000004</v>
      </c>
      <c r="E394" s="1">
        <v>1885</v>
      </c>
      <c r="F394" s="1">
        <v>27180</v>
      </c>
      <c r="G394" s="1">
        <v>0.55510000000000004</v>
      </c>
      <c r="H394" s="1">
        <v>0.72519999999999996</v>
      </c>
      <c r="I394" s="1">
        <v>0.33019999999999999</v>
      </c>
      <c r="J394" s="1">
        <v>49203</v>
      </c>
      <c r="K394" s="1">
        <v>26000</v>
      </c>
      <c r="L394" s="1">
        <v>6798</v>
      </c>
      <c r="M394" s="1">
        <v>19</v>
      </c>
      <c r="N394" s="1" t="s">
        <v>20</v>
      </c>
      <c r="O394" s="1" t="s">
        <v>29</v>
      </c>
      <c r="P394" s="1" t="s">
        <v>30</v>
      </c>
      <c r="Q394" s="1" t="s">
        <v>31</v>
      </c>
      <c r="R394">
        <v>0.70968874385074698</v>
      </c>
    </row>
    <row r="395" spans="1:18" x14ac:dyDescent="0.2">
      <c r="A395" s="1">
        <v>173452</v>
      </c>
      <c r="B395" s="1" t="s">
        <v>470</v>
      </c>
      <c r="C395" s="1" t="s">
        <v>54</v>
      </c>
      <c r="D395" s="1">
        <v>0.87170000000000003</v>
      </c>
      <c r="E395" s="1">
        <v>725</v>
      </c>
      <c r="F395" s="1">
        <v>18120</v>
      </c>
      <c r="G395" s="1">
        <v>0.71499999999999997</v>
      </c>
      <c r="H395" s="1">
        <v>0.84670000000000001</v>
      </c>
      <c r="I395" s="1">
        <v>0.27050000000000002</v>
      </c>
      <c r="J395" s="1">
        <v>47491</v>
      </c>
      <c r="K395" s="1">
        <v>20177</v>
      </c>
      <c r="L395" s="1">
        <v>5088</v>
      </c>
      <c r="M395" s="1">
        <v>10</v>
      </c>
      <c r="N395" s="1" t="s">
        <v>20</v>
      </c>
      <c r="O395" s="1" t="s">
        <v>42</v>
      </c>
      <c r="P395" s="1" t="s">
        <v>22</v>
      </c>
      <c r="Q395" s="1" t="s">
        <v>31</v>
      </c>
      <c r="R395">
        <v>0.70941322044121324</v>
      </c>
    </row>
    <row r="396" spans="1:18" x14ac:dyDescent="0.2">
      <c r="A396" s="1">
        <v>186371</v>
      </c>
      <c r="B396" s="1" t="s">
        <v>471</v>
      </c>
      <c r="C396" s="1" t="s">
        <v>66</v>
      </c>
      <c r="D396" s="1">
        <v>0.66290000000000004</v>
      </c>
      <c r="E396" s="1">
        <v>3753</v>
      </c>
      <c r="F396" s="1">
        <v>37276</v>
      </c>
      <c r="G396" s="1">
        <v>0.66669999999999996</v>
      </c>
      <c r="H396" s="1">
        <v>0.8</v>
      </c>
      <c r="I396" s="1">
        <v>0.47710000000000002</v>
      </c>
      <c r="J396" s="1">
        <v>74479</v>
      </c>
      <c r="K396" s="1">
        <v>21500</v>
      </c>
      <c r="L396" s="1">
        <v>14127</v>
      </c>
      <c r="M396" s="1">
        <v>12</v>
      </c>
      <c r="N396" s="1" t="s">
        <v>28</v>
      </c>
      <c r="O396" s="1" t="s">
        <v>29</v>
      </c>
      <c r="P396" s="1" t="s">
        <v>39</v>
      </c>
      <c r="Q396" s="1" t="s">
        <v>23</v>
      </c>
      <c r="R396">
        <v>0.70940756703776409</v>
      </c>
    </row>
    <row r="397" spans="1:18" x14ac:dyDescent="0.2">
      <c r="A397" s="1">
        <v>147828</v>
      </c>
      <c r="B397" s="1" t="s">
        <v>472</v>
      </c>
      <c r="C397" s="1" t="s">
        <v>25</v>
      </c>
      <c r="D397" s="1">
        <v>0.55859999999999999</v>
      </c>
      <c r="E397" s="1">
        <v>2603</v>
      </c>
      <c r="F397" s="1">
        <v>38900</v>
      </c>
      <c r="G397" s="1">
        <v>0.60840000000000005</v>
      </c>
      <c r="H397" s="1">
        <v>0.70830000000000004</v>
      </c>
      <c r="I397" s="1">
        <v>0.38040000000000002</v>
      </c>
      <c r="J397" s="1">
        <v>53213</v>
      </c>
      <c r="K397" s="1">
        <v>25000</v>
      </c>
      <c r="L397" s="1">
        <v>7582</v>
      </c>
      <c r="M397" s="1">
        <v>15</v>
      </c>
      <c r="N397" s="1" t="s">
        <v>20</v>
      </c>
      <c r="O397" s="1" t="s">
        <v>21</v>
      </c>
      <c r="P397" s="1" t="s">
        <v>22</v>
      </c>
      <c r="Q397" s="1" t="s">
        <v>23</v>
      </c>
      <c r="R397">
        <v>0.70906335370299711</v>
      </c>
    </row>
    <row r="398" spans="1:18" x14ac:dyDescent="0.2">
      <c r="A398" s="1">
        <v>447953</v>
      </c>
      <c r="B398" s="1" t="s">
        <v>473</v>
      </c>
      <c r="C398" s="1" t="s">
        <v>33</v>
      </c>
      <c r="D398" s="1">
        <v>0.40679999999999999</v>
      </c>
      <c r="E398" s="1">
        <v>198</v>
      </c>
      <c r="F398" s="1">
        <v>10460</v>
      </c>
      <c r="G398" s="1">
        <v>0.84809999999999997</v>
      </c>
      <c r="H398" s="1">
        <v>0.64290000000000003</v>
      </c>
      <c r="I398" s="1">
        <v>0.44650000000000001</v>
      </c>
      <c r="J398" s="1">
        <v>35418</v>
      </c>
      <c r="K398" s="1">
        <v>26677</v>
      </c>
      <c r="L398" s="1">
        <v>5000</v>
      </c>
      <c r="M398" s="1">
        <v>18</v>
      </c>
      <c r="N398" s="1" t="s">
        <v>20</v>
      </c>
      <c r="O398" s="1" t="s">
        <v>21</v>
      </c>
      <c r="P398" s="1" t="s">
        <v>22</v>
      </c>
      <c r="Q398" s="1" t="s">
        <v>31</v>
      </c>
      <c r="R398">
        <v>0.70896302411043943</v>
      </c>
    </row>
    <row r="399" spans="1:18" x14ac:dyDescent="0.2">
      <c r="A399" s="1">
        <v>217633</v>
      </c>
      <c r="B399" s="1" t="s">
        <v>474</v>
      </c>
      <c r="C399" s="1" t="s">
        <v>155</v>
      </c>
      <c r="D399" s="1">
        <v>0.54710000000000003</v>
      </c>
      <c r="E399" s="1">
        <v>3183</v>
      </c>
      <c r="F399" s="1">
        <v>34970</v>
      </c>
      <c r="G399" s="1">
        <v>0.65680000000000005</v>
      </c>
      <c r="H399" s="1">
        <v>0.81859999999999999</v>
      </c>
      <c r="I399" s="1">
        <v>0.2077</v>
      </c>
      <c r="J399" s="1">
        <v>42101</v>
      </c>
      <c r="K399" s="1">
        <v>26700</v>
      </c>
      <c r="L399" s="1">
        <v>7635</v>
      </c>
      <c r="M399" s="1">
        <v>13</v>
      </c>
      <c r="N399" s="1" t="s">
        <v>20</v>
      </c>
      <c r="O399" s="1" t="s">
        <v>29</v>
      </c>
      <c r="P399" s="1" t="s">
        <v>30</v>
      </c>
      <c r="Q399" s="1" t="s">
        <v>31</v>
      </c>
      <c r="R399">
        <v>0.70849482182131707</v>
      </c>
    </row>
    <row r="400" spans="1:18" x14ac:dyDescent="0.2">
      <c r="A400" s="1">
        <v>196237</v>
      </c>
      <c r="B400" s="1" t="s">
        <v>475</v>
      </c>
      <c r="C400" s="1" t="s">
        <v>58</v>
      </c>
      <c r="D400" s="1">
        <v>0.83630000000000004</v>
      </c>
      <c r="E400" s="1">
        <v>4162</v>
      </c>
      <c r="F400" s="1">
        <v>18842</v>
      </c>
      <c r="G400" s="1">
        <v>0.44569999999999999</v>
      </c>
      <c r="H400" s="1">
        <v>0.7177</v>
      </c>
      <c r="I400" s="1">
        <v>0.49270000000000003</v>
      </c>
      <c r="J400" s="1">
        <v>58526</v>
      </c>
      <c r="K400" s="1">
        <v>14997</v>
      </c>
      <c r="L400" s="1">
        <v>10290</v>
      </c>
      <c r="M400" s="1">
        <v>17</v>
      </c>
      <c r="N400" s="1" t="s">
        <v>28</v>
      </c>
      <c r="O400" s="1" t="s">
        <v>21</v>
      </c>
      <c r="P400" s="1" t="s">
        <v>39</v>
      </c>
      <c r="Q400" s="1" t="s">
        <v>23</v>
      </c>
      <c r="R400">
        <v>0.70733401530714024</v>
      </c>
    </row>
    <row r="401" spans="1:18" x14ac:dyDescent="0.2">
      <c r="A401" s="1">
        <v>178615</v>
      </c>
      <c r="B401" s="1" t="s">
        <v>476</v>
      </c>
      <c r="C401" s="1" t="s">
        <v>77</v>
      </c>
      <c r="D401" s="1">
        <v>0.8377</v>
      </c>
      <c r="E401" s="1">
        <v>2513</v>
      </c>
      <c r="F401" s="1">
        <v>18566</v>
      </c>
      <c r="G401" s="1">
        <v>0.68530000000000002</v>
      </c>
      <c r="H401" s="1">
        <v>0.84740000000000004</v>
      </c>
      <c r="I401" s="1">
        <v>0.16539999999999999</v>
      </c>
      <c r="J401" s="1">
        <v>56280</v>
      </c>
      <c r="K401" s="1">
        <v>21000</v>
      </c>
      <c r="L401" s="1">
        <v>7584</v>
      </c>
      <c r="M401" s="1">
        <v>12</v>
      </c>
      <c r="N401" s="1" t="s">
        <v>28</v>
      </c>
      <c r="O401" s="1" t="s">
        <v>42</v>
      </c>
      <c r="P401" s="1" t="s">
        <v>22</v>
      </c>
      <c r="Q401" s="1" t="s">
        <v>23</v>
      </c>
      <c r="R401">
        <v>0.70699785574401652</v>
      </c>
    </row>
    <row r="402" spans="1:18" x14ac:dyDescent="0.2">
      <c r="A402" s="1">
        <v>240189</v>
      </c>
      <c r="B402" s="1" t="s">
        <v>477</v>
      </c>
      <c r="C402" s="1" t="s">
        <v>50</v>
      </c>
      <c r="D402" s="1">
        <v>0.85719999999999996</v>
      </c>
      <c r="E402" s="1">
        <v>9405</v>
      </c>
      <c r="F402" s="1">
        <v>18716</v>
      </c>
      <c r="G402" s="1">
        <v>0.58899999999999997</v>
      </c>
      <c r="H402" s="1">
        <v>0.78039999999999998</v>
      </c>
      <c r="I402" s="1">
        <v>0.25169999999999998</v>
      </c>
      <c r="J402" s="1">
        <v>55356</v>
      </c>
      <c r="K402" s="1">
        <v>23188</v>
      </c>
      <c r="L402" s="1">
        <v>9017</v>
      </c>
      <c r="M402" s="1">
        <v>21</v>
      </c>
      <c r="N402" s="1" t="s">
        <v>28</v>
      </c>
      <c r="O402" s="1" t="s">
        <v>42</v>
      </c>
      <c r="P402" s="1" t="s">
        <v>22</v>
      </c>
      <c r="Q402" s="1" t="s">
        <v>23</v>
      </c>
      <c r="R402">
        <v>0.70645593290209996</v>
      </c>
    </row>
    <row r="403" spans="1:18" x14ac:dyDescent="0.2">
      <c r="A403" s="1">
        <v>207306</v>
      </c>
      <c r="B403" s="1" t="s">
        <v>478</v>
      </c>
      <c r="C403" s="1" t="s">
        <v>224</v>
      </c>
      <c r="D403" s="1">
        <v>0.65449999999999997</v>
      </c>
      <c r="E403" s="1">
        <v>1498</v>
      </c>
      <c r="F403" s="1">
        <v>11664</v>
      </c>
      <c r="G403" s="1">
        <v>0.30349999999999999</v>
      </c>
      <c r="H403" s="1">
        <v>0.65069999999999995</v>
      </c>
      <c r="I403" s="1">
        <v>0.41420000000000001</v>
      </c>
      <c r="J403" s="1">
        <v>44358</v>
      </c>
      <c r="K403" s="1">
        <v>17355</v>
      </c>
      <c r="L403" s="1">
        <v>7182</v>
      </c>
      <c r="M403" s="1">
        <v>15</v>
      </c>
      <c r="N403" s="1" t="s">
        <v>28</v>
      </c>
      <c r="O403" s="1" t="s">
        <v>42</v>
      </c>
      <c r="P403" s="1" t="s">
        <v>30</v>
      </c>
      <c r="Q403" s="1" t="s">
        <v>31</v>
      </c>
      <c r="R403">
        <v>0.70597586440045468</v>
      </c>
    </row>
    <row r="404" spans="1:18" x14ac:dyDescent="0.2">
      <c r="A404" s="1">
        <v>218742</v>
      </c>
      <c r="B404" s="1" t="s">
        <v>479</v>
      </c>
      <c r="C404" s="1" t="s">
        <v>155</v>
      </c>
      <c r="D404" s="1">
        <v>0.67259999999999998</v>
      </c>
      <c r="E404" s="1">
        <v>4038</v>
      </c>
      <c r="F404" s="1">
        <v>23090</v>
      </c>
      <c r="G404" s="1">
        <v>0.4304</v>
      </c>
      <c r="H404" s="1">
        <v>0.69850000000000001</v>
      </c>
      <c r="I404" s="1">
        <v>0.46189999999999998</v>
      </c>
      <c r="J404" s="1">
        <v>48587</v>
      </c>
      <c r="K404" s="1">
        <v>22310</v>
      </c>
      <c r="L404" s="1">
        <v>8412</v>
      </c>
      <c r="M404" s="1">
        <v>15</v>
      </c>
      <c r="N404" s="1" t="s">
        <v>28</v>
      </c>
      <c r="O404" s="1" t="s">
        <v>21</v>
      </c>
      <c r="P404" s="1" t="s">
        <v>30</v>
      </c>
      <c r="Q404" s="1" t="s">
        <v>31</v>
      </c>
      <c r="R404">
        <v>0.70540104015962501</v>
      </c>
    </row>
    <row r="405" spans="1:18" x14ac:dyDescent="0.2">
      <c r="A405" s="1">
        <v>149222</v>
      </c>
      <c r="B405" s="1" t="s">
        <v>480</v>
      </c>
      <c r="C405" s="1" t="s">
        <v>25</v>
      </c>
      <c r="D405" s="1">
        <v>0.86880000000000002</v>
      </c>
      <c r="E405" s="1">
        <v>8494</v>
      </c>
      <c r="F405" s="1">
        <v>13334</v>
      </c>
      <c r="G405" s="1">
        <v>0.62409999999999999</v>
      </c>
      <c r="H405" s="1">
        <v>0.66800000000000004</v>
      </c>
      <c r="I405" s="1">
        <v>0.38829999999999998</v>
      </c>
      <c r="J405" s="1">
        <v>53390</v>
      </c>
      <c r="K405" s="1">
        <v>21543</v>
      </c>
      <c r="L405" s="1">
        <v>8501</v>
      </c>
      <c r="M405" s="1">
        <v>11</v>
      </c>
      <c r="N405" s="1" t="s">
        <v>28</v>
      </c>
      <c r="O405" s="1" t="s">
        <v>42</v>
      </c>
      <c r="P405" s="1" t="s">
        <v>22</v>
      </c>
      <c r="Q405" s="1" t="s">
        <v>23</v>
      </c>
      <c r="R405">
        <v>0.70524301764689645</v>
      </c>
    </row>
    <row r="406" spans="1:18" x14ac:dyDescent="0.2">
      <c r="A406" s="1">
        <v>195474</v>
      </c>
      <c r="B406" s="1" t="s">
        <v>481</v>
      </c>
      <c r="C406" s="1" t="s">
        <v>58</v>
      </c>
      <c r="D406" s="1">
        <v>0.69020000000000004</v>
      </c>
      <c r="E406" s="1">
        <v>3409</v>
      </c>
      <c r="F406" s="1">
        <v>46580</v>
      </c>
      <c r="G406" s="1">
        <v>0.74729999999999996</v>
      </c>
      <c r="H406" s="1">
        <v>0.82689999999999997</v>
      </c>
      <c r="I406" s="1">
        <v>0.24490000000000001</v>
      </c>
      <c r="J406" s="1">
        <v>76079</v>
      </c>
      <c r="K406" s="1">
        <v>26561</v>
      </c>
      <c r="L406" s="1">
        <v>9661</v>
      </c>
      <c r="M406" s="1">
        <v>12</v>
      </c>
      <c r="N406" s="1" t="s">
        <v>20</v>
      </c>
      <c r="O406" s="1" t="s">
        <v>21</v>
      </c>
      <c r="P406" s="1" t="s">
        <v>39</v>
      </c>
      <c r="Q406" s="1" t="s">
        <v>23</v>
      </c>
      <c r="R406">
        <v>0.70512645274690422</v>
      </c>
    </row>
    <row r="407" spans="1:18" x14ac:dyDescent="0.2">
      <c r="A407" s="1">
        <v>166692</v>
      </c>
      <c r="B407" s="1" t="s">
        <v>482</v>
      </c>
      <c r="C407" s="1" t="s">
        <v>129</v>
      </c>
      <c r="D407" s="1">
        <v>0.94699999999999995</v>
      </c>
      <c r="E407" s="1">
        <v>1395</v>
      </c>
      <c r="F407" s="1">
        <v>23722</v>
      </c>
      <c r="G407" s="1">
        <v>0.74060000000000004</v>
      </c>
      <c r="H407" s="1">
        <v>0.86799999999999999</v>
      </c>
      <c r="I407" s="1">
        <v>0.18959999999999999</v>
      </c>
      <c r="J407" s="1">
        <v>82392</v>
      </c>
      <c r="K407" s="1">
        <v>25000</v>
      </c>
      <c r="L407" s="1">
        <v>10073</v>
      </c>
      <c r="M407" s="1">
        <v>13</v>
      </c>
      <c r="N407" s="1" t="s">
        <v>28</v>
      </c>
      <c r="O407" s="1" t="s">
        <v>21</v>
      </c>
      <c r="P407" s="1" t="s">
        <v>39</v>
      </c>
      <c r="Q407" s="1" t="s">
        <v>23</v>
      </c>
      <c r="R407">
        <v>0.70419333598405665</v>
      </c>
    </row>
    <row r="408" spans="1:18" x14ac:dyDescent="0.2">
      <c r="A408" s="1">
        <v>203535</v>
      </c>
      <c r="B408" s="1" t="s">
        <v>483</v>
      </c>
      <c r="C408" s="1" t="s">
        <v>19</v>
      </c>
      <c r="D408" s="1">
        <v>0.31030000000000002</v>
      </c>
      <c r="E408" s="1">
        <v>1732</v>
      </c>
      <c r="F408" s="1">
        <v>71520</v>
      </c>
      <c r="G408" s="1">
        <v>0.82340000000000002</v>
      </c>
      <c r="H408" s="1">
        <v>0.9163</v>
      </c>
      <c r="I408" s="1">
        <v>9.5200000000000007E-2</v>
      </c>
      <c r="J408" s="1">
        <v>71830</v>
      </c>
      <c r="K408" s="1">
        <v>18527</v>
      </c>
      <c r="L408" s="1">
        <v>9767</v>
      </c>
      <c r="M408" s="1">
        <v>9</v>
      </c>
      <c r="N408" s="1" t="s">
        <v>20</v>
      </c>
      <c r="O408" s="1" t="s">
        <v>42</v>
      </c>
      <c r="P408" s="1" t="s">
        <v>22</v>
      </c>
      <c r="Q408" s="1" t="s">
        <v>23</v>
      </c>
      <c r="R408">
        <v>0.7041800794037204</v>
      </c>
    </row>
    <row r="409" spans="1:18" x14ac:dyDescent="0.2">
      <c r="A409" s="1">
        <v>190600</v>
      </c>
      <c r="B409" s="1" t="s">
        <v>484</v>
      </c>
      <c r="C409" s="1" t="s">
        <v>58</v>
      </c>
      <c r="D409" s="1">
        <v>0.57110000000000005</v>
      </c>
      <c r="E409" s="1">
        <v>11590</v>
      </c>
      <c r="F409" s="1">
        <v>15420</v>
      </c>
      <c r="G409" s="1">
        <v>0.55830000000000002</v>
      </c>
      <c r="H409" s="1">
        <v>0.81599999999999995</v>
      </c>
      <c r="I409" s="1">
        <v>0.59789999999999999</v>
      </c>
      <c r="J409" s="1">
        <v>56195</v>
      </c>
      <c r="K409" s="1">
        <v>11000</v>
      </c>
      <c r="L409" s="1">
        <v>12169</v>
      </c>
      <c r="M409" s="1">
        <v>16</v>
      </c>
      <c r="N409" s="1" t="s">
        <v>28</v>
      </c>
      <c r="O409" s="1" t="s">
        <v>29</v>
      </c>
      <c r="P409" s="1" t="s">
        <v>39</v>
      </c>
      <c r="Q409" s="1" t="s">
        <v>23</v>
      </c>
      <c r="R409">
        <v>0.70390474079846421</v>
      </c>
    </row>
    <row r="410" spans="1:18" x14ac:dyDescent="0.2">
      <c r="A410" s="1">
        <v>122931</v>
      </c>
      <c r="B410" s="1" t="s">
        <v>485</v>
      </c>
      <c r="C410" s="1" t="s">
        <v>33</v>
      </c>
      <c r="D410" s="1">
        <v>0.48</v>
      </c>
      <c r="E410" s="1">
        <v>6552</v>
      </c>
      <c r="F410" s="1">
        <v>61293</v>
      </c>
      <c r="G410" s="1">
        <v>0.87919999999999998</v>
      </c>
      <c r="H410" s="1">
        <v>0.93920000000000003</v>
      </c>
      <c r="I410" s="1">
        <v>0.11269999999999999</v>
      </c>
      <c r="J410" s="1">
        <v>109183</v>
      </c>
      <c r="K410" s="1">
        <v>19162</v>
      </c>
      <c r="L410" s="1">
        <v>14682</v>
      </c>
      <c r="M410" s="1">
        <v>11</v>
      </c>
      <c r="N410" s="1" t="s">
        <v>20</v>
      </c>
      <c r="O410" s="1" t="s">
        <v>29</v>
      </c>
      <c r="P410" s="1" t="s">
        <v>22</v>
      </c>
      <c r="Q410" s="1" t="s">
        <v>23</v>
      </c>
      <c r="R410">
        <v>0.7035316007832858</v>
      </c>
    </row>
    <row r="411" spans="1:18" x14ac:dyDescent="0.2">
      <c r="A411" s="1">
        <v>110556</v>
      </c>
      <c r="B411" s="1" t="s">
        <v>486</v>
      </c>
      <c r="C411" s="1" t="s">
        <v>33</v>
      </c>
      <c r="D411" s="1">
        <v>0.9526</v>
      </c>
      <c r="E411" s="1">
        <v>21605</v>
      </c>
      <c r="F411" s="1">
        <v>19950</v>
      </c>
      <c r="G411" s="1">
        <v>0.5696</v>
      </c>
      <c r="H411" s="1">
        <v>0.81569999999999998</v>
      </c>
      <c r="I411" s="1">
        <v>0.56969999999999998</v>
      </c>
      <c r="J411" s="1">
        <v>61244</v>
      </c>
      <c r="K411" s="1">
        <v>14505</v>
      </c>
      <c r="L411" s="1">
        <v>11540</v>
      </c>
      <c r="M411" s="1">
        <v>22</v>
      </c>
      <c r="N411" s="1" t="s">
        <v>28</v>
      </c>
      <c r="O411" s="1" t="s">
        <v>29</v>
      </c>
      <c r="P411" s="1" t="s">
        <v>22</v>
      </c>
      <c r="Q411" s="1" t="s">
        <v>23</v>
      </c>
      <c r="R411">
        <v>0.70348070364127757</v>
      </c>
    </row>
    <row r="412" spans="1:18" x14ac:dyDescent="0.2">
      <c r="A412" s="1">
        <v>214157</v>
      </c>
      <c r="B412" s="1" t="s">
        <v>487</v>
      </c>
      <c r="C412" s="1" t="s">
        <v>98</v>
      </c>
      <c r="D412" s="1">
        <v>0.54169999999999996</v>
      </c>
      <c r="E412" s="1">
        <v>1949</v>
      </c>
      <c r="F412" s="1">
        <v>53500</v>
      </c>
      <c r="G412" s="1">
        <v>0.71689999999999998</v>
      </c>
      <c r="H412" s="1">
        <v>0.79169999999999996</v>
      </c>
      <c r="I412" s="1">
        <v>0.31900000000000001</v>
      </c>
      <c r="J412" s="1">
        <v>61860</v>
      </c>
      <c r="K412" s="1">
        <v>26793</v>
      </c>
      <c r="L412" s="1">
        <v>8295</v>
      </c>
      <c r="M412" s="1">
        <v>10</v>
      </c>
      <c r="N412" s="1" t="s">
        <v>20</v>
      </c>
      <c r="O412" s="1" t="s">
        <v>29</v>
      </c>
      <c r="P412" s="1" t="s">
        <v>39</v>
      </c>
      <c r="Q412" s="1" t="s">
        <v>23</v>
      </c>
      <c r="R412">
        <v>0.70305152758277201</v>
      </c>
    </row>
    <row r="413" spans="1:18" x14ac:dyDescent="0.2">
      <c r="A413" s="1">
        <v>167598</v>
      </c>
      <c r="B413" s="1" t="s">
        <v>488</v>
      </c>
      <c r="C413" s="1" t="s">
        <v>129</v>
      </c>
      <c r="D413" s="1">
        <v>0.69779999999999998</v>
      </c>
      <c r="E413" s="1">
        <v>956</v>
      </c>
      <c r="F413" s="1">
        <v>49680</v>
      </c>
      <c r="G413" s="1">
        <v>0.72170000000000001</v>
      </c>
      <c r="H413" s="1">
        <v>0.78949999999999998</v>
      </c>
      <c r="I413" s="1">
        <v>0.31009999999999999</v>
      </c>
      <c r="J413" s="1">
        <v>52873</v>
      </c>
      <c r="K413" s="1">
        <v>25500</v>
      </c>
      <c r="L413" s="1">
        <v>9009</v>
      </c>
      <c r="M413" s="1">
        <v>9</v>
      </c>
      <c r="N413" s="1" t="s">
        <v>20</v>
      </c>
      <c r="O413" s="1" t="s">
        <v>21</v>
      </c>
      <c r="P413" s="1" t="s">
        <v>39</v>
      </c>
      <c r="Q413" s="1" t="s">
        <v>23</v>
      </c>
      <c r="R413">
        <v>0.70169487004183517</v>
      </c>
    </row>
    <row r="414" spans="1:18" x14ac:dyDescent="0.2">
      <c r="A414" s="1">
        <v>212911</v>
      </c>
      <c r="B414" s="1" t="s">
        <v>489</v>
      </c>
      <c r="C414" s="1" t="s">
        <v>98</v>
      </c>
      <c r="D414" s="1">
        <v>0.1237</v>
      </c>
      <c r="E414" s="1">
        <v>1430</v>
      </c>
      <c r="F414" s="1">
        <v>70688</v>
      </c>
      <c r="G414" s="1">
        <v>0.89639999999999997</v>
      </c>
      <c r="H414" s="1">
        <v>0.93830000000000002</v>
      </c>
      <c r="I414" s="1">
        <v>0.1545</v>
      </c>
      <c r="J414" s="1">
        <v>79966</v>
      </c>
      <c r="K414" s="1">
        <v>13621</v>
      </c>
      <c r="L414" s="1">
        <v>11785</v>
      </c>
      <c r="M414" s="1">
        <v>8</v>
      </c>
      <c r="N414" s="1" t="s">
        <v>20</v>
      </c>
      <c r="O414" s="1" t="s">
        <v>21</v>
      </c>
      <c r="P414" s="1" t="s">
        <v>39</v>
      </c>
      <c r="Q414" s="1" t="s">
        <v>23</v>
      </c>
      <c r="R414">
        <v>0.70167087881451506</v>
      </c>
    </row>
    <row r="415" spans="1:18" x14ac:dyDescent="0.2">
      <c r="A415" s="1">
        <v>178396</v>
      </c>
      <c r="B415" s="1" t="s">
        <v>490</v>
      </c>
      <c r="C415" s="1" t="s">
        <v>77</v>
      </c>
      <c r="D415" s="1">
        <v>0.78469999999999995</v>
      </c>
      <c r="E415" s="1">
        <v>23929</v>
      </c>
      <c r="F415" s="1">
        <v>36056</v>
      </c>
      <c r="G415" s="1">
        <v>0.74939999999999996</v>
      </c>
      <c r="H415" s="1">
        <v>0.92679999999999996</v>
      </c>
      <c r="I415" s="1">
        <v>0.20069999999999999</v>
      </c>
      <c r="J415" s="1">
        <v>63403</v>
      </c>
      <c r="K415" s="1">
        <v>20500</v>
      </c>
      <c r="L415" s="1">
        <v>11563</v>
      </c>
      <c r="M415" s="1">
        <v>17</v>
      </c>
      <c r="N415" s="1" t="s">
        <v>28</v>
      </c>
      <c r="O415" s="1" t="s">
        <v>29</v>
      </c>
      <c r="P415" s="1" t="s">
        <v>22</v>
      </c>
      <c r="Q415" s="1" t="s">
        <v>23</v>
      </c>
      <c r="R415">
        <v>0.70142392100661122</v>
      </c>
    </row>
    <row r="416" spans="1:18" x14ac:dyDescent="0.2">
      <c r="A416" s="1">
        <v>131159</v>
      </c>
      <c r="B416" s="1" t="s">
        <v>491</v>
      </c>
      <c r="C416" s="1" t="s">
        <v>84</v>
      </c>
      <c r="D416" s="1">
        <v>0.61960000000000004</v>
      </c>
      <c r="E416" s="1">
        <v>7266</v>
      </c>
      <c r="F416" s="1">
        <v>58771</v>
      </c>
      <c r="G416" s="1">
        <v>0.75490000000000002</v>
      </c>
      <c r="H416" s="1">
        <v>0.88200000000000001</v>
      </c>
      <c r="I416" s="1">
        <v>0.13880000000000001</v>
      </c>
      <c r="J416" s="1">
        <v>77370</v>
      </c>
      <c r="K416" s="1">
        <v>22750</v>
      </c>
      <c r="L416" s="1">
        <v>13722</v>
      </c>
      <c r="M416" s="1">
        <v>10</v>
      </c>
      <c r="N416" s="1" t="s">
        <v>20</v>
      </c>
      <c r="O416" s="1" t="s">
        <v>29</v>
      </c>
      <c r="P416" s="1" t="s">
        <v>30</v>
      </c>
      <c r="Q416" s="1" t="s">
        <v>23</v>
      </c>
      <c r="R416">
        <v>0.70117577914707263</v>
      </c>
    </row>
    <row r="417" spans="1:18" x14ac:dyDescent="0.2">
      <c r="A417" s="1">
        <v>175856</v>
      </c>
      <c r="B417" s="1" t="s">
        <v>492</v>
      </c>
      <c r="C417" s="1" t="s">
        <v>169</v>
      </c>
      <c r="D417" s="1">
        <v>0.93149999999999999</v>
      </c>
      <c r="E417" s="1">
        <v>4600</v>
      </c>
      <c r="F417" s="1">
        <v>11965</v>
      </c>
      <c r="G417" s="1">
        <v>0.5091</v>
      </c>
      <c r="H417" s="1">
        <v>0.62350000000000005</v>
      </c>
      <c r="I417" s="1">
        <v>0.72319999999999995</v>
      </c>
      <c r="J417" s="1">
        <v>39060</v>
      </c>
      <c r="K417" s="1">
        <v>30470</v>
      </c>
      <c r="L417" s="1">
        <v>7988</v>
      </c>
      <c r="M417" s="1">
        <v>14</v>
      </c>
      <c r="N417" s="1" t="s">
        <v>28</v>
      </c>
      <c r="O417" s="1" t="s">
        <v>29</v>
      </c>
      <c r="P417" s="1" t="s">
        <v>30</v>
      </c>
      <c r="Q417" s="1" t="s">
        <v>31</v>
      </c>
      <c r="R417">
        <v>0.70058326397346915</v>
      </c>
    </row>
    <row r="418" spans="1:18" x14ac:dyDescent="0.2">
      <c r="A418" s="1">
        <v>155937</v>
      </c>
      <c r="B418" s="1" t="s">
        <v>450</v>
      </c>
      <c r="C418" s="1" t="s">
        <v>56</v>
      </c>
      <c r="D418" s="1">
        <v>0.48170000000000002</v>
      </c>
      <c r="E418" s="1">
        <v>538</v>
      </c>
      <c r="F418" s="1">
        <v>33700</v>
      </c>
      <c r="G418" s="1">
        <v>0.41289999999999999</v>
      </c>
      <c r="H418" s="1">
        <v>0.50349999999999995</v>
      </c>
      <c r="I418" s="1">
        <v>0.37059999999999998</v>
      </c>
      <c r="J418" s="1">
        <v>45846</v>
      </c>
      <c r="K418" s="1">
        <v>24625</v>
      </c>
      <c r="L418" s="1">
        <v>4904</v>
      </c>
      <c r="M418" s="1">
        <v>8</v>
      </c>
      <c r="N418" s="1" t="s">
        <v>20</v>
      </c>
      <c r="O418" s="1" t="s">
        <v>42</v>
      </c>
      <c r="P418" s="1" t="s">
        <v>22</v>
      </c>
      <c r="Q418" s="1" t="s">
        <v>31</v>
      </c>
      <c r="R418">
        <v>0.69908607702143455</v>
      </c>
    </row>
    <row r="419" spans="1:18" x14ac:dyDescent="0.2">
      <c r="A419" s="1">
        <v>228802</v>
      </c>
      <c r="B419" s="1" t="s">
        <v>493</v>
      </c>
      <c r="C419" s="1" t="s">
        <v>36</v>
      </c>
      <c r="D419" s="1">
        <v>0.94020000000000004</v>
      </c>
      <c r="E419" s="1">
        <v>7440</v>
      </c>
      <c r="F419" s="1">
        <v>25494</v>
      </c>
      <c r="G419" s="1">
        <v>0.5413</v>
      </c>
      <c r="H419" s="1">
        <v>0.76780000000000004</v>
      </c>
      <c r="I419" s="1">
        <v>0.39739999999999998</v>
      </c>
      <c r="J419" s="1">
        <v>57053</v>
      </c>
      <c r="K419" s="1">
        <v>17137</v>
      </c>
      <c r="L419" s="1">
        <v>10385</v>
      </c>
      <c r="M419" s="1">
        <v>17</v>
      </c>
      <c r="N419" s="1" t="s">
        <v>28</v>
      </c>
      <c r="O419" s="1" t="s">
        <v>29</v>
      </c>
      <c r="P419" s="1" t="s">
        <v>30</v>
      </c>
      <c r="Q419" s="1" t="s">
        <v>23</v>
      </c>
      <c r="R419">
        <v>0.69873255714281246</v>
      </c>
    </row>
    <row r="420" spans="1:18" x14ac:dyDescent="0.2">
      <c r="A420" s="1">
        <v>182795</v>
      </c>
      <c r="B420" s="1" t="s">
        <v>494</v>
      </c>
      <c r="C420" s="1" t="s">
        <v>38</v>
      </c>
      <c r="D420" s="1">
        <v>0.93469999999999998</v>
      </c>
      <c r="E420" s="1">
        <v>992</v>
      </c>
      <c r="F420" s="1">
        <v>46442</v>
      </c>
      <c r="G420" s="1">
        <v>0.53510000000000002</v>
      </c>
      <c r="H420" s="1">
        <v>0.74339999999999995</v>
      </c>
      <c r="I420" s="1">
        <v>0.29299999999999998</v>
      </c>
      <c r="J420" s="1">
        <v>53353</v>
      </c>
      <c r="K420" s="1">
        <v>27000</v>
      </c>
      <c r="L420" s="1">
        <v>8428</v>
      </c>
      <c r="M420" s="1">
        <v>13</v>
      </c>
      <c r="N420" s="1" t="s">
        <v>20</v>
      </c>
      <c r="O420" s="1" t="s">
        <v>42</v>
      </c>
      <c r="P420" s="1" t="s">
        <v>39</v>
      </c>
      <c r="Q420" s="1" t="s">
        <v>23</v>
      </c>
      <c r="R420">
        <v>0.69640733303825564</v>
      </c>
    </row>
    <row r="421" spans="1:18" x14ac:dyDescent="0.2">
      <c r="A421" s="1">
        <v>228875</v>
      </c>
      <c r="B421" s="1" t="s">
        <v>495</v>
      </c>
      <c r="C421" s="1" t="s">
        <v>36</v>
      </c>
      <c r="D421" s="1">
        <v>0.44490000000000002</v>
      </c>
      <c r="E421" s="1">
        <v>11026</v>
      </c>
      <c r="F421" s="1">
        <v>61740</v>
      </c>
      <c r="G421" s="1">
        <v>0.85509999999999997</v>
      </c>
      <c r="H421" s="1">
        <v>0.92869999999999997</v>
      </c>
      <c r="I421" s="1">
        <v>0.14319999999999999</v>
      </c>
      <c r="J421" s="1">
        <v>68424</v>
      </c>
      <c r="K421" s="1">
        <v>21500</v>
      </c>
      <c r="L421" s="1">
        <v>13971</v>
      </c>
      <c r="M421" s="1">
        <v>14</v>
      </c>
      <c r="N421" s="1" t="s">
        <v>20</v>
      </c>
      <c r="O421" s="1" t="s">
        <v>29</v>
      </c>
      <c r="P421" s="1" t="s">
        <v>30</v>
      </c>
      <c r="Q421" s="1" t="s">
        <v>23</v>
      </c>
      <c r="R421">
        <v>0.69506541032298641</v>
      </c>
    </row>
    <row r="422" spans="1:18" x14ac:dyDescent="0.2">
      <c r="A422" s="1">
        <v>169080</v>
      </c>
      <c r="B422" s="1" t="s">
        <v>496</v>
      </c>
      <c r="C422" s="1" t="s">
        <v>109</v>
      </c>
      <c r="D422" s="1">
        <v>0.70909999999999995</v>
      </c>
      <c r="E422" s="1">
        <v>3193</v>
      </c>
      <c r="F422" s="1">
        <v>39350</v>
      </c>
      <c r="G422" s="1">
        <v>0.74060000000000004</v>
      </c>
      <c r="H422" s="1">
        <v>0.86760000000000004</v>
      </c>
      <c r="I422" s="1">
        <v>0.17430000000000001</v>
      </c>
      <c r="J422" s="1">
        <v>58375</v>
      </c>
      <c r="K422" s="1">
        <v>23250</v>
      </c>
      <c r="L422" s="1">
        <v>9559</v>
      </c>
      <c r="M422" s="1">
        <v>13</v>
      </c>
      <c r="N422" s="1" t="s">
        <v>20</v>
      </c>
      <c r="O422" s="1" t="s">
        <v>29</v>
      </c>
      <c r="P422" s="1" t="s">
        <v>22</v>
      </c>
      <c r="Q422" s="1" t="s">
        <v>23</v>
      </c>
      <c r="R422">
        <v>0.69426609612813406</v>
      </c>
    </row>
    <row r="423" spans="1:18" x14ac:dyDescent="0.2">
      <c r="A423" s="1">
        <v>197151</v>
      </c>
      <c r="B423" s="1" t="s">
        <v>497</v>
      </c>
      <c r="C423" s="1" t="s">
        <v>58</v>
      </c>
      <c r="D423" s="1">
        <v>0.9264</v>
      </c>
      <c r="E423" s="1">
        <v>3244</v>
      </c>
      <c r="F423" s="1">
        <v>51400</v>
      </c>
      <c r="G423" s="1">
        <v>0.75680000000000003</v>
      </c>
      <c r="H423" s="1">
        <v>0.8548</v>
      </c>
      <c r="I423" s="1">
        <v>0.15570000000000001</v>
      </c>
      <c r="J423" s="1">
        <v>46459</v>
      </c>
      <c r="K423" s="1">
        <v>27000</v>
      </c>
      <c r="L423" s="1">
        <v>4435</v>
      </c>
      <c r="M423" s="1">
        <v>9</v>
      </c>
      <c r="N423" s="1" t="s">
        <v>142</v>
      </c>
      <c r="O423" s="1" t="s">
        <v>29</v>
      </c>
      <c r="P423" s="1" t="s">
        <v>39</v>
      </c>
      <c r="Q423" s="1" t="s">
        <v>31</v>
      </c>
      <c r="R423">
        <v>0.6938224443709794</v>
      </c>
    </row>
    <row r="424" spans="1:18" x14ac:dyDescent="0.2">
      <c r="A424" s="1">
        <v>232308</v>
      </c>
      <c r="B424" s="1" t="s">
        <v>498</v>
      </c>
      <c r="C424" s="1" t="s">
        <v>52</v>
      </c>
      <c r="D424" s="1">
        <v>0.67949999999999999</v>
      </c>
      <c r="E424" s="1">
        <v>665</v>
      </c>
      <c r="F424" s="1">
        <v>43560</v>
      </c>
      <c r="G424" s="1">
        <v>0.64649999999999996</v>
      </c>
      <c r="H424" s="1">
        <v>0.73960000000000004</v>
      </c>
      <c r="I424" s="1">
        <v>0.39439999999999997</v>
      </c>
      <c r="J424" s="1">
        <v>40075</v>
      </c>
      <c r="K424" s="1">
        <v>27000</v>
      </c>
      <c r="L424" s="1">
        <v>7276</v>
      </c>
      <c r="M424" s="1">
        <v>8</v>
      </c>
      <c r="N424" s="1" t="s">
        <v>20</v>
      </c>
      <c r="O424" s="1" t="s">
        <v>21</v>
      </c>
      <c r="P424" s="1" t="s">
        <v>30</v>
      </c>
      <c r="Q424" s="1" t="s">
        <v>31</v>
      </c>
      <c r="R424">
        <v>0.69373632188162193</v>
      </c>
    </row>
    <row r="425" spans="1:18" x14ac:dyDescent="0.2">
      <c r="A425" s="1">
        <v>161563</v>
      </c>
      <c r="B425" s="1" t="s">
        <v>499</v>
      </c>
      <c r="C425" s="1" t="s">
        <v>74</v>
      </c>
      <c r="D425" s="1">
        <v>0.96299999999999997</v>
      </c>
      <c r="E425" s="1">
        <v>647</v>
      </c>
      <c r="F425" s="1">
        <v>31824</v>
      </c>
      <c r="G425" s="1">
        <v>0.53690000000000004</v>
      </c>
      <c r="H425" s="1">
        <v>0.77490000000000003</v>
      </c>
      <c r="I425" s="1">
        <v>0.18149999999999999</v>
      </c>
      <c r="J425" s="1">
        <v>44991</v>
      </c>
      <c r="K425" s="1">
        <v>24250</v>
      </c>
      <c r="L425" s="1">
        <v>7625</v>
      </c>
      <c r="M425" s="1">
        <v>20</v>
      </c>
      <c r="N425" s="1" t="s">
        <v>20</v>
      </c>
      <c r="O425" s="1" t="s">
        <v>42</v>
      </c>
      <c r="P425" s="1" t="s">
        <v>39</v>
      </c>
      <c r="Q425" s="1" t="s">
        <v>31</v>
      </c>
      <c r="R425">
        <v>0.69213623915570188</v>
      </c>
    </row>
    <row r="426" spans="1:18" x14ac:dyDescent="0.2">
      <c r="A426" s="1">
        <v>160074</v>
      </c>
      <c r="B426" s="1" t="s">
        <v>500</v>
      </c>
      <c r="C426" s="1" t="s">
        <v>46</v>
      </c>
      <c r="D426" s="1">
        <v>0.98699999999999999</v>
      </c>
      <c r="E426" s="1">
        <v>821</v>
      </c>
      <c r="F426" s="1">
        <v>18310</v>
      </c>
      <c r="G426" s="1">
        <v>0.45450000000000002</v>
      </c>
      <c r="H426" s="1">
        <v>0.63929999999999998</v>
      </c>
      <c r="I426" s="1">
        <v>0.31209999999999999</v>
      </c>
      <c r="J426" s="1">
        <v>59419</v>
      </c>
      <c r="K426" s="1">
        <v>27672</v>
      </c>
      <c r="L426" s="1">
        <v>8122</v>
      </c>
      <c r="M426" s="1">
        <v>14</v>
      </c>
      <c r="N426" s="1" t="s">
        <v>20</v>
      </c>
      <c r="O426" s="1" t="s">
        <v>29</v>
      </c>
      <c r="P426" s="1" t="s">
        <v>30</v>
      </c>
      <c r="Q426" s="1" t="s">
        <v>23</v>
      </c>
      <c r="R426">
        <v>0.69145951791918603</v>
      </c>
    </row>
    <row r="427" spans="1:18" x14ac:dyDescent="0.2">
      <c r="A427" s="1">
        <v>180106</v>
      </c>
      <c r="B427" s="1" t="s">
        <v>501</v>
      </c>
      <c r="C427" s="1" t="s">
        <v>95</v>
      </c>
      <c r="D427" s="1">
        <v>0.70930000000000004</v>
      </c>
      <c r="E427" s="1">
        <v>1092</v>
      </c>
      <c r="F427" s="1">
        <v>41484</v>
      </c>
      <c r="G427" s="1">
        <v>0.69289999999999996</v>
      </c>
      <c r="H427" s="1">
        <v>0.82050000000000001</v>
      </c>
      <c r="I427" s="1">
        <v>0.2024</v>
      </c>
      <c r="J427" s="1">
        <v>61772</v>
      </c>
      <c r="K427" s="1">
        <v>25757</v>
      </c>
      <c r="L427" s="1">
        <v>7620</v>
      </c>
      <c r="M427" s="1">
        <v>12</v>
      </c>
      <c r="N427" s="1" t="s">
        <v>20</v>
      </c>
      <c r="O427" s="1" t="s">
        <v>29</v>
      </c>
      <c r="P427" s="1" t="s">
        <v>22</v>
      </c>
      <c r="Q427" s="1" t="s">
        <v>23</v>
      </c>
      <c r="R427">
        <v>0.6911063510209795</v>
      </c>
    </row>
    <row r="428" spans="1:18" x14ac:dyDescent="0.2">
      <c r="A428" s="1">
        <v>196219</v>
      </c>
      <c r="B428" s="1" t="s">
        <v>502</v>
      </c>
      <c r="C428" s="1" t="s">
        <v>58</v>
      </c>
      <c r="D428" s="1">
        <v>0.74050000000000005</v>
      </c>
      <c r="E428" s="1">
        <v>3197</v>
      </c>
      <c r="F428" s="1">
        <v>19203</v>
      </c>
      <c r="G428" s="1">
        <v>0.62770000000000004</v>
      </c>
      <c r="H428" s="1">
        <v>0.80310000000000004</v>
      </c>
      <c r="I428" s="1">
        <v>0.35510000000000003</v>
      </c>
      <c r="J428" s="1">
        <v>45092</v>
      </c>
      <c r="K428" s="1">
        <v>21067</v>
      </c>
      <c r="L428" s="1">
        <v>8079</v>
      </c>
      <c r="M428" s="1">
        <v>12</v>
      </c>
      <c r="N428" s="1" t="s">
        <v>28</v>
      </c>
      <c r="O428" s="1" t="s">
        <v>21</v>
      </c>
      <c r="P428" s="1" t="s">
        <v>39</v>
      </c>
      <c r="Q428" s="1" t="s">
        <v>31</v>
      </c>
      <c r="R428">
        <v>0.69052316195065266</v>
      </c>
    </row>
    <row r="429" spans="1:18" x14ac:dyDescent="0.2">
      <c r="A429" s="1">
        <v>207388</v>
      </c>
      <c r="B429" s="1" t="s">
        <v>503</v>
      </c>
      <c r="C429" s="1" t="s">
        <v>224</v>
      </c>
      <c r="D429" s="1">
        <v>0.75039999999999996</v>
      </c>
      <c r="E429" s="1">
        <v>21773</v>
      </c>
      <c r="F429" s="1">
        <v>25754</v>
      </c>
      <c r="G429" s="1">
        <v>0.68169999999999997</v>
      </c>
      <c r="H429" s="1">
        <v>0.8478</v>
      </c>
      <c r="I429" s="1">
        <v>0.27989999999999998</v>
      </c>
      <c r="J429" s="1">
        <v>57413</v>
      </c>
      <c r="K429" s="1">
        <v>20500</v>
      </c>
      <c r="L429" s="1">
        <v>10704</v>
      </c>
      <c r="M429" s="1">
        <v>19</v>
      </c>
      <c r="N429" s="1" t="s">
        <v>28</v>
      </c>
      <c r="O429" s="1" t="s">
        <v>42</v>
      </c>
      <c r="P429" s="1" t="s">
        <v>30</v>
      </c>
      <c r="Q429" s="1" t="s">
        <v>23</v>
      </c>
      <c r="R429">
        <v>0.68887111802938061</v>
      </c>
    </row>
    <row r="430" spans="1:18" x14ac:dyDescent="0.2">
      <c r="A430" s="1">
        <v>176406</v>
      </c>
      <c r="B430" s="1" t="s">
        <v>504</v>
      </c>
      <c r="C430" s="1" t="s">
        <v>169</v>
      </c>
      <c r="D430" s="1">
        <v>0.59850000000000003</v>
      </c>
      <c r="E430" s="1">
        <v>639</v>
      </c>
      <c r="F430" s="1">
        <v>12407</v>
      </c>
      <c r="G430" s="1">
        <v>0.33110000000000001</v>
      </c>
      <c r="H430" s="1">
        <v>0.83199999999999996</v>
      </c>
      <c r="I430" s="1">
        <v>0.62729999999999997</v>
      </c>
      <c r="J430" s="1">
        <v>34724</v>
      </c>
      <c r="K430" s="1">
        <v>30046</v>
      </c>
      <c r="L430" s="1">
        <v>4012</v>
      </c>
      <c r="M430" s="1">
        <v>9</v>
      </c>
      <c r="N430" s="1" t="s">
        <v>20</v>
      </c>
      <c r="O430" s="1" t="s">
        <v>29</v>
      </c>
      <c r="P430" s="1" t="s">
        <v>30</v>
      </c>
      <c r="Q430" s="1" t="s">
        <v>31</v>
      </c>
      <c r="R430">
        <v>0.68881870615230978</v>
      </c>
    </row>
    <row r="431" spans="1:18" x14ac:dyDescent="0.2">
      <c r="A431" s="1">
        <v>197045</v>
      </c>
      <c r="B431" s="1" t="s">
        <v>505</v>
      </c>
      <c r="C431" s="1" t="s">
        <v>58</v>
      </c>
      <c r="D431" s="1">
        <v>0.91949999999999998</v>
      </c>
      <c r="E431" s="1">
        <v>2278</v>
      </c>
      <c r="F431" s="1">
        <v>26930</v>
      </c>
      <c r="G431" s="1">
        <v>0.56240000000000001</v>
      </c>
      <c r="H431" s="1">
        <v>0.70709999999999995</v>
      </c>
      <c r="I431" s="1">
        <v>0.3337</v>
      </c>
      <c r="J431" s="1">
        <v>63277</v>
      </c>
      <c r="K431" s="1">
        <v>22500</v>
      </c>
      <c r="L431" s="1">
        <v>9148</v>
      </c>
      <c r="M431" s="1">
        <v>12</v>
      </c>
      <c r="N431" s="1" t="s">
        <v>20</v>
      </c>
      <c r="O431" s="1" t="s">
        <v>29</v>
      </c>
      <c r="P431" s="1" t="s">
        <v>39</v>
      </c>
      <c r="Q431" s="1" t="s">
        <v>23</v>
      </c>
      <c r="R431">
        <v>0.6882566275835873</v>
      </c>
    </row>
    <row r="432" spans="1:18" x14ac:dyDescent="0.2">
      <c r="A432" s="1">
        <v>237899</v>
      </c>
      <c r="B432" s="1" t="s">
        <v>506</v>
      </c>
      <c r="C432" s="1" t="s">
        <v>255</v>
      </c>
      <c r="D432" s="1">
        <v>0.95960000000000001</v>
      </c>
      <c r="E432" s="1">
        <v>1321</v>
      </c>
      <c r="F432" s="1">
        <v>14990</v>
      </c>
      <c r="G432" s="1">
        <v>0.39179999999999998</v>
      </c>
      <c r="H432" s="1">
        <v>0.56730000000000003</v>
      </c>
      <c r="I432" s="1">
        <v>0.2014</v>
      </c>
      <c r="J432" s="1">
        <v>40492</v>
      </c>
      <c r="K432" s="1">
        <v>23338</v>
      </c>
      <c r="L432" s="1">
        <v>7141</v>
      </c>
      <c r="M432" s="1">
        <v>13</v>
      </c>
      <c r="N432" s="1" t="s">
        <v>28</v>
      </c>
      <c r="O432" s="1" t="s">
        <v>21</v>
      </c>
      <c r="P432" s="1" t="s">
        <v>30</v>
      </c>
      <c r="Q432" s="1" t="s">
        <v>31</v>
      </c>
      <c r="R432">
        <v>0.68786351646234656</v>
      </c>
    </row>
    <row r="433" spans="1:18" x14ac:dyDescent="0.2">
      <c r="A433" s="1">
        <v>238078</v>
      </c>
      <c r="B433" s="1" t="s">
        <v>507</v>
      </c>
      <c r="C433" s="1" t="s">
        <v>255</v>
      </c>
      <c r="D433" s="1">
        <v>0.63160000000000005</v>
      </c>
      <c r="E433" s="1">
        <v>589</v>
      </c>
      <c r="F433" s="1">
        <v>29875</v>
      </c>
      <c r="G433" s="1">
        <v>0.23330000000000001</v>
      </c>
      <c r="H433" s="1">
        <v>0.53659999999999997</v>
      </c>
      <c r="I433" s="1">
        <v>0.31559999999999999</v>
      </c>
      <c r="J433" s="1">
        <v>57949</v>
      </c>
      <c r="K433" s="1">
        <v>25125</v>
      </c>
      <c r="L433" s="1">
        <v>5906</v>
      </c>
      <c r="M433" s="1">
        <v>15</v>
      </c>
      <c r="N433" s="1" t="s">
        <v>20</v>
      </c>
      <c r="O433" s="1" t="s">
        <v>29</v>
      </c>
      <c r="P433" s="1" t="s">
        <v>30</v>
      </c>
      <c r="Q433" s="1" t="s">
        <v>23</v>
      </c>
      <c r="R433">
        <v>0.6870779172025665</v>
      </c>
    </row>
    <row r="434" spans="1:18" x14ac:dyDescent="0.2">
      <c r="A434" s="1">
        <v>121150</v>
      </c>
      <c r="B434" s="1" t="s">
        <v>508</v>
      </c>
      <c r="C434" s="1" t="s">
        <v>33</v>
      </c>
      <c r="D434" s="1">
        <v>0.62860000000000005</v>
      </c>
      <c r="E434" s="1">
        <v>3553</v>
      </c>
      <c r="F434" s="1">
        <v>69918</v>
      </c>
      <c r="G434" s="1">
        <v>0.83350000000000002</v>
      </c>
      <c r="H434" s="1">
        <v>0.87570000000000003</v>
      </c>
      <c r="I434" s="1">
        <v>0.20250000000000001</v>
      </c>
      <c r="J434" s="1">
        <v>82939</v>
      </c>
      <c r="K434" s="1">
        <v>23510</v>
      </c>
      <c r="L434" s="1">
        <v>14314</v>
      </c>
      <c r="M434" s="1">
        <v>12</v>
      </c>
      <c r="N434" s="1" t="s">
        <v>20</v>
      </c>
      <c r="O434" s="1" t="s">
        <v>21</v>
      </c>
      <c r="P434" s="1" t="s">
        <v>22</v>
      </c>
      <c r="Q434" s="1" t="s">
        <v>23</v>
      </c>
      <c r="R434">
        <v>0.68654380390834335</v>
      </c>
    </row>
    <row r="435" spans="1:18" x14ac:dyDescent="0.2">
      <c r="A435" s="1">
        <v>214801</v>
      </c>
      <c r="B435" s="1" t="s">
        <v>509</v>
      </c>
      <c r="C435" s="1" t="s">
        <v>98</v>
      </c>
      <c r="D435" s="1">
        <v>0.9677</v>
      </c>
      <c r="E435" s="1">
        <v>2877</v>
      </c>
      <c r="F435" s="1">
        <v>25664</v>
      </c>
      <c r="G435" s="1">
        <v>0.19750000000000001</v>
      </c>
      <c r="H435" s="1">
        <v>0.77229999999999999</v>
      </c>
      <c r="I435" s="1">
        <v>0.38769999999999999</v>
      </c>
      <c r="J435" s="1">
        <v>63435</v>
      </c>
      <c r="K435" s="1">
        <v>25000</v>
      </c>
      <c r="L435" s="1">
        <v>9204</v>
      </c>
      <c r="M435" s="1">
        <v>14</v>
      </c>
      <c r="N435" s="1" t="s">
        <v>28</v>
      </c>
      <c r="O435" s="1" t="s">
        <v>21</v>
      </c>
      <c r="P435" s="1" t="s">
        <v>39</v>
      </c>
      <c r="Q435" s="1" t="s">
        <v>23</v>
      </c>
      <c r="R435">
        <v>0.68647549991098367</v>
      </c>
    </row>
    <row r="436" spans="1:18" x14ac:dyDescent="0.2">
      <c r="A436" s="1">
        <v>216667</v>
      </c>
      <c r="B436" s="1" t="s">
        <v>510</v>
      </c>
      <c r="C436" s="1" t="s">
        <v>98</v>
      </c>
      <c r="D436" s="1">
        <v>0.80640000000000001</v>
      </c>
      <c r="E436" s="1">
        <v>1295</v>
      </c>
      <c r="F436" s="1">
        <v>29392</v>
      </c>
      <c r="G436" s="1">
        <v>0.69520000000000004</v>
      </c>
      <c r="H436" s="1">
        <v>0.81210000000000004</v>
      </c>
      <c r="I436" s="1">
        <v>0.3115</v>
      </c>
      <c r="J436" s="1">
        <v>67918</v>
      </c>
      <c r="K436" s="1">
        <v>27000</v>
      </c>
      <c r="L436" s="1">
        <v>8324</v>
      </c>
      <c r="M436" s="1">
        <v>11</v>
      </c>
      <c r="N436" s="1" t="s">
        <v>20</v>
      </c>
      <c r="O436" s="1" t="s">
        <v>21</v>
      </c>
      <c r="P436" s="1" t="s">
        <v>39</v>
      </c>
      <c r="Q436" s="1" t="s">
        <v>23</v>
      </c>
      <c r="R436">
        <v>0.68596630144356385</v>
      </c>
    </row>
    <row r="437" spans="1:18" x14ac:dyDescent="0.2">
      <c r="A437" s="1">
        <v>133951</v>
      </c>
      <c r="B437" s="1" t="s">
        <v>511</v>
      </c>
      <c r="C437" s="1" t="s">
        <v>27</v>
      </c>
      <c r="D437" s="1">
        <v>0.54659999999999997</v>
      </c>
      <c r="E437" s="1">
        <v>39508</v>
      </c>
      <c r="F437" s="1">
        <v>18964</v>
      </c>
      <c r="G437" s="1">
        <v>0.74429999999999996</v>
      </c>
      <c r="H437" s="1">
        <v>0.91849999999999998</v>
      </c>
      <c r="I437" s="1">
        <v>0.41370000000000001</v>
      </c>
      <c r="J437" s="1">
        <v>60249</v>
      </c>
      <c r="K437" s="1">
        <v>16500</v>
      </c>
      <c r="L437" s="1">
        <v>11817</v>
      </c>
      <c r="M437" s="1">
        <v>24</v>
      </c>
      <c r="N437" s="1" t="s">
        <v>28</v>
      </c>
      <c r="O437" s="1" t="s">
        <v>21</v>
      </c>
      <c r="P437" s="1" t="s">
        <v>30</v>
      </c>
      <c r="Q437" s="1" t="s">
        <v>23</v>
      </c>
      <c r="R437">
        <v>0.68555807104923216</v>
      </c>
    </row>
    <row r="438" spans="1:18" x14ac:dyDescent="0.2">
      <c r="A438" s="1">
        <v>165334</v>
      </c>
      <c r="B438" s="1" t="s">
        <v>512</v>
      </c>
      <c r="C438" s="1" t="s">
        <v>129</v>
      </c>
      <c r="D438" s="1">
        <v>0.39539999999999997</v>
      </c>
      <c r="E438" s="1">
        <v>2214</v>
      </c>
      <c r="F438" s="1">
        <v>58867</v>
      </c>
      <c r="G438" s="1">
        <v>0.76939999999999997</v>
      </c>
      <c r="H438" s="1">
        <v>0.86170000000000002</v>
      </c>
      <c r="I438" s="1">
        <v>0.23130000000000001</v>
      </c>
      <c r="J438" s="1">
        <v>62381</v>
      </c>
      <c r="K438" s="1">
        <v>26759</v>
      </c>
      <c r="L438" s="1">
        <v>12471</v>
      </c>
      <c r="M438" s="1">
        <v>8</v>
      </c>
      <c r="N438" s="1" t="s">
        <v>20</v>
      </c>
      <c r="O438" s="1" t="s">
        <v>29</v>
      </c>
      <c r="P438" s="1" t="s">
        <v>39</v>
      </c>
      <c r="Q438" s="1" t="s">
        <v>23</v>
      </c>
      <c r="R438">
        <v>0.68517023844651248</v>
      </c>
    </row>
    <row r="439" spans="1:18" x14ac:dyDescent="0.2">
      <c r="A439" s="1">
        <v>221847</v>
      </c>
      <c r="B439" s="1" t="s">
        <v>513</v>
      </c>
      <c r="C439" s="1" t="s">
        <v>163</v>
      </c>
      <c r="D439" s="1">
        <v>0.76129999999999998</v>
      </c>
      <c r="E439" s="1">
        <v>8698</v>
      </c>
      <c r="F439" s="1">
        <v>15576</v>
      </c>
      <c r="G439" s="1">
        <v>0.57669999999999999</v>
      </c>
      <c r="H439" s="1">
        <v>0.78159999999999996</v>
      </c>
      <c r="I439" s="1">
        <v>0.309</v>
      </c>
      <c r="J439" s="1">
        <v>48501</v>
      </c>
      <c r="K439" s="1">
        <v>15650</v>
      </c>
      <c r="L439" s="1">
        <v>9427</v>
      </c>
      <c r="M439" s="1">
        <v>16</v>
      </c>
      <c r="N439" s="1" t="s">
        <v>28</v>
      </c>
      <c r="O439" s="1" t="s">
        <v>42</v>
      </c>
      <c r="P439" s="1" t="s">
        <v>30</v>
      </c>
      <c r="Q439" s="1" t="s">
        <v>31</v>
      </c>
      <c r="R439">
        <v>0.68456226991470681</v>
      </c>
    </row>
    <row r="440" spans="1:18" x14ac:dyDescent="0.2">
      <c r="A440" s="1">
        <v>173258</v>
      </c>
      <c r="B440" s="1" t="s">
        <v>514</v>
      </c>
      <c r="C440" s="1" t="s">
        <v>54</v>
      </c>
      <c r="D440" s="1">
        <v>0.2041</v>
      </c>
      <c r="E440" s="1">
        <v>2086</v>
      </c>
      <c r="F440" s="1">
        <v>68892</v>
      </c>
      <c r="G440" s="1">
        <v>0.89600000000000002</v>
      </c>
      <c r="H440" s="1">
        <v>0.9647</v>
      </c>
      <c r="I440" s="1">
        <v>0.1653</v>
      </c>
      <c r="J440" s="1">
        <v>75525</v>
      </c>
      <c r="K440" s="1">
        <v>16750</v>
      </c>
      <c r="L440" s="1">
        <v>13960</v>
      </c>
      <c r="M440" s="1">
        <v>8</v>
      </c>
      <c r="N440" s="1" t="s">
        <v>20</v>
      </c>
      <c r="O440" s="1" t="s">
        <v>42</v>
      </c>
      <c r="P440" s="1" t="s">
        <v>22</v>
      </c>
      <c r="Q440" s="1" t="s">
        <v>23</v>
      </c>
      <c r="R440">
        <v>0.6845612172207679</v>
      </c>
    </row>
    <row r="441" spans="1:18" x14ac:dyDescent="0.2">
      <c r="A441" s="1">
        <v>179867</v>
      </c>
      <c r="B441" s="1" t="s">
        <v>515</v>
      </c>
      <c r="C441" s="1" t="s">
        <v>77</v>
      </c>
      <c r="D441" s="1">
        <v>0.1206</v>
      </c>
      <c r="E441" s="1">
        <v>7857</v>
      </c>
      <c r="F441" s="1">
        <v>65790</v>
      </c>
      <c r="G441" s="1">
        <v>0.94259999999999999</v>
      </c>
      <c r="H441" s="1">
        <v>0.94950000000000001</v>
      </c>
      <c r="I441" s="1">
        <v>0.17749999999999999</v>
      </c>
      <c r="J441" s="1">
        <v>86182</v>
      </c>
      <c r="K441" s="1">
        <v>17500</v>
      </c>
      <c r="L441" s="1">
        <v>16945</v>
      </c>
      <c r="M441" s="1">
        <v>7</v>
      </c>
      <c r="N441" s="1" t="s">
        <v>20</v>
      </c>
      <c r="O441" s="1" t="s">
        <v>21</v>
      </c>
      <c r="P441" s="1" t="s">
        <v>22</v>
      </c>
      <c r="Q441" s="1" t="s">
        <v>23</v>
      </c>
      <c r="R441">
        <v>0.68385512118189751</v>
      </c>
    </row>
    <row r="442" spans="1:18" x14ac:dyDescent="0.2">
      <c r="A442" s="1">
        <v>123457</v>
      </c>
      <c r="B442" s="1" t="s">
        <v>516</v>
      </c>
      <c r="C442" s="1" t="s">
        <v>33</v>
      </c>
      <c r="D442" s="1">
        <v>0.86029999999999995</v>
      </c>
      <c r="E442" s="1">
        <v>809</v>
      </c>
      <c r="F442" s="1">
        <v>39708</v>
      </c>
      <c r="G442" s="1">
        <v>0.4884</v>
      </c>
      <c r="H442" s="1">
        <v>0.60419999999999996</v>
      </c>
      <c r="I442" s="1">
        <v>0.44109999999999999</v>
      </c>
      <c r="J442" s="1">
        <v>54340</v>
      </c>
      <c r="K442" s="1">
        <v>18750</v>
      </c>
      <c r="L442" s="1">
        <v>7504</v>
      </c>
      <c r="M442" s="1">
        <v>17</v>
      </c>
      <c r="N442" s="1" t="s">
        <v>20</v>
      </c>
      <c r="O442" s="1" t="s">
        <v>29</v>
      </c>
      <c r="P442" s="1" t="s">
        <v>22</v>
      </c>
      <c r="Q442" s="1" t="s">
        <v>23</v>
      </c>
      <c r="R442">
        <v>0.68324815889535495</v>
      </c>
    </row>
    <row r="443" spans="1:18" x14ac:dyDescent="0.2">
      <c r="A443" s="1">
        <v>192110</v>
      </c>
      <c r="B443" s="1" t="s">
        <v>517</v>
      </c>
      <c r="C443" s="1" t="s">
        <v>58</v>
      </c>
      <c r="D443" s="1">
        <v>9.1499999999999998E-2</v>
      </c>
      <c r="E443" s="1">
        <v>468</v>
      </c>
      <c r="F443" s="1">
        <v>57950</v>
      </c>
      <c r="G443" s="1">
        <v>0.92559999999999998</v>
      </c>
      <c r="H443" s="1">
        <v>0.97889999999999999</v>
      </c>
      <c r="I443" s="1">
        <v>0.1389</v>
      </c>
      <c r="J443" s="1">
        <v>37827</v>
      </c>
      <c r="K443" s="1">
        <v>25500</v>
      </c>
      <c r="L443" s="1">
        <v>15261</v>
      </c>
      <c r="M443" s="1">
        <v>4</v>
      </c>
      <c r="N443" s="1" t="s">
        <v>20</v>
      </c>
      <c r="O443" s="1" t="s">
        <v>29</v>
      </c>
      <c r="P443" s="1" t="s">
        <v>39</v>
      </c>
      <c r="Q443" s="1" t="s">
        <v>31</v>
      </c>
      <c r="R443">
        <v>0.68268096204275519</v>
      </c>
    </row>
    <row r="444" spans="1:18" x14ac:dyDescent="0.2">
      <c r="A444" s="1">
        <v>111081</v>
      </c>
      <c r="B444" s="1" t="s">
        <v>518</v>
      </c>
      <c r="C444" s="1" t="s">
        <v>33</v>
      </c>
      <c r="D444" s="1">
        <v>0.32340000000000002</v>
      </c>
      <c r="E444" s="1">
        <v>860</v>
      </c>
      <c r="F444" s="1">
        <v>58996</v>
      </c>
      <c r="G444" s="1">
        <v>0.66669999999999996</v>
      </c>
      <c r="H444" s="1">
        <v>0.82389999999999997</v>
      </c>
      <c r="I444" s="1">
        <v>0.2424</v>
      </c>
      <c r="J444" s="1">
        <v>41198</v>
      </c>
      <c r="K444" s="1">
        <v>25000</v>
      </c>
      <c r="L444" s="1">
        <v>10095</v>
      </c>
      <c r="M444" s="1">
        <v>7</v>
      </c>
      <c r="N444" s="1" t="s">
        <v>20</v>
      </c>
      <c r="O444" s="1" t="s">
        <v>21</v>
      </c>
      <c r="P444" s="1" t="s">
        <v>22</v>
      </c>
      <c r="Q444" s="1" t="s">
        <v>31</v>
      </c>
      <c r="R444">
        <v>0.68097037822082085</v>
      </c>
    </row>
    <row r="445" spans="1:18" x14ac:dyDescent="0.2">
      <c r="A445" s="1">
        <v>150136</v>
      </c>
      <c r="B445" s="1" t="s">
        <v>519</v>
      </c>
      <c r="C445" s="1" t="s">
        <v>102</v>
      </c>
      <c r="D445" s="1">
        <v>0.85499999999999998</v>
      </c>
      <c r="E445" s="1">
        <v>13988</v>
      </c>
      <c r="F445" s="1">
        <v>29630</v>
      </c>
      <c r="G445" s="1">
        <v>0.62339999999999995</v>
      </c>
      <c r="H445" s="1">
        <v>0.77700000000000002</v>
      </c>
      <c r="I445" s="1">
        <v>0.34710000000000002</v>
      </c>
      <c r="J445" s="1">
        <v>51833</v>
      </c>
      <c r="K445" s="1">
        <v>23250</v>
      </c>
      <c r="L445" s="1">
        <v>8408</v>
      </c>
      <c r="M445" s="1">
        <v>14</v>
      </c>
      <c r="N445" s="1" t="s">
        <v>28</v>
      </c>
      <c r="O445" s="1" t="s">
        <v>29</v>
      </c>
      <c r="P445" s="1" t="s">
        <v>22</v>
      </c>
      <c r="Q445" s="1" t="s">
        <v>23</v>
      </c>
      <c r="R445">
        <v>0.68008082738648634</v>
      </c>
    </row>
    <row r="446" spans="1:18" x14ac:dyDescent="0.2">
      <c r="A446" s="1">
        <v>176053</v>
      </c>
      <c r="B446" s="1" t="s">
        <v>520</v>
      </c>
      <c r="C446" s="1" t="s">
        <v>169</v>
      </c>
      <c r="D446" s="1">
        <v>0.29110000000000003</v>
      </c>
      <c r="E446" s="1">
        <v>2518</v>
      </c>
      <c r="F446" s="1">
        <v>23500</v>
      </c>
      <c r="G446" s="1">
        <v>0.59340000000000004</v>
      </c>
      <c r="H446" s="1">
        <v>0.77759999999999996</v>
      </c>
      <c r="I446" s="1">
        <v>0.2964</v>
      </c>
      <c r="J446" s="1">
        <v>47485</v>
      </c>
      <c r="K446" s="1">
        <v>22500</v>
      </c>
      <c r="L446" s="1">
        <v>7995</v>
      </c>
      <c r="M446" s="1">
        <v>14</v>
      </c>
      <c r="N446" s="1" t="s">
        <v>20</v>
      </c>
      <c r="O446" s="1" t="s">
        <v>21</v>
      </c>
      <c r="P446" s="1" t="s">
        <v>30</v>
      </c>
      <c r="Q446" s="1" t="s">
        <v>31</v>
      </c>
      <c r="R446">
        <v>0.67964864217984511</v>
      </c>
    </row>
    <row r="447" spans="1:18" x14ac:dyDescent="0.2">
      <c r="A447" s="1">
        <v>194958</v>
      </c>
      <c r="B447" s="1" t="s">
        <v>521</v>
      </c>
      <c r="C447" s="1" t="s">
        <v>58</v>
      </c>
      <c r="D447" s="1">
        <v>0.70630000000000004</v>
      </c>
      <c r="E447" s="1">
        <v>1149</v>
      </c>
      <c r="F447" s="1">
        <v>38826</v>
      </c>
      <c r="G447" s="1">
        <v>0.66669999999999996</v>
      </c>
      <c r="H447" s="1">
        <v>0.83599999999999997</v>
      </c>
      <c r="I447" s="1">
        <v>0.35420000000000001</v>
      </c>
      <c r="J447" s="1">
        <v>55031</v>
      </c>
      <c r="K447" s="1">
        <v>23750</v>
      </c>
      <c r="L447" s="1">
        <v>7175</v>
      </c>
      <c r="M447" s="1">
        <v>7</v>
      </c>
      <c r="N447" s="1" t="s">
        <v>20</v>
      </c>
      <c r="O447" s="1" t="s">
        <v>21</v>
      </c>
      <c r="P447" s="1" t="s">
        <v>39</v>
      </c>
      <c r="Q447" s="1" t="s">
        <v>23</v>
      </c>
      <c r="R447">
        <v>0.67872014316601259</v>
      </c>
    </row>
    <row r="448" spans="1:18" x14ac:dyDescent="0.2">
      <c r="A448" s="1">
        <v>232681</v>
      </c>
      <c r="B448" s="1" t="s">
        <v>522</v>
      </c>
      <c r="C448" s="1" t="s">
        <v>52</v>
      </c>
      <c r="D448" s="1">
        <v>0.79779999999999995</v>
      </c>
      <c r="E448" s="1">
        <v>3566</v>
      </c>
      <c r="F448" s="1">
        <v>27560</v>
      </c>
      <c r="G448" s="1">
        <v>0.66410000000000002</v>
      </c>
      <c r="H448" s="1">
        <v>0.84399999999999997</v>
      </c>
      <c r="I448" s="1">
        <v>0.21049999999999999</v>
      </c>
      <c r="J448" s="1">
        <v>60613</v>
      </c>
      <c r="K448" s="1">
        <v>20500</v>
      </c>
      <c r="L448" s="1">
        <v>9957</v>
      </c>
      <c r="M448" s="1">
        <v>13</v>
      </c>
      <c r="N448" s="1" t="s">
        <v>28</v>
      </c>
      <c r="O448" s="1" t="s">
        <v>21</v>
      </c>
      <c r="P448" s="1" t="s">
        <v>30</v>
      </c>
      <c r="Q448" s="1" t="s">
        <v>23</v>
      </c>
      <c r="R448">
        <v>0.67839920707719437</v>
      </c>
    </row>
    <row r="449" spans="1:18" x14ac:dyDescent="0.2">
      <c r="A449" s="1">
        <v>463056</v>
      </c>
      <c r="B449" s="1" t="s">
        <v>523</v>
      </c>
      <c r="C449" s="1" t="s">
        <v>147</v>
      </c>
      <c r="D449" s="1">
        <v>0.88329999999999997</v>
      </c>
      <c r="E449" s="1">
        <v>1525</v>
      </c>
      <c r="F449" s="1">
        <v>40798</v>
      </c>
      <c r="G449" s="1">
        <v>0.65049999999999997</v>
      </c>
      <c r="H449" s="1">
        <v>0.83730000000000004</v>
      </c>
      <c r="I449" s="1">
        <v>0.45650000000000002</v>
      </c>
      <c r="J449" s="1">
        <v>73997</v>
      </c>
      <c r="K449" s="1">
        <v>21500</v>
      </c>
      <c r="L449" s="1">
        <v>17573</v>
      </c>
      <c r="M449" s="1">
        <v>26</v>
      </c>
      <c r="N449" s="1" t="s">
        <v>28</v>
      </c>
      <c r="O449" s="1" t="s">
        <v>29</v>
      </c>
      <c r="P449" s="1" t="s">
        <v>39</v>
      </c>
      <c r="Q449" s="1" t="s">
        <v>23</v>
      </c>
      <c r="R449">
        <v>0.67725751950405144</v>
      </c>
    </row>
    <row r="450" spans="1:18" x14ac:dyDescent="0.2">
      <c r="A450" s="1">
        <v>154095</v>
      </c>
      <c r="B450" s="1" t="s">
        <v>524</v>
      </c>
      <c r="C450" s="1" t="s">
        <v>81</v>
      </c>
      <c r="D450" s="1">
        <v>0.9274</v>
      </c>
      <c r="E450" s="1">
        <v>7529</v>
      </c>
      <c r="F450" s="1">
        <v>21712</v>
      </c>
      <c r="G450" s="1">
        <v>0.67920000000000003</v>
      </c>
      <c r="H450" s="1">
        <v>0.81659999999999999</v>
      </c>
      <c r="I450" s="1">
        <v>0.27389999999999998</v>
      </c>
      <c r="J450" s="1">
        <v>55177</v>
      </c>
      <c r="K450" s="1">
        <v>19691</v>
      </c>
      <c r="L450" s="1">
        <v>8542</v>
      </c>
      <c r="M450" s="1">
        <v>18</v>
      </c>
      <c r="N450" s="1" t="s">
        <v>28</v>
      </c>
      <c r="O450" s="1" t="s">
        <v>29</v>
      </c>
      <c r="P450" s="1" t="s">
        <v>22</v>
      </c>
      <c r="Q450" s="1" t="s">
        <v>23</v>
      </c>
      <c r="R450">
        <v>0.67665166491657036</v>
      </c>
    </row>
    <row r="451" spans="1:18" x14ac:dyDescent="0.2">
      <c r="A451" s="1">
        <v>101879</v>
      </c>
      <c r="B451" s="1" t="s">
        <v>525</v>
      </c>
      <c r="C451" s="1" t="s">
        <v>177</v>
      </c>
      <c r="D451" s="1">
        <v>0.87309999999999999</v>
      </c>
      <c r="E451" s="1">
        <v>5811</v>
      </c>
      <c r="F451" s="1">
        <v>22320</v>
      </c>
      <c r="G451" s="1">
        <v>0.54910000000000003</v>
      </c>
      <c r="H451" s="1">
        <v>0.79690000000000005</v>
      </c>
      <c r="I451" s="1">
        <v>0.24349999999999999</v>
      </c>
      <c r="J451" s="1">
        <v>45415</v>
      </c>
      <c r="K451" s="1">
        <v>22077</v>
      </c>
      <c r="L451" s="1">
        <v>9167</v>
      </c>
      <c r="M451" s="1">
        <v>18</v>
      </c>
      <c r="N451" s="1" t="s">
        <v>28</v>
      </c>
      <c r="O451" s="1" t="s">
        <v>29</v>
      </c>
      <c r="P451" s="1" t="s">
        <v>30</v>
      </c>
      <c r="Q451" s="1" t="s">
        <v>31</v>
      </c>
      <c r="R451">
        <v>0.6742104608922348</v>
      </c>
    </row>
    <row r="452" spans="1:18" x14ac:dyDescent="0.2">
      <c r="A452" s="1">
        <v>185262</v>
      </c>
      <c r="B452" s="1" t="s">
        <v>526</v>
      </c>
      <c r="C452" s="1" t="s">
        <v>66</v>
      </c>
      <c r="D452" s="1">
        <v>0.75900000000000001</v>
      </c>
      <c r="E452" s="1">
        <v>11433</v>
      </c>
      <c r="F452" s="1">
        <v>22446</v>
      </c>
      <c r="G452" s="1">
        <v>0.4657</v>
      </c>
      <c r="H452" s="1">
        <v>0.76070000000000004</v>
      </c>
      <c r="I452" s="1">
        <v>0.4793</v>
      </c>
      <c r="J452" s="1">
        <v>57237</v>
      </c>
      <c r="K452" s="1">
        <v>23250</v>
      </c>
      <c r="L452" s="1">
        <v>10488</v>
      </c>
      <c r="M452" s="1">
        <v>17</v>
      </c>
      <c r="N452" s="1" t="s">
        <v>28</v>
      </c>
      <c r="O452" s="1" t="s">
        <v>21</v>
      </c>
      <c r="P452" s="1" t="s">
        <v>39</v>
      </c>
      <c r="Q452" s="1" t="s">
        <v>23</v>
      </c>
      <c r="R452">
        <v>0.6731981454039816</v>
      </c>
    </row>
    <row r="453" spans="1:18" x14ac:dyDescent="0.2">
      <c r="A453" s="1">
        <v>176947</v>
      </c>
      <c r="B453" s="1" t="s">
        <v>527</v>
      </c>
      <c r="C453" s="1" t="s">
        <v>77</v>
      </c>
      <c r="D453" s="1">
        <v>0.56869999999999998</v>
      </c>
      <c r="E453" s="1">
        <v>1040</v>
      </c>
      <c r="F453" s="1">
        <v>28260</v>
      </c>
      <c r="G453" s="1">
        <v>0.51229999999999998</v>
      </c>
      <c r="H453" s="1">
        <v>0.61839999999999995</v>
      </c>
      <c r="I453" s="1">
        <v>0.40279999999999999</v>
      </c>
      <c r="J453" s="1">
        <v>48991</v>
      </c>
      <c r="K453" s="1">
        <v>17619</v>
      </c>
      <c r="L453" s="1">
        <v>6712</v>
      </c>
      <c r="M453" s="1">
        <v>12</v>
      </c>
      <c r="N453" s="1" t="s">
        <v>20</v>
      </c>
      <c r="O453" s="1" t="s">
        <v>42</v>
      </c>
      <c r="P453" s="1" t="s">
        <v>22</v>
      </c>
      <c r="Q453" s="1" t="s">
        <v>31</v>
      </c>
      <c r="R453">
        <v>0.67295076803243437</v>
      </c>
    </row>
    <row r="454" spans="1:18" x14ac:dyDescent="0.2">
      <c r="A454" s="1">
        <v>220181</v>
      </c>
      <c r="B454" s="1" t="s">
        <v>528</v>
      </c>
      <c r="C454" s="1" t="s">
        <v>163</v>
      </c>
      <c r="D454" s="1">
        <v>0.37419999999999998</v>
      </c>
      <c r="E454" s="1">
        <v>1035</v>
      </c>
      <c r="F454" s="1">
        <v>25858</v>
      </c>
      <c r="G454" s="1">
        <v>0.29930000000000001</v>
      </c>
      <c r="H454" s="1">
        <v>0.73809999999999998</v>
      </c>
      <c r="I454" s="1">
        <v>0.51790000000000003</v>
      </c>
      <c r="J454" s="1">
        <v>45454</v>
      </c>
      <c r="K454" s="1">
        <v>27000</v>
      </c>
      <c r="L454" s="1">
        <v>6116</v>
      </c>
      <c r="M454" s="1">
        <v>12</v>
      </c>
      <c r="N454" s="1" t="s">
        <v>20</v>
      </c>
      <c r="O454" s="1" t="s">
        <v>29</v>
      </c>
      <c r="P454" s="1" t="s">
        <v>30</v>
      </c>
      <c r="Q454" s="1" t="s">
        <v>31</v>
      </c>
      <c r="R454">
        <v>0.67286652987419415</v>
      </c>
    </row>
    <row r="455" spans="1:18" x14ac:dyDescent="0.2">
      <c r="A455" s="1">
        <v>455770</v>
      </c>
      <c r="B455" s="1" t="s">
        <v>529</v>
      </c>
      <c r="C455" s="1" t="s">
        <v>33</v>
      </c>
      <c r="D455" s="1">
        <v>1</v>
      </c>
      <c r="E455" s="1">
        <v>168</v>
      </c>
      <c r="F455" s="1">
        <v>36963</v>
      </c>
      <c r="G455" s="1">
        <v>0.2</v>
      </c>
      <c r="H455" s="1">
        <v>0.78569999999999995</v>
      </c>
      <c r="I455" s="1">
        <v>0.31290000000000001</v>
      </c>
      <c r="J455" s="1">
        <v>46264</v>
      </c>
      <c r="K455" s="1">
        <v>25000</v>
      </c>
      <c r="L455" s="1">
        <v>6313</v>
      </c>
      <c r="M455" s="1">
        <v>17</v>
      </c>
      <c r="N455" s="1" t="s">
        <v>20</v>
      </c>
      <c r="O455" s="1" t="s">
        <v>29</v>
      </c>
      <c r="P455" s="1" t="s">
        <v>22</v>
      </c>
      <c r="Q455" s="1" t="s">
        <v>31</v>
      </c>
      <c r="R455">
        <v>0.67278476273974275</v>
      </c>
    </row>
    <row r="456" spans="1:18" x14ac:dyDescent="0.2">
      <c r="A456" s="1">
        <v>144281</v>
      </c>
      <c r="B456" s="1" t="s">
        <v>530</v>
      </c>
      <c r="C456" s="1" t="s">
        <v>25</v>
      </c>
      <c r="D456" s="1">
        <v>0.89459999999999995</v>
      </c>
      <c r="E456" s="1">
        <v>5368</v>
      </c>
      <c r="F456" s="1">
        <v>34088</v>
      </c>
      <c r="G456" s="1">
        <v>0.51549999999999996</v>
      </c>
      <c r="H456" s="1">
        <v>0.6603</v>
      </c>
      <c r="I456" s="1">
        <v>0.45960000000000001</v>
      </c>
      <c r="J456" s="1">
        <v>42195</v>
      </c>
      <c r="K456" s="1">
        <v>25000</v>
      </c>
      <c r="L456" s="1">
        <v>9323</v>
      </c>
      <c r="M456" s="1">
        <v>15</v>
      </c>
      <c r="N456" s="1" t="s">
        <v>20</v>
      </c>
      <c r="O456" s="1" t="s">
        <v>29</v>
      </c>
      <c r="P456" s="1" t="s">
        <v>22</v>
      </c>
      <c r="Q456" s="1" t="s">
        <v>31</v>
      </c>
      <c r="R456">
        <v>0.67184255031976348</v>
      </c>
    </row>
    <row r="457" spans="1:18" x14ac:dyDescent="0.2">
      <c r="A457" s="1">
        <v>190099</v>
      </c>
      <c r="B457" s="1" t="s">
        <v>531</v>
      </c>
      <c r="C457" s="1" t="s">
        <v>58</v>
      </c>
      <c r="D457" s="1">
        <v>0.13880000000000001</v>
      </c>
      <c r="E457" s="1">
        <v>3180</v>
      </c>
      <c r="F457" s="1">
        <v>70306</v>
      </c>
      <c r="G457" s="1">
        <v>0.91169999999999995</v>
      </c>
      <c r="H457" s="1">
        <v>0.93430000000000002</v>
      </c>
      <c r="I457" s="1">
        <v>0.12520000000000001</v>
      </c>
      <c r="J457" s="1">
        <v>85139</v>
      </c>
      <c r="K457" s="1">
        <v>15000</v>
      </c>
      <c r="L457" s="1">
        <v>13098</v>
      </c>
      <c r="M457" s="1">
        <v>9</v>
      </c>
      <c r="N457" s="1" t="s">
        <v>20</v>
      </c>
      <c r="O457" s="1" t="s">
        <v>42</v>
      </c>
      <c r="P457" s="1" t="s">
        <v>39</v>
      </c>
      <c r="Q457" s="1" t="s">
        <v>23</v>
      </c>
      <c r="R457">
        <v>0.6712050594181439</v>
      </c>
    </row>
    <row r="458" spans="1:18" x14ac:dyDescent="0.2">
      <c r="A458" s="1">
        <v>217059</v>
      </c>
      <c r="B458" s="1" t="s">
        <v>532</v>
      </c>
      <c r="C458" s="1" t="s">
        <v>98</v>
      </c>
      <c r="D458" s="1">
        <v>0.73740000000000006</v>
      </c>
      <c r="E458" s="1">
        <v>3265</v>
      </c>
      <c r="F458" s="1">
        <v>25588</v>
      </c>
      <c r="G458" s="1">
        <v>0.64100000000000001</v>
      </c>
      <c r="H458" s="1">
        <v>0.78210000000000002</v>
      </c>
      <c r="I458" s="1">
        <v>0.28079999999999999</v>
      </c>
      <c r="J458" s="1">
        <v>61012</v>
      </c>
      <c r="K458" s="1">
        <v>26000</v>
      </c>
      <c r="L458" s="1">
        <v>9539</v>
      </c>
      <c r="M458" s="1">
        <v>15</v>
      </c>
      <c r="N458" s="1" t="s">
        <v>20</v>
      </c>
      <c r="O458" s="1" t="s">
        <v>21</v>
      </c>
      <c r="P458" s="1" t="s">
        <v>39</v>
      </c>
      <c r="Q458" s="1" t="s">
        <v>23</v>
      </c>
      <c r="R458">
        <v>0.6709642801010558</v>
      </c>
    </row>
    <row r="459" spans="1:18" x14ac:dyDescent="0.2">
      <c r="A459" s="1">
        <v>204185</v>
      </c>
      <c r="B459" s="1" t="s">
        <v>533</v>
      </c>
      <c r="C459" s="1" t="s">
        <v>19</v>
      </c>
      <c r="D459" s="1">
        <v>0.78200000000000003</v>
      </c>
      <c r="E459" s="1">
        <v>1995</v>
      </c>
      <c r="F459" s="1">
        <v>36600</v>
      </c>
      <c r="G459" s="1">
        <v>0.58650000000000002</v>
      </c>
      <c r="H459" s="1">
        <v>0.76680000000000004</v>
      </c>
      <c r="I459" s="1">
        <v>0.2782</v>
      </c>
      <c r="J459" s="1">
        <v>53217</v>
      </c>
      <c r="K459" s="1">
        <v>27000</v>
      </c>
      <c r="L459" s="1">
        <v>7830</v>
      </c>
      <c r="M459" s="1">
        <v>15</v>
      </c>
      <c r="N459" s="1" t="s">
        <v>20</v>
      </c>
      <c r="O459" s="1" t="s">
        <v>42</v>
      </c>
      <c r="P459" s="1" t="s">
        <v>22</v>
      </c>
      <c r="Q459" s="1" t="s">
        <v>23</v>
      </c>
      <c r="R459">
        <v>0.67044455444370399</v>
      </c>
    </row>
    <row r="460" spans="1:18" x14ac:dyDescent="0.2">
      <c r="A460" s="1">
        <v>117946</v>
      </c>
      <c r="B460" s="1" t="s">
        <v>534</v>
      </c>
      <c r="C460" s="1" t="s">
        <v>33</v>
      </c>
      <c r="D460" s="1">
        <v>0.45079999999999998</v>
      </c>
      <c r="E460" s="1">
        <v>7094</v>
      </c>
      <c r="F460" s="1">
        <v>62357</v>
      </c>
      <c r="G460" s="1">
        <v>0.78869999999999996</v>
      </c>
      <c r="H460" s="1">
        <v>0.88580000000000003</v>
      </c>
      <c r="I460" s="1">
        <v>0.13220000000000001</v>
      </c>
      <c r="J460" s="1">
        <v>78349</v>
      </c>
      <c r="K460" s="1">
        <v>19500</v>
      </c>
      <c r="L460" s="1">
        <v>13834</v>
      </c>
      <c r="M460" s="1">
        <v>10</v>
      </c>
      <c r="N460" s="1" t="s">
        <v>20</v>
      </c>
      <c r="O460" s="1" t="s">
        <v>29</v>
      </c>
      <c r="P460" s="1" t="s">
        <v>22</v>
      </c>
      <c r="Q460" s="1" t="s">
        <v>23</v>
      </c>
      <c r="R460">
        <v>0.66956954535747737</v>
      </c>
    </row>
    <row r="461" spans="1:18" x14ac:dyDescent="0.2">
      <c r="A461" s="1">
        <v>106245</v>
      </c>
      <c r="B461" s="1" t="s">
        <v>535</v>
      </c>
      <c r="C461" s="1" t="s">
        <v>70</v>
      </c>
      <c r="D461" s="1">
        <v>0.58779999999999999</v>
      </c>
      <c r="E461" s="1">
        <v>4949</v>
      </c>
      <c r="F461" s="1">
        <v>22158</v>
      </c>
      <c r="G461" s="1">
        <v>0.41649999999999998</v>
      </c>
      <c r="H461" s="1">
        <v>0.76470000000000005</v>
      </c>
      <c r="I461" s="1">
        <v>0.4118</v>
      </c>
      <c r="J461" s="1">
        <v>45265</v>
      </c>
      <c r="K461" s="1">
        <v>22000</v>
      </c>
      <c r="L461" s="1">
        <v>8312</v>
      </c>
      <c r="M461" s="1">
        <v>13</v>
      </c>
      <c r="N461" s="1" t="s">
        <v>28</v>
      </c>
      <c r="O461" s="1" t="s">
        <v>29</v>
      </c>
      <c r="P461" s="1" t="s">
        <v>30</v>
      </c>
      <c r="Q461" s="1" t="s">
        <v>31</v>
      </c>
      <c r="R461">
        <v>0.66938699199695539</v>
      </c>
    </row>
    <row r="462" spans="1:18" x14ac:dyDescent="0.2">
      <c r="A462" s="1">
        <v>489937</v>
      </c>
      <c r="B462" s="1" t="s">
        <v>536</v>
      </c>
      <c r="C462" s="1" t="s">
        <v>86</v>
      </c>
      <c r="D462" s="1">
        <v>0.39539999999999997</v>
      </c>
      <c r="E462" s="1">
        <v>460</v>
      </c>
      <c r="F462" s="1">
        <v>17575</v>
      </c>
      <c r="G462" s="1">
        <v>0.2155</v>
      </c>
      <c r="H462" s="1">
        <v>0.56359999999999999</v>
      </c>
      <c r="I462" s="1">
        <v>0.37259999999999999</v>
      </c>
      <c r="J462" s="1">
        <v>32864</v>
      </c>
      <c r="K462" s="1">
        <v>20287</v>
      </c>
      <c r="L462" s="1">
        <v>5407</v>
      </c>
      <c r="M462" s="1">
        <v>17</v>
      </c>
      <c r="N462" s="1" t="s">
        <v>20</v>
      </c>
      <c r="O462" s="1" t="s">
        <v>29</v>
      </c>
      <c r="P462" s="1" t="s">
        <v>30</v>
      </c>
      <c r="Q462" s="1" t="s">
        <v>31</v>
      </c>
      <c r="R462">
        <v>0.66833744418739593</v>
      </c>
    </row>
    <row r="463" spans="1:18" x14ac:dyDescent="0.2">
      <c r="A463" s="1">
        <v>199148</v>
      </c>
      <c r="B463" s="1" t="s">
        <v>537</v>
      </c>
      <c r="C463" s="1" t="s">
        <v>86</v>
      </c>
      <c r="D463" s="1">
        <v>0.8851</v>
      </c>
      <c r="E463" s="1">
        <v>14062</v>
      </c>
      <c r="F463" s="1">
        <v>24012</v>
      </c>
      <c r="G463" s="1">
        <v>0.56310000000000004</v>
      </c>
      <c r="H463" s="1">
        <v>0.78910000000000002</v>
      </c>
      <c r="I463" s="1">
        <v>0.50239999999999996</v>
      </c>
      <c r="J463" s="1">
        <v>48160</v>
      </c>
      <c r="K463" s="1">
        <v>22858</v>
      </c>
      <c r="L463" s="1">
        <v>9693</v>
      </c>
      <c r="M463" s="1">
        <v>18</v>
      </c>
      <c r="N463" s="1" t="s">
        <v>28</v>
      </c>
      <c r="O463" s="1" t="s">
        <v>29</v>
      </c>
      <c r="P463" s="1" t="s">
        <v>30</v>
      </c>
      <c r="Q463" s="1" t="s">
        <v>31</v>
      </c>
      <c r="R463">
        <v>0.66803506090188247</v>
      </c>
    </row>
    <row r="464" spans="1:18" x14ac:dyDescent="0.2">
      <c r="A464" s="1">
        <v>140818</v>
      </c>
      <c r="B464" s="1" t="s">
        <v>538</v>
      </c>
      <c r="C464" s="1" t="s">
        <v>126</v>
      </c>
      <c r="D464" s="1">
        <v>0.93279999999999996</v>
      </c>
      <c r="E464" s="1">
        <v>1117</v>
      </c>
      <c r="F464" s="1">
        <v>31700</v>
      </c>
      <c r="G464" s="1">
        <v>0.47410000000000002</v>
      </c>
      <c r="H464" s="1">
        <v>0.69820000000000004</v>
      </c>
      <c r="I464" s="1">
        <v>0.42349999999999999</v>
      </c>
      <c r="J464" s="1">
        <v>49130</v>
      </c>
      <c r="K464" s="1">
        <v>25000</v>
      </c>
      <c r="L464" s="1">
        <v>7502</v>
      </c>
      <c r="M464" s="1">
        <v>12</v>
      </c>
      <c r="N464" s="1" t="s">
        <v>20</v>
      </c>
      <c r="O464" s="1" t="s">
        <v>42</v>
      </c>
      <c r="P464" s="1" t="s">
        <v>30</v>
      </c>
      <c r="Q464" s="1" t="s">
        <v>31</v>
      </c>
      <c r="R464">
        <v>0.66793626711401932</v>
      </c>
    </row>
    <row r="465" spans="1:18" x14ac:dyDescent="0.2">
      <c r="A465" s="1">
        <v>181464</v>
      </c>
      <c r="B465" s="1" t="s">
        <v>539</v>
      </c>
      <c r="C465" s="1" t="s">
        <v>221</v>
      </c>
      <c r="D465" s="1">
        <v>0.87490000000000001</v>
      </c>
      <c r="E465" s="1">
        <v>19178</v>
      </c>
      <c r="F465" s="1">
        <v>28584</v>
      </c>
      <c r="G465" s="1">
        <v>0.66969999999999996</v>
      </c>
      <c r="H465" s="1">
        <v>0.8599</v>
      </c>
      <c r="I465" s="1">
        <v>0.22770000000000001</v>
      </c>
      <c r="J465" s="1">
        <v>56887</v>
      </c>
      <c r="K465" s="1">
        <v>21000</v>
      </c>
      <c r="L465" s="1">
        <v>12658</v>
      </c>
      <c r="M465" s="1">
        <v>17</v>
      </c>
      <c r="N465" s="1" t="s">
        <v>28</v>
      </c>
      <c r="O465" s="1" t="s">
        <v>29</v>
      </c>
      <c r="P465" s="1" t="s">
        <v>22</v>
      </c>
      <c r="Q465" s="1" t="s">
        <v>23</v>
      </c>
      <c r="R465">
        <v>0.66759164837090434</v>
      </c>
    </row>
    <row r="466" spans="1:18" x14ac:dyDescent="0.2">
      <c r="A466" s="1">
        <v>240453</v>
      </c>
      <c r="B466" s="1" t="s">
        <v>540</v>
      </c>
      <c r="C466" s="1" t="s">
        <v>50</v>
      </c>
      <c r="D466" s="1">
        <v>0.90680000000000005</v>
      </c>
      <c r="E466" s="1">
        <v>16758</v>
      </c>
      <c r="F466" s="1">
        <v>22398</v>
      </c>
      <c r="G466" s="1">
        <v>0.49320000000000003</v>
      </c>
      <c r="H466" s="1">
        <v>0.72950000000000004</v>
      </c>
      <c r="I466" s="1">
        <v>0.32750000000000001</v>
      </c>
      <c r="J466" s="1">
        <v>54990</v>
      </c>
      <c r="K466" s="1">
        <v>23000</v>
      </c>
      <c r="L466" s="1">
        <v>9960</v>
      </c>
      <c r="M466" s="1">
        <v>17</v>
      </c>
      <c r="N466" s="1" t="s">
        <v>28</v>
      </c>
      <c r="O466" s="1" t="s">
        <v>29</v>
      </c>
      <c r="P466" s="1" t="s">
        <v>22</v>
      </c>
      <c r="Q466" s="1" t="s">
        <v>23</v>
      </c>
      <c r="R466">
        <v>0.66752677997638099</v>
      </c>
    </row>
    <row r="467" spans="1:18" x14ac:dyDescent="0.2">
      <c r="A467" s="1">
        <v>172051</v>
      </c>
      <c r="B467" s="1" t="s">
        <v>541</v>
      </c>
      <c r="C467" s="1" t="s">
        <v>109</v>
      </c>
      <c r="D467" s="1">
        <v>0.72070000000000001</v>
      </c>
      <c r="E467" s="1">
        <v>5989</v>
      </c>
      <c r="F467" s="1">
        <v>30450</v>
      </c>
      <c r="G467" s="1">
        <v>0.48249999999999998</v>
      </c>
      <c r="H467" s="1">
        <v>0.77569999999999995</v>
      </c>
      <c r="I467" s="1">
        <v>0.35170000000000001</v>
      </c>
      <c r="J467" s="1">
        <v>51955</v>
      </c>
      <c r="K467" s="1">
        <v>25000</v>
      </c>
      <c r="L467" s="1">
        <v>9515</v>
      </c>
      <c r="M467" s="1">
        <v>16</v>
      </c>
      <c r="N467" s="1" t="s">
        <v>28</v>
      </c>
      <c r="O467" s="1" t="s">
        <v>21</v>
      </c>
      <c r="P467" s="1" t="s">
        <v>22</v>
      </c>
      <c r="Q467" s="1" t="s">
        <v>23</v>
      </c>
      <c r="R467">
        <v>0.66594944623085817</v>
      </c>
    </row>
    <row r="468" spans="1:18" x14ac:dyDescent="0.2">
      <c r="A468" s="1">
        <v>174075</v>
      </c>
      <c r="B468" s="1" t="s">
        <v>542</v>
      </c>
      <c r="C468" s="1" t="s">
        <v>54</v>
      </c>
      <c r="D468" s="1">
        <v>0.87860000000000005</v>
      </c>
      <c r="E468" s="1">
        <v>1729</v>
      </c>
      <c r="F468" s="1">
        <v>13288</v>
      </c>
      <c r="G468" s="1">
        <v>0.49759999999999999</v>
      </c>
      <c r="H468" s="1">
        <v>0.8</v>
      </c>
      <c r="I468" s="1">
        <v>0.20250000000000001</v>
      </c>
      <c r="J468" s="1">
        <v>58056</v>
      </c>
      <c r="K468" s="1">
        <v>20500</v>
      </c>
      <c r="L468" s="1">
        <v>9241</v>
      </c>
      <c r="M468" s="1">
        <v>18</v>
      </c>
      <c r="N468" s="1" t="s">
        <v>28</v>
      </c>
      <c r="O468" s="1" t="s">
        <v>42</v>
      </c>
      <c r="P468" s="1" t="s">
        <v>22</v>
      </c>
      <c r="Q468" s="1" t="s">
        <v>23</v>
      </c>
      <c r="R468">
        <v>0.66267964219795561</v>
      </c>
    </row>
    <row r="469" spans="1:18" x14ac:dyDescent="0.2">
      <c r="A469" s="1">
        <v>179557</v>
      </c>
      <c r="B469" s="1" t="s">
        <v>543</v>
      </c>
      <c r="C469" s="1" t="s">
        <v>77</v>
      </c>
      <c r="D469" s="1">
        <v>0.73519999999999996</v>
      </c>
      <c r="E469" s="1">
        <v>6373</v>
      </c>
      <c r="F469" s="1">
        <v>9903</v>
      </c>
      <c r="G469" s="1">
        <v>0.57930000000000004</v>
      </c>
      <c r="H469" s="1">
        <v>0.75760000000000005</v>
      </c>
      <c r="I469" s="1">
        <v>0.30399999999999999</v>
      </c>
      <c r="J469" s="1">
        <v>44030</v>
      </c>
      <c r="K469" s="1">
        <v>21500</v>
      </c>
      <c r="L469" s="1">
        <v>8551</v>
      </c>
      <c r="M469" s="1">
        <v>20</v>
      </c>
      <c r="N469" s="1" t="s">
        <v>28</v>
      </c>
      <c r="O469" s="1" t="s">
        <v>29</v>
      </c>
      <c r="P469" s="1" t="s">
        <v>22</v>
      </c>
      <c r="Q469" s="1" t="s">
        <v>31</v>
      </c>
      <c r="R469">
        <v>0.66252581519632303</v>
      </c>
    </row>
    <row r="470" spans="1:18" x14ac:dyDescent="0.2">
      <c r="A470" s="1">
        <v>233921</v>
      </c>
      <c r="B470" s="1" t="s">
        <v>544</v>
      </c>
      <c r="C470" s="1" t="s">
        <v>52</v>
      </c>
      <c r="D470" s="1">
        <v>0.54779999999999995</v>
      </c>
      <c r="E470" s="1">
        <v>30923</v>
      </c>
      <c r="F470" s="1">
        <v>37764</v>
      </c>
      <c r="G470" s="1">
        <v>0.86219999999999997</v>
      </c>
      <c r="H470" s="1">
        <v>0.93079999999999996</v>
      </c>
      <c r="I470" s="1">
        <v>0.15290000000000001</v>
      </c>
      <c r="J470" s="1">
        <v>81698</v>
      </c>
      <c r="K470" s="1">
        <v>21500</v>
      </c>
      <c r="L470" s="1">
        <v>14162</v>
      </c>
      <c r="M470" s="1">
        <v>17</v>
      </c>
      <c r="N470" s="1" t="s">
        <v>28</v>
      </c>
      <c r="O470" s="1" t="s">
        <v>29</v>
      </c>
      <c r="P470" s="1" t="s">
        <v>30</v>
      </c>
      <c r="Q470" s="1" t="s">
        <v>23</v>
      </c>
      <c r="R470">
        <v>0.66096448330736601</v>
      </c>
    </row>
    <row r="471" spans="1:18" x14ac:dyDescent="0.2">
      <c r="A471" s="1">
        <v>193353</v>
      </c>
      <c r="B471" s="1" t="s">
        <v>545</v>
      </c>
      <c r="C471" s="1" t="s">
        <v>58</v>
      </c>
      <c r="D471" s="1">
        <v>0.88880000000000003</v>
      </c>
      <c r="E471" s="1">
        <v>1148</v>
      </c>
      <c r="F471" s="1">
        <v>43450</v>
      </c>
      <c r="G471" s="1">
        <v>0.65459999999999996</v>
      </c>
      <c r="H471" s="1">
        <v>0.73629999999999995</v>
      </c>
      <c r="I471" s="1">
        <v>0.2225</v>
      </c>
      <c r="J471" s="1">
        <v>67705</v>
      </c>
      <c r="K471" s="1">
        <v>26007</v>
      </c>
      <c r="L471" s="1">
        <v>9710</v>
      </c>
      <c r="M471" s="1">
        <v>12</v>
      </c>
      <c r="N471" s="1" t="s">
        <v>20</v>
      </c>
      <c r="O471" s="1" t="s">
        <v>29</v>
      </c>
      <c r="P471" s="1" t="s">
        <v>39</v>
      </c>
      <c r="Q471" s="1" t="s">
        <v>23</v>
      </c>
      <c r="R471">
        <v>0.66076374820858963</v>
      </c>
    </row>
    <row r="472" spans="1:18" x14ac:dyDescent="0.2">
      <c r="A472" s="1">
        <v>157289</v>
      </c>
      <c r="B472" s="1" t="s">
        <v>546</v>
      </c>
      <c r="C472" s="1" t="s">
        <v>104</v>
      </c>
      <c r="D472" s="1">
        <v>0.79410000000000003</v>
      </c>
      <c r="E472" s="1">
        <v>14727</v>
      </c>
      <c r="F472" s="1">
        <v>29482</v>
      </c>
      <c r="G472" s="1">
        <v>0.61229999999999996</v>
      </c>
      <c r="H472" s="1">
        <v>0.81489999999999996</v>
      </c>
      <c r="I472" s="1">
        <v>0.30599999999999999</v>
      </c>
      <c r="J472" s="1">
        <v>53899</v>
      </c>
      <c r="K472" s="1">
        <v>20500</v>
      </c>
      <c r="L472" s="1">
        <v>9671</v>
      </c>
      <c r="M472" s="1">
        <v>14</v>
      </c>
      <c r="N472" s="1" t="s">
        <v>28</v>
      </c>
      <c r="O472" s="1" t="s">
        <v>29</v>
      </c>
      <c r="P472" s="1" t="s">
        <v>30</v>
      </c>
      <c r="Q472" s="1" t="s">
        <v>23</v>
      </c>
      <c r="R472">
        <v>0.6607203976190742</v>
      </c>
    </row>
    <row r="473" spans="1:18" x14ac:dyDescent="0.2">
      <c r="A473" s="1">
        <v>237932</v>
      </c>
      <c r="B473" s="1" t="s">
        <v>547</v>
      </c>
      <c r="C473" s="1" t="s">
        <v>255</v>
      </c>
      <c r="D473" s="1">
        <v>0.97270000000000001</v>
      </c>
      <c r="E473" s="1">
        <v>1511</v>
      </c>
      <c r="F473" s="1">
        <v>17442</v>
      </c>
      <c r="G473" s="1">
        <v>0.59530000000000005</v>
      </c>
      <c r="H473" s="1">
        <v>0.68859999999999999</v>
      </c>
      <c r="I473" s="1">
        <v>0.31879999999999997</v>
      </c>
      <c r="J473" s="1">
        <v>43296</v>
      </c>
      <c r="K473" s="1">
        <v>23250</v>
      </c>
      <c r="L473" s="1">
        <v>7150</v>
      </c>
      <c r="M473" s="1">
        <v>12</v>
      </c>
      <c r="N473" s="1" t="s">
        <v>28</v>
      </c>
      <c r="O473" s="1" t="s">
        <v>42</v>
      </c>
      <c r="P473" s="1" t="s">
        <v>30</v>
      </c>
      <c r="Q473" s="1" t="s">
        <v>31</v>
      </c>
      <c r="R473">
        <v>0.65916597005378696</v>
      </c>
    </row>
    <row r="474" spans="1:18" x14ac:dyDescent="0.2">
      <c r="A474" s="1">
        <v>179894</v>
      </c>
      <c r="B474" s="1" t="s">
        <v>548</v>
      </c>
      <c r="C474" s="1" t="s">
        <v>77</v>
      </c>
      <c r="D474" s="1">
        <v>0.86229999999999996</v>
      </c>
      <c r="E474" s="1">
        <v>2304</v>
      </c>
      <c r="F474" s="1">
        <v>31750</v>
      </c>
      <c r="G474" s="1">
        <v>0.64390000000000003</v>
      </c>
      <c r="H474" s="1">
        <v>0.68659999999999999</v>
      </c>
      <c r="I474" s="1">
        <v>0.28820000000000001</v>
      </c>
      <c r="J474" s="1">
        <v>50876</v>
      </c>
      <c r="K474" s="1">
        <v>23000</v>
      </c>
      <c r="L474" s="1">
        <v>9218</v>
      </c>
      <c r="M474" s="1">
        <v>16</v>
      </c>
      <c r="N474" s="1" t="s">
        <v>20</v>
      </c>
      <c r="O474" s="1" t="s">
        <v>21</v>
      </c>
      <c r="P474" s="1" t="s">
        <v>22</v>
      </c>
      <c r="Q474" s="1" t="s">
        <v>23</v>
      </c>
      <c r="R474">
        <v>0.65905795338987183</v>
      </c>
    </row>
    <row r="475" spans="1:18" x14ac:dyDescent="0.2">
      <c r="A475" s="1">
        <v>445188</v>
      </c>
      <c r="B475" s="1" t="s">
        <v>549</v>
      </c>
      <c r="C475" s="1" t="s">
        <v>33</v>
      </c>
      <c r="D475" s="1">
        <v>0.90529999999999999</v>
      </c>
      <c r="E475" s="1">
        <v>8372</v>
      </c>
      <c r="F475" s="1">
        <v>49823</v>
      </c>
      <c r="G475" s="1">
        <v>0.68720000000000003</v>
      </c>
      <c r="H475" s="1">
        <v>0.82130000000000003</v>
      </c>
      <c r="I475" s="1">
        <v>0.58889999999999998</v>
      </c>
      <c r="J475" s="1">
        <v>64368</v>
      </c>
      <c r="K475" s="1">
        <v>16144</v>
      </c>
      <c r="L475" s="1">
        <v>14834</v>
      </c>
      <c r="M475" s="1">
        <v>20</v>
      </c>
      <c r="N475" s="1" t="s">
        <v>28</v>
      </c>
      <c r="O475" s="1" t="s">
        <v>21</v>
      </c>
      <c r="P475" s="1" t="s">
        <v>22</v>
      </c>
      <c r="Q475" s="1" t="s">
        <v>23</v>
      </c>
      <c r="R475">
        <v>0.65856915074329125</v>
      </c>
    </row>
    <row r="476" spans="1:18" x14ac:dyDescent="0.2">
      <c r="A476" s="1">
        <v>150774</v>
      </c>
      <c r="B476" s="1" t="s">
        <v>550</v>
      </c>
      <c r="C476" s="1" t="s">
        <v>102</v>
      </c>
      <c r="D476" s="1">
        <v>0.75180000000000002</v>
      </c>
      <c r="E476" s="1">
        <v>639</v>
      </c>
      <c r="F476" s="1">
        <v>36600</v>
      </c>
      <c r="G476" s="1">
        <v>0.72889999999999999</v>
      </c>
      <c r="H476" s="1">
        <v>0.70389999999999997</v>
      </c>
      <c r="I476" s="1">
        <v>0.29749999999999999</v>
      </c>
      <c r="J476" s="1">
        <v>50416</v>
      </c>
      <c r="K476" s="1">
        <v>24000</v>
      </c>
      <c r="L476" s="1">
        <v>7176</v>
      </c>
      <c r="M476" s="1">
        <v>13</v>
      </c>
      <c r="N476" s="1" t="s">
        <v>20</v>
      </c>
      <c r="O476" s="1" t="s">
        <v>21</v>
      </c>
      <c r="P476" s="1" t="s">
        <v>22</v>
      </c>
      <c r="Q476" s="1" t="s">
        <v>23</v>
      </c>
      <c r="R476">
        <v>0.6575911222453279</v>
      </c>
    </row>
    <row r="477" spans="1:18" x14ac:dyDescent="0.2">
      <c r="A477" s="1">
        <v>199218</v>
      </c>
      <c r="B477" s="1" t="s">
        <v>551</v>
      </c>
      <c r="C477" s="1" t="s">
        <v>86</v>
      </c>
      <c r="D477" s="1">
        <v>0.64239999999999997</v>
      </c>
      <c r="E477" s="1">
        <v>14922</v>
      </c>
      <c r="F477" s="1">
        <v>24152</v>
      </c>
      <c r="G477" s="1">
        <v>0.70589999999999997</v>
      </c>
      <c r="H477" s="1">
        <v>0.88160000000000005</v>
      </c>
      <c r="I477" s="1">
        <v>0.23949999999999999</v>
      </c>
      <c r="J477" s="1">
        <v>54967</v>
      </c>
      <c r="K477" s="1">
        <v>19500</v>
      </c>
      <c r="L477" s="1">
        <v>10074</v>
      </c>
      <c r="M477" s="1">
        <v>17</v>
      </c>
      <c r="N477" s="1" t="s">
        <v>28</v>
      </c>
      <c r="O477" s="1" t="s">
        <v>29</v>
      </c>
      <c r="P477" s="1" t="s">
        <v>30</v>
      </c>
      <c r="Q477" s="1" t="s">
        <v>23</v>
      </c>
      <c r="R477">
        <v>0.6574052899565741</v>
      </c>
    </row>
    <row r="478" spans="1:18" x14ac:dyDescent="0.2">
      <c r="A478" s="1">
        <v>110510</v>
      </c>
      <c r="B478" s="1" t="s">
        <v>552</v>
      </c>
      <c r="C478" s="1" t="s">
        <v>33</v>
      </c>
      <c r="D478" s="1">
        <v>0.93740000000000001</v>
      </c>
      <c r="E478" s="1">
        <v>15023</v>
      </c>
      <c r="F478" s="1">
        <v>20693</v>
      </c>
      <c r="G478" s="1">
        <v>0.54900000000000004</v>
      </c>
      <c r="H478" s="1">
        <v>0.79590000000000005</v>
      </c>
      <c r="I478" s="1">
        <v>0.57620000000000005</v>
      </c>
      <c r="J478" s="1">
        <v>59977</v>
      </c>
      <c r="K478" s="1">
        <v>14715</v>
      </c>
      <c r="L478" s="1">
        <v>11988</v>
      </c>
      <c r="M478" s="1">
        <v>22</v>
      </c>
      <c r="N478" s="1" t="s">
        <v>28</v>
      </c>
      <c r="O478" s="1" t="s">
        <v>29</v>
      </c>
      <c r="P478" s="1" t="s">
        <v>22</v>
      </c>
      <c r="Q478" s="1" t="s">
        <v>23</v>
      </c>
      <c r="R478">
        <v>0.65710213619955293</v>
      </c>
    </row>
    <row r="479" spans="1:18" x14ac:dyDescent="0.2">
      <c r="A479" s="1">
        <v>214670</v>
      </c>
      <c r="B479" s="1" t="s">
        <v>553</v>
      </c>
      <c r="C479" s="1" t="s">
        <v>98</v>
      </c>
      <c r="D479" s="1">
        <v>0.97370000000000001</v>
      </c>
      <c r="E479" s="1">
        <v>859</v>
      </c>
      <c r="F479" s="1">
        <v>25392</v>
      </c>
      <c r="G479" s="1">
        <v>0.17829999999999999</v>
      </c>
      <c r="H479" s="1">
        <v>0.83389999999999997</v>
      </c>
      <c r="I479" s="1">
        <v>0.35010000000000002</v>
      </c>
      <c r="J479" s="1">
        <v>63435</v>
      </c>
      <c r="K479" s="1">
        <v>25000</v>
      </c>
      <c r="L479" s="1">
        <v>8550</v>
      </c>
      <c r="M479" s="1">
        <v>14</v>
      </c>
      <c r="N479" s="1" t="s">
        <v>28</v>
      </c>
      <c r="O479" s="1" t="s">
        <v>21</v>
      </c>
      <c r="P479" s="1" t="s">
        <v>39</v>
      </c>
      <c r="Q479" s="1" t="s">
        <v>23</v>
      </c>
      <c r="R479">
        <v>0.65638079094669044</v>
      </c>
    </row>
    <row r="480" spans="1:18" x14ac:dyDescent="0.2">
      <c r="A480" s="1">
        <v>182670</v>
      </c>
      <c r="B480" s="1" t="s">
        <v>554</v>
      </c>
      <c r="C480" s="1" t="s">
        <v>38</v>
      </c>
      <c r="D480" s="1">
        <v>5.3999999999999999E-2</v>
      </c>
      <c r="E480" s="1">
        <v>4541</v>
      </c>
      <c r="F480" s="1">
        <v>68268</v>
      </c>
      <c r="G480" s="1">
        <v>0.95540000000000003</v>
      </c>
      <c r="H480" s="1">
        <v>0.98419999999999996</v>
      </c>
      <c r="I480" s="1">
        <v>0.14349999999999999</v>
      </c>
      <c r="J480" s="1">
        <v>97434</v>
      </c>
      <c r="K480" s="1">
        <v>17500</v>
      </c>
      <c r="L480" s="1">
        <v>19770</v>
      </c>
      <c r="M480" s="1">
        <v>7</v>
      </c>
      <c r="N480" s="1" t="s">
        <v>20</v>
      </c>
      <c r="O480" s="1" t="s">
        <v>42</v>
      </c>
      <c r="P480" s="1" t="s">
        <v>39</v>
      </c>
      <c r="Q480" s="1" t="s">
        <v>23</v>
      </c>
      <c r="R480">
        <v>0.65605202850911737</v>
      </c>
    </row>
    <row r="481" spans="1:18" x14ac:dyDescent="0.2">
      <c r="A481" s="1">
        <v>153126</v>
      </c>
      <c r="B481" s="1" t="s">
        <v>555</v>
      </c>
      <c r="C481" s="1" t="s">
        <v>81</v>
      </c>
      <c r="D481" s="1">
        <v>0.71830000000000005</v>
      </c>
      <c r="E481" s="1">
        <v>742</v>
      </c>
      <c r="F481" s="1">
        <v>40910</v>
      </c>
      <c r="G481" s="1">
        <v>0.56120000000000003</v>
      </c>
      <c r="H481" s="1">
        <v>0.6734</v>
      </c>
      <c r="I481" s="1">
        <v>0.36730000000000002</v>
      </c>
      <c r="J481" s="1">
        <v>55396</v>
      </c>
      <c r="K481" s="1">
        <v>26717</v>
      </c>
      <c r="L481" s="1">
        <v>6842</v>
      </c>
      <c r="M481" s="1">
        <v>9</v>
      </c>
      <c r="N481" s="1" t="s">
        <v>20</v>
      </c>
      <c r="O481" s="1" t="s">
        <v>29</v>
      </c>
      <c r="P481" s="1" t="s">
        <v>22</v>
      </c>
      <c r="Q481" s="1" t="s">
        <v>23</v>
      </c>
      <c r="R481">
        <v>0.65604134268689884</v>
      </c>
    </row>
    <row r="482" spans="1:18" x14ac:dyDescent="0.2">
      <c r="A482" s="1">
        <v>131496</v>
      </c>
      <c r="B482" s="1" t="s">
        <v>556</v>
      </c>
      <c r="C482" s="1" t="s">
        <v>84</v>
      </c>
      <c r="D482" s="1">
        <v>0.12909999999999999</v>
      </c>
      <c r="E482" s="1">
        <v>7569</v>
      </c>
      <c r="F482" s="1">
        <v>68017</v>
      </c>
      <c r="G482" s="1">
        <v>0.94810000000000005</v>
      </c>
      <c r="H482" s="1">
        <v>0.96750000000000003</v>
      </c>
      <c r="I482" s="1">
        <v>0.1012</v>
      </c>
      <c r="J482" s="1">
        <v>103494</v>
      </c>
      <c r="K482" s="1">
        <v>15500</v>
      </c>
      <c r="L482" s="1">
        <v>18098</v>
      </c>
      <c r="M482" s="1">
        <v>11</v>
      </c>
      <c r="N482" s="1" t="s">
        <v>20</v>
      </c>
      <c r="O482" s="1" t="s">
        <v>29</v>
      </c>
      <c r="P482" s="1" t="s">
        <v>30</v>
      </c>
      <c r="Q482" s="1" t="s">
        <v>23</v>
      </c>
      <c r="R482">
        <v>0.65395686685023469</v>
      </c>
    </row>
    <row r="483" spans="1:18" x14ac:dyDescent="0.2">
      <c r="A483" s="1">
        <v>179159</v>
      </c>
      <c r="B483" s="1" t="s">
        <v>557</v>
      </c>
      <c r="C483" s="1" t="s">
        <v>77</v>
      </c>
      <c r="D483" s="1">
        <v>0.75039999999999996</v>
      </c>
      <c r="E483" s="1">
        <v>7267</v>
      </c>
      <c r="F483" s="1">
        <v>55760</v>
      </c>
      <c r="G483" s="1">
        <v>0.79530000000000001</v>
      </c>
      <c r="H483" s="1">
        <v>0.87839999999999996</v>
      </c>
      <c r="I483" s="1">
        <v>0.16889999999999999</v>
      </c>
      <c r="J483" s="1">
        <v>70783</v>
      </c>
      <c r="K483" s="1">
        <v>25000</v>
      </c>
      <c r="L483" s="1">
        <v>11423</v>
      </c>
      <c r="M483" s="1">
        <v>9</v>
      </c>
      <c r="N483" s="1" t="s">
        <v>20</v>
      </c>
      <c r="O483" s="1" t="s">
        <v>29</v>
      </c>
      <c r="P483" s="1" t="s">
        <v>22</v>
      </c>
      <c r="Q483" s="1" t="s">
        <v>23</v>
      </c>
      <c r="R483">
        <v>0.65347026019070653</v>
      </c>
    </row>
    <row r="484" spans="1:18" x14ac:dyDescent="0.2">
      <c r="A484" s="1">
        <v>110617</v>
      </c>
      <c r="B484" s="1" t="s">
        <v>558</v>
      </c>
      <c r="C484" s="1" t="s">
        <v>33</v>
      </c>
      <c r="D484" s="1">
        <v>0.93989999999999996</v>
      </c>
      <c r="E484" s="1">
        <v>28350</v>
      </c>
      <c r="F484" s="1">
        <v>20618</v>
      </c>
      <c r="G484" s="1">
        <v>0.56289999999999996</v>
      </c>
      <c r="H484" s="1">
        <v>0.81910000000000005</v>
      </c>
      <c r="I484" s="1">
        <v>0.49130000000000001</v>
      </c>
      <c r="J484" s="1">
        <v>64876</v>
      </c>
      <c r="K484" s="1">
        <v>15000</v>
      </c>
      <c r="L484" s="1">
        <v>11717</v>
      </c>
      <c r="M484" s="1">
        <v>24</v>
      </c>
      <c r="N484" s="1" t="s">
        <v>28</v>
      </c>
      <c r="O484" s="1" t="s">
        <v>29</v>
      </c>
      <c r="P484" s="1" t="s">
        <v>22</v>
      </c>
      <c r="Q484" s="1" t="s">
        <v>23</v>
      </c>
      <c r="R484">
        <v>0.65340854636980239</v>
      </c>
    </row>
    <row r="485" spans="1:18" x14ac:dyDescent="0.2">
      <c r="A485" s="1">
        <v>202523</v>
      </c>
      <c r="B485" s="1" t="s">
        <v>559</v>
      </c>
      <c r="C485" s="1" t="s">
        <v>19</v>
      </c>
      <c r="D485" s="1">
        <v>0.1739</v>
      </c>
      <c r="E485" s="1">
        <v>2380</v>
      </c>
      <c r="F485" s="1">
        <v>67000</v>
      </c>
      <c r="G485" s="1">
        <v>0.78900000000000003</v>
      </c>
      <c r="H485" s="1">
        <v>0.88519999999999999</v>
      </c>
      <c r="I485" s="1">
        <v>0.1255</v>
      </c>
      <c r="J485" s="1">
        <v>67753</v>
      </c>
      <c r="K485" s="1">
        <v>26000</v>
      </c>
      <c r="L485" s="1">
        <v>11237</v>
      </c>
      <c r="M485" s="1">
        <v>9</v>
      </c>
      <c r="N485" s="1" t="s">
        <v>20</v>
      </c>
      <c r="O485" s="1" t="s">
        <v>21</v>
      </c>
      <c r="P485" s="1" t="s">
        <v>22</v>
      </c>
      <c r="Q485" s="1" t="s">
        <v>23</v>
      </c>
      <c r="R485">
        <v>0.65288758910957057</v>
      </c>
    </row>
    <row r="486" spans="1:18" x14ac:dyDescent="0.2">
      <c r="A486" s="1">
        <v>140447</v>
      </c>
      <c r="B486" s="1" t="s">
        <v>560</v>
      </c>
      <c r="C486" s="1" t="s">
        <v>126</v>
      </c>
      <c r="D486" s="1">
        <v>0.68889999999999996</v>
      </c>
      <c r="E486" s="1">
        <v>4500</v>
      </c>
      <c r="F486" s="1">
        <v>42312</v>
      </c>
      <c r="G486" s="1">
        <v>0.69620000000000004</v>
      </c>
      <c r="H486" s="1">
        <v>0.8216</v>
      </c>
      <c r="I486" s="1">
        <v>0.3543</v>
      </c>
      <c r="J486" s="1">
        <v>58354</v>
      </c>
      <c r="K486" s="1">
        <v>24199</v>
      </c>
      <c r="L486" s="1">
        <v>9556</v>
      </c>
      <c r="M486" s="1">
        <v>11</v>
      </c>
      <c r="N486" s="1" t="s">
        <v>20</v>
      </c>
      <c r="O486" s="1" t="s">
        <v>29</v>
      </c>
      <c r="P486" s="1" t="s">
        <v>30</v>
      </c>
      <c r="Q486" s="1" t="s">
        <v>23</v>
      </c>
      <c r="R486">
        <v>0.65153907511345321</v>
      </c>
    </row>
    <row r="487" spans="1:18" x14ac:dyDescent="0.2">
      <c r="A487" s="1">
        <v>156620</v>
      </c>
      <c r="B487" s="1" t="s">
        <v>561</v>
      </c>
      <c r="C487" s="1" t="s">
        <v>104</v>
      </c>
      <c r="D487" s="1">
        <v>0.77610000000000001</v>
      </c>
      <c r="E487" s="1">
        <v>12318</v>
      </c>
      <c r="F487" s="1">
        <v>21230</v>
      </c>
      <c r="G487" s="1">
        <v>0.50039999999999996</v>
      </c>
      <c r="H487" s="1">
        <v>0.76929999999999998</v>
      </c>
      <c r="I487" s="1">
        <v>0.41099999999999998</v>
      </c>
      <c r="J487" s="1">
        <v>45795</v>
      </c>
      <c r="K487" s="1">
        <v>22500</v>
      </c>
      <c r="L487" s="1">
        <v>7826</v>
      </c>
      <c r="M487" s="1">
        <v>17</v>
      </c>
      <c r="N487" s="1" t="s">
        <v>28</v>
      </c>
      <c r="O487" s="1" t="s">
        <v>42</v>
      </c>
      <c r="P487" s="1" t="s">
        <v>30</v>
      </c>
      <c r="Q487" s="1" t="s">
        <v>31</v>
      </c>
      <c r="R487">
        <v>0.65125282303571475</v>
      </c>
    </row>
    <row r="488" spans="1:18" x14ac:dyDescent="0.2">
      <c r="A488" s="1">
        <v>498571</v>
      </c>
      <c r="B488" s="1" t="s">
        <v>562</v>
      </c>
      <c r="C488" s="1" t="s">
        <v>98</v>
      </c>
      <c r="D488" s="1">
        <v>0.94330000000000003</v>
      </c>
      <c r="E488" s="1">
        <v>7451</v>
      </c>
      <c r="F488" s="1">
        <v>16054</v>
      </c>
      <c r="G488" s="1">
        <v>0.51880000000000004</v>
      </c>
      <c r="H488" s="1">
        <v>0.71689999999999998</v>
      </c>
      <c r="I488" s="1">
        <v>0.38300000000000001</v>
      </c>
      <c r="J488" s="1">
        <v>47295</v>
      </c>
      <c r="K488" s="1">
        <v>23725</v>
      </c>
      <c r="L488" s="1">
        <v>11870</v>
      </c>
      <c r="M488" s="1">
        <v>18</v>
      </c>
      <c r="N488" s="1" t="s">
        <v>28</v>
      </c>
      <c r="O488" s="1" t="s">
        <v>42</v>
      </c>
      <c r="P488" s="1" t="s">
        <v>39</v>
      </c>
      <c r="Q488" s="1" t="s">
        <v>31</v>
      </c>
      <c r="R488">
        <v>0.65115219115752421</v>
      </c>
    </row>
    <row r="489" spans="1:18" x14ac:dyDescent="0.2">
      <c r="A489" s="1">
        <v>173902</v>
      </c>
      <c r="B489" s="1" t="s">
        <v>563</v>
      </c>
      <c r="C489" s="1" t="s">
        <v>54</v>
      </c>
      <c r="D489" s="1">
        <v>0.28520000000000001</v>
      </c>
      <c r="E489" s="1">
        <v>2131</v>
      </c>
      <c r="F489" s="1">
        <v>68104</v>
      </c>
      <c r="G489" s="1">
        <v>0.871</v>
      </c>
      <c r="H489" s="1">
        <v>0.92279999999999995</v>
      </c>
      <c r="I489" s="1">
        <v>0.17230000000000001</v>
      </c>
      <c r="J489" s="1">
        <v>63878</v>
      </c>
      <c r="K489" s="1">
        <v>23000</v>
      </c>
      <c r="L489" s="1">
        <v>11951</v>
      </c>
      <c r="M489" s="1">
        <v>10</v>
      </c>
      <c r="N489" s="1" t="s">
        <v>20</v>
      </c>
      <c r="O489" s="1" t="s">
        <v>29</v>
      </c>
      <c r="P489" s="1" t="s">
        <v>22</v>
      </c>
      <c r="Q489" s="1" t="s">
        <v>23</v>
      </c>
      <c r="R489">
        <v>0.6489569758906748</v>
      </c>
    </row>
    <row r="490" spans="1:18" x14ac:dyDescent="0.2">
      <c r="A490" s="1">
        <v>155335</v>
      </c>
      <c r="B490" s="1" t="s">
        <v>564</v>
      </c>
      <c r="C490" s="1" t="s">
        <v>56</v>
      </c>
      <c r="D490" s="1">
        <v>0.73980000000000001</v>
      </c>
      <c r="E490" s="1">
        <v>851</v>
      </c>
      <c r="F490" s="1">
        <v>35500</v>
      </c>
      <c r="G490" s="1">
        <v>0.52810000000000001</v>
      </c>
      <c r="H490" s="1">
        <v>0.68869999999999998</v>
      </c>
      <c r="I490" s="1">
        <v>0.1226</v>
      </c>
      <c r="J490" s="1">
        <v>55041</v>
      </c>
      <c r="K490" s="1">
        <v>20801</v>
      </c>
      <c r="L490" s="1">
        <v>6512</v>
      </c>
      <c r="M490" s="1">
        <v>16</v>
      </c>
      <c r="N490" s="1" t="s">
        <v>20</v>
      </c>
      <c r="O490" s="1" t="s">
        <v>29</v>
      </c>
      <c r="P490" s="1" t="s">
        <v>22</v>
      </c>
      <c r="Q490" s="1" t="s">
        <v>23</v>
      </c>
      <c r="R490">
        <v>0.64772933696717361</v>
      </c>
    </row>
    <row r="491" spans="1:18" x14ac:dyDescent="0.2">
      <c r="A491" s="1">
        <v>191515</v>
      </c>
      <c r="B491" s="1" t="s">
        <v>565</v>
      </c>
      <c r="C491" s="1" t="s">
        <v>58</v>
      </c>
      <c r="D491" s="1">
        <v>0.13619999999999999</v>
      </c>
      <c r="E491" s="1">
        <v>2030</v>
      </c>
      <c r="F491" s="1">
        <v>68960</v>
      </c>
      <c r="G491" s="1">
        <v>0.90629999999999999</v>
      </c>
      <c r="H491" s="1">
        <v>0.94810000000000005</v>
      </c>
      <c r="I491" s="1">
        <v>0.1772</v>
      </c>
      <c r="J491" s="1">
        <v>78411</v>
      </c>
      <c r="K491" s="1">
        <v>17000</v>
      </c>
      <c r="L491" s="1">
        <v>12404</v>
      </c>
      <c r="M491" s="1">
        <v>9</v>
      </c>
      <c r="N491" s="1" t="s">
        <v>20</v>
      </c>
      <c r="O491" s="1" t="s">
        <v>21</v>
      </c>
      <c r="P491" s="1" t="s">
        <v>39</v>
      </c>
      <c r="Q491" s="1" t="s">
        <v>23</v>
      </c>
      <c r="R491">
        <v>0.64622572086581043</v>
      </c>
    </row>
    <row r="492" spans="1:18" x14ac:dyDescent="0.2">
      <c r="A492" s="1">
        <v>144351</v>
      </c>
      <c r="B492" s="1" t="s">
        <v>566</v>
      </c>
      <c r="C492" s="1" t="s">
        <v>25</v>
      </c>
      <c r="D492" s="1">
        <v>0.92789999999999995</v>
      </c>
      <c r="E492" s="1">
        <v>1323</v>
      </c>
      <c r="F492" s="1">
        <v>37488</v>
      </c>
      <c r="G492" s="1">
        <v>0.36459999999999998</v>
      </c>
      <c r="H492" s="1">
        <v>0.60499999999999998</v>
      </c>
      <c r="I492" s="1">
        <v>0.45679999999999998</v>
      </c>
      <c r="J492" s="1">
        <v>54089</v>
      </c>
      <c r="K492" s="1">
        <v>23000</v>
      </c>
      <c r="L492" s="1">
        <v>6759</v>
      </c>
      <c r="M492" s="1">
        <v>13</v>
      </c>
      <c r="N492" s="1" t="s">
        <v>20</v>
      </c>
      <c r="O492" s="1" t="s">
        <v>21</v>
      </c>
      <c r="P492" s="1" t="s">
        <v>22</v>
      </c>
      <c r="Q492" s="1" t="s">
        <v>23</v>
      </c>
      <c r="R492">
        <v>0.64525857689479638</v>
      </c>
    </row>
    <row r="493" spans="1:18" x14ac:dyDescent="0.2">
      <c r="A493" s="1">
        <v>153366</v>
      </c>
      <c r="B493" s="1" t="s">
        <v>567</v>
      </c>
      <c r="C493" s="1" t="s">
        <v>81</v>
      </c>
      <c r="D493" s="1">
        <v>0.80830000000000002</v>
      </c>
      <c r="E493" s="1">
        <v>798</v>
      </c>
      <c r="F493" s="1">
        <v>20950</v>
      </c>
      <c r="G493" s="1">
        <v>0.41949999999999998</v>
      </c>
      <c r="H493" s="1">
        <v>0.5504</v>
      </c>
      <c r="I493" s="1">
        <v>0.49230000000000002</v>
      </c>
      <c r="J493" s="1">
        <v>47361</v>
      </c>
      <c r="K493" s="1">
        <v>21212</v>
      </c>
      <c r="L493" s="1">
        <v>6885</v>
      </c>
      <c r="M493" s="1">
        <v>12</v>
      </c>
      <c r="N493" s="1" t="s">
        <v>20</v>
      </c>
      <c r="O493" s="1" t="s">
        <v>42</v>
      </c>
      <c r="P493" s="1" t="s">
        <v>22</v>
      </c>
      <c r="Q493" s="1" t="s">
        <v>31</v>
      </c>
      <c r="R493">
        <v>0.64463329992748242</v>
      </c>
    </row>
    <row r="494" spans="1:18" x14ac:dyDescent="0.2">
      <c r="A494" s="1">
        <v>134097</v>
      </c>
      <c r="B494" s="1" t="s">
        <v>568</v>
      </c>
      <c r="C494" s="1" t="s">
        <v>27</v>
      </c>
      <c r="D494" s="1">
        <v>0.2422</v>
      </c>
      <c r="E494" s="1">
        <v>32212</v>
      </c>
      <c r="F494" s="1">
        <v>18786</v>
      </c>
      <c r="G494" s="1">
        <v>0.85609999999999997</v>
      </c>
      <c r="H494" s="1">
        <v>0.96050000000000002</v>
      </c>
      <c r="I494" s="1">
        <v>0.22969999999999999</v>
      </c>
      <c r="J494" s="1">
        <v>61675</v>
      </c>
      <c r="K494" s="1">
        <v>18000</v>
      </c>
      <c r="L494" s="1">
        <v>12841</v>
      </c>
      <c r="M494" s="1">
        <v>17</v>
      </c>
      <c r="N494" s="1" t="s">
        <v>28</v>
      </c>
      <c r="O494" s="1" t="s">
        <v>29</v>
      </c>
      <c r="P494" s="1" t="s">
        <v>30</v>
      </c>
      <c r="Q494" s="1" t="s">
        <v>23</v>
      </c>
      <c r="R494">
        <v>0.64462292850738401</v>
      </c>
    </row>
    <row r="495" spans="1:18" x14ac:dyDescent="0.2">
      <c r="A495" s="1">
        <v>232256</v>
      </c>
      <c r="B495" s="1" t="s">
        <v>569</v>
      </c>
      <c r="C495" s="1" t="s">
        <v>52</v>
      </c>
      <c r="D495" s="1">
        <v>0.40920000000000001</v>
      </c>
      <c r="E495" s="1">
        <v>946</v>
      </c>
      <c r="F495" s="1">
        <v>54550</v>
      </c>
      <c r="G495" s="1">
        <v>0.62170000000000003</v>
      </c>
      <c r="H495" s="1">
        <v>0.83679999999999999</v>
      </c>
      <c r="I495" s="1">
        <v>0.2263</v>
      </c>
      <c r="J495" s="1">
        <v>67640</v>
      </c>
      <c r="K495" s="1">
        <v>26000</v>
      </c>
      <c r="L495" s="1">
        <v>9550</v>
      </c>
      <c r="M495" s="1">
        <v>9</v>
      </c>
      <c r="N495" s="1" t="s">
        <v>20</v>
      </c>
      <c r="O495" s="1" t="s">
        <v>42</v>
      </c>
      <c r="P495" s="1" t="s">
        <v>30</v>
      </c>
      <c r="Q495" s="1" t="s">
        <v>23</v>
      </c>
      <c r="R495">
        <v>0.64462068165690678</v>
      </c>
    </row>
    <row r="496" spans="1:18" x14ac:dyDescent="0.2">
      <c r="A496" s="1">
        <v>441982</v>
      </c>
      <c r="B496" s="1" t="s">
        <v>570</v>
      </c>
      <c r="C496" s="1" t="s">
        <v>129</v>
      </c>
      <c r="D496" s="1">
        <v>0.252</v>
      </c>
      <c r="E496" s="1">
        <v>377</v>
      </c>
      <c r="F496" s="1">
        <v>66398</v>
      </c>
      <c r="G496" s="1">
        <v>0.96389999999999998</v>
      </c>
      <c r="H496" s="1">
        <v>0.97960000000000003</v>
      </c>
      <c r="I496" s="1">
        <v>0.12130000000000001</v>
      </c>
      <c r="J496" s="1">
        <v>129455</v>
      </c>
      <c r="K496" s="1">
        <v>19500</v>
      </c>
      <c r="L496" s="1">
        <v>15357</v>
      </c>
      <c r="M496" s="1">
        <v>9</v>
      </c>
      <c r="N496" s="1" t="s">
        <v>20</v>
      </c>
      <c r="O496" s="1" t="s">
        <v>21</v>
      </c>
      <c r="P496" s="1" t="s">
        <v>39</v>
      </c>
      <c r="Q496" s="1" t="s">
        <v>23</v>
      </c>
      <c r="R496">
        <v>0.64443263988050004</v>
      </c>
    </row>
    <row r="497" spans="1:18" x14ac:dyDescent="0.2">
      <c r="A497" s="1">
        <v>203775</v>
      </c>
      <c r="B497" s="1" t="s">
        <v>571</v>
      </c>
      <c r="C497" s="1" t="s">
        <v>19</v>
      </c>
      <c r="D497" s="1">
        <v>0.75860000000000005</v>
      </c>
      <c r="E497" s="1">
        <v>798</v>
      </c>
      <c r="F497" s="1">
        <v>37160</v>
      </c>
      <c r="G497" s="1">
        <v>0.44979999999999998</v>
      </c>
      <c r="H497" s="1">
        <v>0.75580000000000003</v>
      </c>
      <c r="I497" s="1">
        <v>0.32519999999999999</v>
      </c>
      <c r="J497" s="1">
        <v>48909</v>
      </c>
      <c r="K497" s="1">
        <v>26289</v>
      </c>
      <c r="L497" s="1">
        <v>6917</v>
      </c>
      <c r="M497" s="1">
        <v>14</v>
      </c>
      <c r="N497" s="1" t="s">
        <v>20</v>
      </c>
      <c r="O497" s="1" t="s">
        <v>29</v>
      </c>
      <c r="P497" s="1" t="s">
        <v>22</v>
      </c>
      <c r="Q497" s="1" t="s">
        <v>31</v>
      </c>
      <c r="R497">
        <v>0.6443749241981469</v>
      </c>
    </row>
    <row r="498" spans="1:18" x14ac:dyDescent="0.2">
      <c r="A498" s="1">
        <v>112084</v>
      </c>
      <c r="B498" s="1" t="s">
        <v>572</v>
      </c>
      <c r="C498" s="1" t="s">
        <v>33</v>
      </c>
      <c r="D498" s="1">
        <v>0.30809999999999998</v>
      </c>
      <c r="E498" s="1">
        <v>87</v>
      </c>
      <c r="F498" s="1">
        <v>28012</v>
      </c>
      <c r="G498" s="1">
        <v>0.19670000000000001</v>
      </c>
      <c r="H498" s="1">
        <v>0.85709999999999997</v>
      </c>
      <c r="I498" s="1">
        <v>0.45</v>
      </c>
      <c r="J498" s="1">
        <v>49766</v>
      </c>
      <c r="K498" s="1">
        <v>24941</v>
      </c>
      <c r="L498" s="1">
        <v>7898</v>
      </c>
      <c r="M498" s="1">
        <v>9</v>
      </c>
      <c r="N498" s="1" t="s">
        <v>20</v>
      </c>
      <c r="O498" s="1" t="s">
        <v>21</v>
      </c>
      <c r="P498" s="1" t="s">
        <v>22</v>
      </c>
      <c r="Q498" s="1" t="s">
        <v>31</v>
      </c>
      <c r="R498">
        <v>0.6438718612944323</v>
      </c>
    </row>
    <row r="499" spans="1:18" x14ac:dyDescent="0.2">
      <c r="A499" s="1">
        <v>234173</v>
      </c>
      <c r="B499" s="1" t="s">
        <v>573</v>
      </c>
      <c r="C499" s="1" t="s">
        <v>52</v>
      </c>
      <c r="D499" s="1">
        <v>0.72870000000000001</v>
      </c>
      <c r="E499" s="1">
        <v>1256</v>
      </c>
      <c r="F499" s="1">
        <v>37500</v>
      </c>
      <c r="G499" s="1">
        <v>0.41639999999999999</v>
      </c>
      <c r="H499" s="1">
        <v>0.74250000000000005</v>
      </c>
      <c r="I499" s="1">
        <v>0.2712</v>
      </c>
      <c r="J499" s="1">
        <v>50074</v>
      </c>
      <c r="K499" s="1">
        <v>27000</v>
      </c>
      <c r="L499" s="1">
        <v>8756</v>
      </c>
      <c r="M499" s="1">
        <v>15</v>
      </c>
      <c r="N499" s="1" t="s">
        <v>20</v>
      </c>
      <c r="O499" s="1" t="s">
        <v>29</v>
      </c>
      <c r="P499" s="1" t="s">
        <v>30</v>
      </c>
      <c r="Q499" s="1" t="s">
        <v>23</v>
      </c>
      <c r="R499">
        <v>0.64311901777334546</v>
      </c>
    </row>
    <row r="500" spans="1:18" x14ac:dyDescent="0.2">
      <c r="A500" s="1">
        <v>155900</v>
      </c>
      <c r="B500" s="1" t="s">
        <v>574</v>
      </c>
      <c r="C500" s="1" t="s">
        <v>56</v>
      </c>
      <c r="D500" s="1">
        <v>0.75549999999999995</v>
      </c>
      <c r="E500" s="1">
        <v>924</v>
      </c>
      <c r="F500" s="1">
        <v>39822</v>
      </c>
      <c r="G500" s="1">
        <v>0.35680000000000001</v>
      </c>
      <c r="H500" s="1">
        <v>0.55900000000000005</v>
      </c>
      <c r="I500" s="1">
        <v>0.40849999999999997</v>
      </c>
      <c r="J500" s="1">
        <v>55646</v>
      </c>
      <c r="K500" s="1">
        <v>25000</v>
      </c>
      <c r="L500" s="1">
        <v>6799</v>
      </c>
      <c r="M500" s="1">
        <v>10</v>
      </c>
      <c r="N500" s="1" t="s">
        <v>20</v>
      </c>
      <c r="O500" s="1" t="s">
        <v>42</v>
      </c>
      <c r="P500" s="1" t="s">
        <v>22</v>
      </c>
      <c r="Q500" s="1" t="s">
        <v>23</v>
      </c>
      <c r="R500">
        <v>0.64273107338758495</v>
      </c>
    </row>
    <row r="501" spans="1:18" x14ac:dyDescent="0.2">
      <c r="A501" s="1">
        <v>152336</v>
      </c>
      <c r="B501" s="1" t="s">
        <v>575</v>
      </c>
      <c r="C501" s="1" t="s">
        <v>102</v>
      </c>
      <c r="D501" s="1">
        <v>0.9597</v>
      </c>
      <c r="E501" s="1">
        <v>1567</v>
      </c>
      <c r="F501" s="1">
        <v>36460</v>
      </c>
      <c r="G501" s="1">
        <v>0.54969999999999997</v>
      </c>
      <c r="H501" s="1">
        <v>0.70720000000000005</v>
      </c>
      <c r="I501" s="1">
        <v>0.4385</v>
      </c>
      <c r="J501" s="1">
        <v>55362</v>
      </c>
      <c r="K501" s="1">
        <v>25976</v>
      </c>
      <c r="L501" s="1">
        <v>7265</v>
      </c>
      <c r="M501" s="1">
        <v>11</v>
      </c>
      <c r="N501" s="1" t="s">
        <v>20</v>
      </c>
      <c r="O501" s="1" t="s">
        <v>29</v>
      </c>
      <c r="P501" s="1" t="s">
        <v>22</v>
      </c>
      <c r="Q501" s="1" t="s">
        <v>23</v>
      </c>
      <c r="R501">
        <v>0.64240180753419274</v>
      </c>
    </row>
    <row r="502" spans="1:18" x14ac:dyDescent="0.2">
      <c r="A502" s="1">
        <v>231420</v>
      </c>
      <c r="B502" s="1" t="s">
        <v>576</v>
      </c>
      <c r="C502" s="1" t="s">
        <v>52</v>
      </c>
      <c r="D502" s="1">
        <v>0.56589999999999996</v>
      </c>
      <c r="E502" s="1">
        <v>1231</v>
      </c>
      <c r="F502" s="1">
        <v>38550</v>
      </c>
      <c r="G502" s="1">
        <v>0.48139999999999999</v>
      </c>
      <c r="H502" s="1">
        <v>0.65249999999999997</v>
      </c>
      <c r="I502" s="1">
        <v>0.41099999999999998</v>
      </c>
      <c r="J502" s="1">
        <v>51516</v>
      </c>
      <c r="K502" s="1">
        <v>25000</v>
      </c>
      <c r="L502" s="1">
        <v>6196</v>
      </c>
      <c r="M502" s="1">
        <v>16</v>
      </c>
      <c r="N502" s="1" t="s">
        <v>20</v>
      </c>
      <c r="O502" s="1" t="s">
        <v>42</v>
      </c>
      <c r="P502" s="1" t="s">
        <v>30</v>
      </c>
      <c r="Q502" s="1" t="s">
        <v>23</v>
      </c>
      <c r="R502">
        <v>0.64204596217065968</v>
      </c>
    </row>
    <row r="503" spans="1:18" x14ac:dyDescent="0.2">
      <c r="A503" s="1">
        <v>140696</v>
      </c>
      <c r="B503" s="1" t="s">
        <v>577</v>
      </c>
      <c r="C503" s="1" t="s">
        <v>126</v>
      </c>
      <c r="D503" s="1">
        <v>0.88449999999999995</v>
      </c>
      <c r="E503" s="1">
        <v>1352</v>
      </c>
      <c r="F503" s="1">
        <v>47590</v>
      </c>
      <c r="G503" s="1">
        <v>0.54100000000000004</v>
      </c>
      <c r="H503" s="1">
        <v>0.73329999999999995</v>
      </c>
      <c r="I503" s="1">
        <v>0.35959999999999998</v>
      </c>
      <c r="J503" s="1">
        <v>55232</v>
      </c>
      <c r="K503" s="1">
        <v>25000</v>
      </c>
      <c r="L503" s="1">
        <v>7901</v>
      </c>
      <c r="M503" s="1">
        <v>13</v>
      </c>
      <c r="N503" s="1" t="s">
        <v>20</v>
      </c>
      <c r="O503" s="1" t="s">
        <v>21</v>
      </c>
      <c r="P503" s="1" t="s">
        <v>30</v>
      </c>
      <c r="Q503" s="1" t="s">
        <v>23</v>
      </c>
      <c r="R503">
        <v>0.64142255318141528</v>
      </c>
    </row>
    <row r="504" spans="1:18" x14ac:dyDescent="0.2">
      <c r="A504" s="1">
        <v>149772</v>
      </c>
      <c r="B504" s="1" t="s">
        <v>578</v>
      </c>
      <c r="C504" s="1" t="s">
        <v>25</v>
      </c>
      <c r="D504" s="1">
        <v>0.71179999999999999</v>
      </c>
      <c r="E504" s="1">
        <v>4410</v>
      </c>
      <c r="F504" s="1">
        <v>15264</v>
      </c>
      <c r="G504" s="1">
        <v>0.45219999999999999</v>
      </c>
      <c r="H504" s="1">
        <v>0.61370000000000002</v>
      </c>
      <c r="I504" s="1">
        <v>0.28060000000000002</v>
      </c>
      <c r="J504" s="1">
        <v>54163</v>
      </c>
      <c r="K504" s="1">
        <v>25251</v>
      </c>
      <c r="L504" s="1">
        <v>10238</v>
      </c>
      <c r="M504" s="1">
        <v>12</v>
      </c>
      <c r="N504" s="1" t="s">
        <v>28</v>
      </c>
      <c r="O504" s="1" t="s">
        <v>42</v>
      </c>
      <c r="P504" s="1" t="s">
        <v>22</v>
      </c>
      <c r="Q504" s="1" t="s">
        <v>23</v>
      </c>
      <c r="R504">
        <v>0.64019452169927848</v>
      </c>
    </row>
    <row r="505" spans="1:18" x14ac:dyDescent="0.2">
      <c r="A505" s="1">
        <v>152600</v>
      </c>
      <c r="B505" s="1" t="s">
        <v>579</v>
      </c>
      <c r="C505" s="1" t="s">
        <v>102</v>
      </c>
      <c r="D505" s="1">
        <v>0.89429999999999998</v>
      </c>
      <c r="E505" s="1">
        <v>2083</v>
      </c>
      <c r="F505" s="1">
        <v>48450</v>
      </c>
      <c r="G505" s="1">
        <v>0.70369999999999999</v>
      </c>
      <c r="H505" s="1">
        <v>0.754</v>
      </c>
      <c r="I505" s="1">
        <v>0.2732</v>
      </c>
      <c r="J505" s="1">
        <v>63191</v>
      </c>
      <c r="K505" s="1">
        <v>26942</v>
      </c>
      <c r="L505" s="1">
        <v>8127</v>
      </c>
      <c r="M505" s="1">
        <v>10</v>
      </c>
      <c r="N505" s="1" t="s">
        <v>20</v>
      </c>
      <c r="O505" s="1" t="s">
        <v>21</v>
      </c>
      <c r="P505" s="1" t="s">
        <v>22</v>
      </c>
      <c r="Q505" s="1" t="s">
        <v>23</v>
      </c>
      <c r="R505">
        <v>0.63806084297503007</v>
      </c>
    </row>
    <row r="506" spans="1:18" x14ac:dyDescent="0.2">
      <c r="A506" s="1">
        <v>160959</v>
      </c>
      <c r="B506" s="1" t="s">
        <v>580</v>
      </c>
      <c r="C506" s="1" t="s">
        <v>74</v>
      </c>
      <c r="D506" s="1">
        <v>0.70169999999999999</v>
      </c>
      <c r="E506" s="1">
        <v>353</v>
      </c>
      <c r="F506" s="1">
        <v>47997</v>
      </c>
      <c r="G506" s="1">
        <v>0.68289999999999995</v>
      </c>
      <c r="H506" s="1">
        <v>0.85</v>
      </c>
      <c r="I506" s="1">
        <v>0.28060000000000002</v>
      </c>
      <c r="J506" s="1">
        <v>40264</v>
      </c>
      <c r="K506" s="1">
        <v>25050</v>
      </c>
      <c r="L506" s="1">
        <v>9002</v>
      </c>
      <c r="M506" s="1">
        <v>9</v>
      </c>
      <c r="N506" s="1" t="s">
        <v>20</v>
      </c>
      <c r="O506" s="1" t="s">
        <v>42</v>
      </c>
      <c r="P506" s="1" t="s">
        <v>39</v>
      </c>
      <c r="Q506" s="1" t="s">
        <v>31</v>
      </c>
      <c r="R506">
        <v>0.63794903766862621</v>
      </c>
    </row>
    <row r="507" spans="1:18" x14ac:dyDescent="0.2">
      <c r="A507" s="1">
        <v>165936</v>
      </c>
      <c r="B507" s="1" t="s">
        <v>581</v>
      </c>
      <c r="C507" s="1" t="s">
        <v>129</v>
      </c>
      <c r="D507" s="1">
        <v>0.69230000000000003</v>
      </c>
      <c r="E507" s="1">
        <v>1278</v>
      </c>
      <c r="F507" s="1">
        <v>30700</v>
      </c>
      <c r="G507" s="1">
        <v>0.68540000000000001</v>
      </c>
      <c r="H507" s="1">
        <v>0.84419999999999995</v>
      </c>
      <c r="I507" s="1">
        <v>0.20799999999999999</v>
      </c>
      <c r="J507" s="1">
        <v>52119</v>
      </c>
      <c r="K507" s="1">
        <v>26250</v>
      </c>
      <c r="L507" s="1">
        <v>7927</v>
      </c>
      <c r="M507" s="1">
        <v>10</v>
      </c>
      <c r="N507" s="1" t="s">
        <v>20</v>
      </c>
      <c r="O507" s="1" t="s">
        <v>42</v>
      </c>
      <c r="P507" s="1" t="s">
        <v>39</v>
      </c>
      <c r="Q507" s="1" t="s">
        <v>23</v>
      </c>
      <c r="R507">
        <v>0.63262891666617782</v>
      </c>
    </row>
    <row r="508" spans="1:18" x14ac:dyDescent="0.2">
      <c r="A508" s="1">
        <v>196185</v>
      </c>
      <c r="B508" s="1" t="s">
        <v>582</v>
      </c>
      <c r="C508" s="1" t="s">
        <v>58</v>
      </c>
      <c r="D508" s="1">
        <v>0.69599999999999995</v>
      </c>
      <c r="E508" s="1">
        <v>4643</v>
      </c>
      <c r="F508" s="1">
        <v>19781</v>
      </c>
      <c r="G508" s="1">
        <v>0.68810000000000004</v>
      </c>
      <c r="H508" s="1">
        <v>0.75509999999999999</v>
      </c>
      <c r="I508" s="1">
        <v>0.36020000000000002</v>
      </c>
      <c r="J508" s="1">
        <v>60386</v>
      </c>
      <c r="K508" s="1">
        <v>19812</v>
      </c>
      <c r="L508" s="1">
        <v>7888</v>
      </c>
      <c r="M508" s="1">
        <v>13</v>
      </c>
      <c r="N508" s="1" t="s">
        <v>28</v>
      </c>
      <c r="O508" s="1" t="s">
        <v>42</v>
      </c>
      <c r="P508" s="1" t="s">
        <v>39</v>
      </c>
      <c r="Q508" s="1" t="s">
        <v>23</v>
      </c>
      <c r="R508">
        <v>0.63081871426353242</v>
      </c>
    </row>
    <row r="509" spans="1:18" x14ac:dyDescent="0.2">
      <c r="A509" s="1">
        <v>224244</v>
      </c>
      <c r="B509" s="1" t="s">
        <v>583</v>
      </c>
      <c r="C509" s="1" t="s">
        <v>36</v>
      </c>
      <c r="D509" s="1">
        <v>0.218</v>
      </c>
      <c r="E509" s="1">
        <v>224</v>
      </c>
      <c r="F509" s="1">
        <v>21730</v>
      </c>
      <c r="G509" s="1">
        <v>0.28570000000000001</v>
      </c>
      <c r="H509" s="1">
        <v>0.40910000000000002</v>
      </c>
      <c r="I509" s="1">
        <v>0.48559999999999998</v>
      </c>
      <c r="J509" s="1">
        <v>43503</v>
      </c>
      <c r="K509" s="1">
        <v>24912</v>
      </c>
      <c r="L509" s="1">
        <v>5606</v>
      </c>
      <c r="M509" s="1">
        <v>13</v>
      </c>
      <c r="N509" s="1" t="s">
        <v>20</v>
      </c>
      <c r="O509" s="1" t="s">
        <v>21</v>
      </c>
      <c r="P509" s="1" t="s">
        <v>30</v>
      </c>
      <c r="Q509" s="1" t="s">
        <v>31</v>
      </c>
      <c r="R509">
        <v>0.63040921883089063</v>
      </c>
    </row>
    <row r="510" spans="1:18" x14ac:dyDescent="0.2">
      <c r="A510" s="1">
        <v>178208</v>
      </c>
      <c r="B510" s="1" t="s">
        <v>584</v>
      </c>
      <c r="C510" s="1" t="s">
        <v>77</v>
      </c>
      <c r="D510" s="1">
        <v>0.96399999999999997</v>
      </c>
      <c r="E510" s="1">
        <v>747</v>
      </c>
      <c r="F510" s="1">
        <v>10120</v>
      </c>
      <c r="G510" s="1">
        <v>0.48280000000000001</v>
      </c>
      <c r="H510" s="1">
        <v>0.81479999999999997</v>
      </c>
      <c r="I510" s="1">
        <v>0.30080000000000001</v>
      </c>
      <c r="J510" s="1">
        <v>50535</v>
      </c>
      <c r="K510" s="1">
        <v>15675</v>
      </c>
      <c r="L510" s="1">
        <v>7596</v>
      </c>
      <c r="M510" s="1">
        <v>17</v>
      </c>
      <c r="N510" s="1" t="s">
        <v>20</v>
      </c>
      <c r="O510" s="1" t="s">
        <v>29</v>
      </c>
      <c r="P510" s="1" t="s">
        <v>22</v>
      </c>
      <c r="Q510" s="1" t="s">
        <v>23</v>
      </c>
      <c r="R510">
        <v>0.63008440813484456</v>
      </c>
    </row>
    <row r="511" spans="1:18" x14ac:dyDescent="0.2">
      <c r="A511" s="1">
        <v>153603</v>
      </c>
      <c r="B511" s="1" t="s">
        <v>585</v>
      </c>
      <c r="C511" s="1" t="s">
        <v>81</v>
      </c>
      <c r="D511" s="1">
        <v>0.88660000000000005</v>
      </c>
      <c r="E511" s="1">
        <v>25367</v>
      </c>
      <c r="F511" s="1">
        <v>28881</v>
      </c>
      <c r="G511" s="1">
        <v>0.75319999999999998</v>
      </c>
      <c r="H511" s="1">
        <v>0.87570000000000003</v>
      </c>
      <c r="I511" s="1">
        <v>0.18770000000000001</v>
      </c>
      <c r="J511" s="1">
        <v>63386</v>
      </c>
      <c r="K511" s="1">
        <v>22869</v>
      </c>
      <c r="L511" s="1">
        <v>12702</v>
      </c>
      <c r="M511" s="1">
        <v>18</v>
      </c>
      <c r="N511" s="1" t="s">
        <v>28</v>
      </c>
      <c r="O511" s="1" t="s">
        <v>29</v>
      </c>
      <c r="P511" s="1" t="s">
        <v>22</v>
      </c>
      <c r="Q511" s="1" t="s">
        <v>23</v>
      </c>
      <c r="R511">
        <v>0.62962300143580463</v>
      </c>
    </row>
    <row r="512" spans="1:18" x14ac:dyDescent="0.2">
      <c r="A512" s="1">
        <v>186131</v>
      </c>
      <c r="B512" s="1" t="s">
        <v>586</v>
      </c>
      <c r="C512" s="1" t="s">
        <v>66</v>
      </c>
      <c r="D512" s="1">
        <v>4.6199999999999998E-2</v>
      </c>
      <c r="E512" s="1">
        <v>5709</v>
      </c>
      <c r="F512" s="1">
        <v>62688</v>
      </c>
      <c r="G512" s="1">
        <v>0.97609999999999997</v>
      </c>
      <c r="H512" s="1">
        <v>0.98350000000000004</v>
      </c>
      <c r="I512" s="1">
        <v>0.19239999999999999</v>
      </c>
      <c r="J512" s="1">
        <v>110066</v>
      </c>
      <c r="K512" s="1">
        <v>10320</v>
      </c>
      <c r="L512" s="1">
        <v>25354</v>
      </c>
      <c r="M512" s="1">
        <v>5</v>
      </c>
      <c r="N512" s="1" t="s">
        <v>20</v>
      </c>
      <c r="O512" s="1" t="s">
        <v>29</v>
      </c>
      <c r="P512" s="1" t="s">
        <v>39</v>
      </c>
      <c r="Q512" s="1" t="s">
        <v>23</v>
      </c>
      <c r="R512">
        <v>0.6295957422673627</v>
      </c>
    </row>
    <row r="513" spans="1:18" x14ac:dyDescent="0.2">
      <c r="A513" s="1">
        <v>149514</v>
      </c>
      <c r="B513" s="1" t="s">
        <v>587</v>
      </c>
      <c r="C513" s="1" t="s">
        <v>25</v>
      </c>
      <c r="D513" s="1">
        <v>1</v>
      </c>
      <c r="E513" s="1">
        <v>55</v>
      </c>
      <c r="F513" s="1">
        <v>12320</v>
      </c>
      <c r="G513" s="1">
        <v>0.46100000000000002</v>
      </c>
      <c r="H513" s="1">
        <v>0.125</v>
      </c>
      <c r="I513" s="1">
        <v>0.89290000000000003</v>
      </c>
      <c r="J513" s="1">
        <v>46989</v>
      </c>
      <c r="K513" s="1">
        <v>26082</v>
      </c>
      <c r="L513" s="1">
        <v>6689</v>
      </c>
      <c r="M513" s="1">
        <v>3</v>
      </c>
      <c r="N513" s="1" t="s">
        <v>20</v>
      </c>
      <c r="O513" s="1" t="s">
        <v>21</v>
      </c>
      <c r="P513" s="1" t="s">
        <v>22</v>
      </c>
      <c r="Q513" s="1" t="s">
        <v>31</v>
      </c>
      <c r="R513">
        <v>0.62775123584799697</v>
      </c>
    </row>
    <row r="514" spans="1:18" x14ac:dyDescent="0.2">
      <c r="A514" s="1">
        <v>131469</v>
      </c>
      <c r="B514" s="1" t="s">
        <v>588</v>
      </c>
      <c r="C514" s="1" t="s">
        <v>84</v>
      </c>
      <c r="D514" s="1">
        <v>0.47089999999999999</v>
      </c>
      <c r="E514" s="1">
        <v>11182</v>
      </c>
      <c r="F514" s="1">
        <v>67710</v>
      </c>
      <c r="G514" s="1">
        <v>0.83979999999999999</v>
      </c>
      <c r="H514" s="1">
        <v>0.92230000000000001</v>
      </c>
      <c r="I514" s="1">
        <v>0.15820000000000001</v>
      </c>
      <c r="J514" s="1">
        <v>90873</v>
      </c>
      <c r="K514" s="1">
        <v>20449</v>
      </c>
      <c r="L514" s="1">
        <v>16784</v>
      </c>
      <c r="M514" s="1">
        <v>13</v>
      </c>
      <c r="N514" s="1" t="s">
        <v>20</v>
      </c>
      <c r="O514" s="1" t="s">
        <v>29</v>
      </c>
      <c r="P514" s="1" t="s">
        <v>30</v>
      </c>
      <c r="Q514" s="1" t="s">
        <v>23</v>
      </c>
      <c r="R514">
        <v>0.62767646404940669</v>
      </c>
    </row>
    <row r="515" spans="1:18" x14ac:dyDescent="0.2">
      <c r="A515" s="1">
        <v>217882</v>
      </c>
      <c r="B515" s="1" t="s">
        <v>589</v>
      </c>
      <c r="C515" s="1" t="s">
        <v>155</v>
      </c>
      <c r="D515" s="1">
        <v>0.38340000000000002</v>
      </c>
      <c r="E515" s="1">
        <v>23300</v>
      </c>
      <c r="F515" s="1">
        <v>40866</v>
      </c>
      <c r="G515" s="1">
        <v>0.86560000000000004</v>
      </c>
      <c r="H515" s="1">
        <v>0.93469999999999998</v>
      </c>
      <c r="I515" s="1">
        <v>0.14749999999999999</v>
      </c>
      <c r="J515" s="1">
        <v>71513</v>
      </c>
      <c r="K515" s="1">
        <v>21500</v>
      </c>
      <c r="L515" s="1">
        <v>12153</v>
      </c>
      <c r="M515" s="1">
        <v>16</v>
      </c>
      <c r="N515" s="1" t="s">
        <v>28</v>
      </c>
      <c r="O515" s="1" t="s">
        <v>21</v>
      </c>
      <c r="P515" s="1" t="s">
        <v>30</v>
      </c>
      <c r="Q515" s="1" t="s">
        <v>23</v>
      </c>
      <c r="R515">
        <v>0.62756318341363815</v>
      </c>
    </row>
    <row r="516" spans="1:18" x14ac:dyDescent="0.2">
      <c r="A516" s="1">
        <v>155496</v>
      </c>
      <c r="B516" s="1" t="s">
        <v>590</v>
      </c>
      <c r="C516" s="1" t="s">
        <v>56</v>
      </c>
      <c r="D516" s="1">
        <v>1</v>
      </c>
      <c r="E516" s="1">
        <v>146</v>
      </c>
      <c r="F516" s="1">
        <v>19126</v>
      </c>
      <c r="G516" s="1">
        <v>0.44290000000000002</v>
      </c>
      <c r="H516" s="1">
        <v>0.76670000000000005</v>
      </c>
      <c r="I516" s="1">
        <v>0.46810000000000002</v>
      </c>
      <c r="J516" s="1">
        <v>48860</v>
      </c>
      <c r="K516" s="1">
        <v>24250</v>
      </c>
      <c r="L516" s="1">
        <v>5504</v>
      </c>
      <c r="M516" s="1">
        <v>10</v>
      </c>
      <c r="N516" s="1" t="s">
        <v>20</v>
      </c>
      <c r="O516" s="1" t="s">
        <v>29</v>
      </c>
      <c r="P516" s="1" t="s">
        <v>22</v>
      </c>
      <c r="Q516" s="1" t="s">
        <v>31</v>
      </c>
      <c r="R516">
        <v>0.62732384843020395</v>
      </c>
    </row>
    <row r="517" spans="1:18" x14ac:dyDescent="0.2">
      <c r="A517" s="1">
        <v>111966</v>
      </c>
      <c r="B517" s="1" t="s">
        <v>591</v>
      </c>
      <c r="C517" s="1" t="s">
        <v>33</v>
      </c>
      <c r="D517" s="1">
        <v>0.38740000000000002</v>
      </c>
      <c r="E517" s="1">
        <v>282</v>
      </c>
      <c r="F517" s="1">
        <v>23000</v>
      </c>
      <c r="G517" s="1">
        <v>0.29630000000000001</v>
      </c>
      <c r="H517" s="1">
        <v>0.5</v>
      </c>
      <c r="I517" s="1">
        <v>0.53590000000000004</v>
      </c>
      <c r="J517" s="1">
        <v>83438</v>
      </c>
      <c r="K517" s="1">
        <v>18750</v>
      </c>
      <c r="L517" s="1">
        <v>9291</v>
      </c>
      <c r="M517" s="1">
        <v>4</v>
      </c>
      <c r="N517" s="1" t="s">
        <v>20</v>
      </c>
      <c r="O517" s="1" t="s">
        <v>21</v>
      </c>
      <c r="P517" s="1" t="s">
        <v>22</v>
      </c>
      <c r="Q517" s="1" t="s">
        <v>23</v>
      </c>
      <c r="R517">
        <v>0.62606847751731554</v>
      </c>
    </row>
    <row r="518" spans="1:18" x14ac:dyDescent="0.2">
      <c r="A518" s="1">
        <v>177214</v>
      </c>
      <c r="B518" s="1" t="s">
        <v>592</v>
      </c>
      <c r="C518" s="1" t="s">
        <v>77</v>
      </c>
      <c r="D518" s="1">
        <v>0.57579999999999998</v>
      </c>
      <c r="E518" s="1">
        <v>1383</v>
      </c>
      <c r="F518" s="1">
        <v>36745</v>
      </c>
      <c r="G518" s="1">
        <v>0.61799999999999999</v>
      </c>
      <c r="H518" s="1">
        <v>0.79169999999999996</v>
      </c>
      <c r="I518" s="1">
        <v>0.25580000000000003</v>
      </c>
      <c r="J518" s="1">
        <v>40694</v>
      </c>
      <c r="K518" s="1">
        <v>20979</v>
      </c>
      <c r="L518" s="1">
        <v>7506</v>
      </c>
      <c r="M518" s="1">
        <v>14</v>
      </c>
      <c r="N518" s="1" t="s">
        <v>20</v>
      </c>
      <c r="O518" s="1" t="s">
        <v>29</v>
      </c>
      <c r="P518" s="1" t="s">
        <v>22</v>
      </c>
      <c r="Q518" s="1" t="s">
        <v>31</v>
      </c>
      <c r="R518">
        <v>0.62562646885540851</v>
      </c>
    </row>
    <row r="519" spans="1:18" x14ac:dyDescent="0.2">
      <c r="A519" s="1">
        <v>237330</v>
      </c>
      <c r="B519" s="1" t="s">
        <v>593</v>
      </c>
      <c r="C519" s="1" t="s">
        <v>255</v>
      </c>
      <c r="D519" s="1">
        <v>0.92559999999999998</v>
      </c>
      <c r="E519" s="1">
        <v>1504</v>
      </c>
      <c r="F519" s="1">
        <v>22000</v>
      </c>
      <c r="G519" s="1">
        <v>0.38969999999999999</v>
      </c>
      <c r="H519" s="1">
        <v>0.64839999999999998</v>
      </c>
      <c r="I519" s="1">
        <v>0.49519999999999997</v>
      </c>
      <c r="J519" s="1">
        <v>42703</v>
      </c>
      <c r="K519" s="1">
        <v>18900</v>
      </c>
      <c r="L519" s="1">
        <v>7270</v>
      </c>
      <c r="M519" s="1">
        <v>16</v>
      </c>
      <c r="N519" s="1" t="s">
        <v>28</v>
      </c>
      <c r="O519" s="1" t="s">
        <v>42</v>
      </c>
      <c r="P519" s="1" t="s">
        <v>30</v>
      </c>
      <c r="Q519" s="1" t="s">
        <v>31</v>
      </c>
      <c r="R519">
        <v>0.62553568563095696</v>
      </c>
    </row>
    <row r="520" spans="1:18" x14ac:dyDescent="0.2">
      <c r="A520" s="1">
        <v>225399</v>
      </c>
      <c r="B520" s="1" t="s">
        <v>594</v>
      </c>
      <c r="C520" s="1" t="s">
        <v>36</v>
      </c>
      <c r="D520" s="1">
        <v>0.84440000000000004</v>
      </c>
      <c r="E520" s="1">
        <v>2886</v>
      </c>
      <c r="F520" s="1">
        <v>39430</v>
      </c>
      <c r="G520" s="1">
        <v>0.49120000000000003</v>
      </c>
      <c r="H520" s="1">
        <v>0.69330000000000003</v>
      </c>
      <c r="I520" s="1">
        <v>0.5554</v>
      </c>
      <c r="J520" s="1">
        <v>55933</v>
      </c>
      <c r="K520" s="1">
        <v>22642</v>
      </c>
      <c r="L520" s="1">
        <v>8257</v>
      </c>
      <c r="M520" s="1">
        <v>18</v>
      </c>
      <c r="N520" s="1" t="s">
        <v>20</v>
      </c>
      <c r="O520" s="1" t="s">
        <v>29</v>
      </c>
      <c r="P520" s="1" t="s">
        <v>30</v>
      </c>
      <c r="Q520" s="1" t="s">
        <v>23</v>
      </c>
      <c r="R520">
        <v>0.62519639951218253</v>
      </c>
    </row>
    <row r="521" spans="1:18" x14ac:dyDescent="0.2">
      <c r="A521" s="1">
        <v>236948</v>
      </c>
      <c r="B521" s="1" t="s">
        <v>595</v>
      </c>
      <c r="C521" s="1" t="s">
        <v>171</v>
      </c>
      <c r="D521" s="1">
        <v>0.39150000000000001</v>
      </c>
      <c r="E521" s="1">
        <v>31942</v>
      </c>
      <c r="F521" s="1">
        <v>43209</v>
      </c>
      <c r="G521" s="1">
        <v>0.8518</v>
      </c>
      <c r="H521" s="1">
        <v>0.94730000000000003</v>
      </c>
      <c r="I521" s="1">
        <v>0.14860000000000001</v>
      </c>
      <c r="J521" s="1">
        <v>78466</v>
      </c>
      <c r="K521" s="1">
        <v>14615</v>
      </c>
      <c r="L521" s="1">
        <v>15198</v>
      </c>
      <c r="M521" s="1">
        <v>20</v>
      </c>
      <c r="N521" s="1" t="s">
        <v>28</v>
      </c>
      <c r="O521" s="1" t="s">
        <v>29</v>
      </c>
      <c r="P521" s="1" t="s">
        <v>22</v>
      </c>
      <c r="Q521" s="1" t="s">
        <v>23</v>
      </c>
      <c r="R521">
        <v>0.62480808513648933</v>
      </c>
    </row>
    <row r="522" spans="1:18" x14ac:dyDescent="0.2">
      <c r="A522" s="1">
        <v>150163</v>
      </c>
      <c r="B522" s="1" t="s">
        <v>596</v>
      </c>
      <c r="C522" s="1" t="s">
        <v>102</v>
      </c>
      <c r="D522" s="1">
        <v>0.8508</v>
      </c>
      <c r="E522" s="1">
        <v>4317</v>
      </c>
      <c r="F522" s="1">
        <v>47560</v>
      </c>
      <c r="G522" s="1">
        <v>0.80379999999999996</v>
      </c>
      <c r="H522" s="1">
        <v>0.87490000000000001</v>
      </c>
      <c r="I522" s="1">
        <v>0.15049999999999999</v>
      </c>
      <c r="J522" s="1">
        <v>77235</v>
      </c>
      <c r="K522" s="1">
        <v>26000</v>
      </c>
      <c r="L522" s="1">
        <v>9694</v>
      </c>
      <c r="M522" s="1">
        <v>11</v>
      </c>
      <c r="N522" s="1" t="s">
        <v>20</v>
      </c>
      <c r="O522" s="1" t="s">
        <v>29</v>
      </c>
      <c r="P522" s="1" t="s">
        <v>22</v>
      </c>
      <c r="Q522" s="1" t="s">
        <v>23</v>
      </c>
      <c r="R522">
        <v>0.62451081724935598</v>
      </c>
    </row>
    <row r="523" spans="1:18" x14ac:dyDescent="0.2">
      <c r="A523" s="1">
        <v>147013</v>
      </c>
      <c r="B523" s="1" t="s">
        <v>597</v>
      </c>
      <c r="C523" s="1" t="s">
        <v>25</v>
      </c>
      <c r="D523" s="1">
        <v>0.71719999999999995</v>
      </c>
      <c r="E523" s="1">
        <v>1752</v>
      </c>
      <c r="F523" s="1">
        <v>34740</v>
      </c>
      <c r="G523" s="1">
        <v>0.5333</v>
      </c>
      <c r="H523" s="1">
        <v>0.67349999999999999</v>
      </c>
      <c r="I523" s="1">
        <v>0.33600000000000002</v>
      </c>
      <c r="J523" s="1">
        <v>58572</v>
      </c>
      <c r="K523" s="1">
        <v>23250</v>
      </c>
      <c r="L523" s="1">
        <v>7069</v>
      </c>
      <c r="M523" s="1">
        <v>16</v>
      </c>
      <c r="N523" s="1" t="s">
        <v>20</v>
      </c>
      <c r="O523" s="1" t="s">
        <v>21</v>
      </c>
      <c r="P523" s="1" t="s">
        <v>22</v>
      </c>
      <c r="Q523" s="1" t="s">
        <v>23</v>
      </c>
      <c r="R523">
        <v>0.62374271644762591</v>
      </c>
    </row>
    <row r="524" spans="1:18" x14ac:dyDescent="0.2">
      <c r="A524" s="1">
        <v>133809</v>
      </c>
      <c r="B524" s="1" t="s">
        <v>598</v>
      </c>
      <c r="C524" s="1" t="s">
        <v>27</v>
      </c>
      <c r="D524" s="1">
        <v>0.6966</v>
      </c>
      <c r="E524" s="1">
        <v>588</v>
      </c>
      <c r="F524" s="1">
        <v>20360</v>
      </c>
      <c r="G524" s="1">
        <v>0.54039999999999999</v>
      </c>
      <c r="H524" s="1">
        <v>0.75600000000000001</v>
      </c>
      <c r="I524" s="1">
        <v>0.23139999999999999</v>
      </c>
      <c r="J524" s="1">
        <v>43445</v>
      </c>
      <c r="K524" s="1">
        <v>12000</v>
      </c>
      <c r="L524" s="1">
        <v>7129</v>
      </c>
      <c r="M524" s="1">
        <v>14</v>
      </c>
      <c r="N524" s="1" t="s">
        <v>20</v>
      </c>
      <c r="O524" s="1" t="s">
        <v>21</v>
      </c>
      <c r="P524" s="1" t="s">
        <v>30</v>
      </c>
      <c r="Q524" s="1" t="s">
        <v>31</v>
      </c>
      <c r="R524">
        <v>0.62223580803637324</v>
      </c>
    </row>
    <row r="525" spans="1:18" x14ac:dyDescent="0.2">
      <c r="A525" s="1">
        <v>165671</v>
      </c>
      <c r="B525" s="1" t="s">
        <v>599</v>
      </c>
      <c r="C525" s="1" t="s">
        <v>129</v>
      </c>
      <c r="D525" s="1">
        <v>0.75649999999999995</v>
      </c>
      <c r="E525" s="1">
        <v>1854</v>
      </c>
      <c r="F525" s="1">
        <v>48550</v>
      </c>
      <c r="G525" s="1">
        <v>0.67510000000000003</v>
      </c>
      <c r="H525" s="1">
        <v>0.78580000000000005</v>
      </c>
      <c r="I525" s="1">
        <v>0.2235</v>
      </c>
      <c r="J525" s="1">
        <v>68245</v>
      </c>
      <c r="K525" s="1">
        <v>27000</v>
      </c>
      <c r="L525" s="1">
        <v>10788</v>
      </c>
      <c r="M525" s="1">
        <v>13</v>
      </c>
      <c r="N525" s="1" t="s">
        <v>20</v>
      </c>
      <c r="O525" s="1" t="s">
        <v>29</v>
      </c>
      <c r="P525" s="1" t="s">
        <v>39</v>
      </c>
      <c r="Q525" s="1" t="s">
        <v>23</v>
      </c>
      <c r="R525">
        <v>0.62210750564792017</v>
      </c>
    </row>
    <row r="526" spans="1:18" x14ac:dyDescent="0.2">
      <c r="A526" s="1">
        <v>173665</v>
      </c>
      <c r="B526" s="1" t="s">
        <v>600</v>
      </c>
      <c r="C526" s="1" t="s">
        <v>54</v>
      </c>
      <c r="D526" s="1">
        <v>0.87629999999999997</v>
      </c>
      <c r="E526" s="1">
        <v>1776</v>
      </c>
      <c r="F526" s="1">
        <v>50004</v>
      </c>
      <c r="G526" s="1">
        <v>0.60450000000000004</v>
      </c>
      <c r="H526" s="1">
        <v>0.7823</v>
      </c>
      <c r="I526" s="1">
        <v>0.40699999999999997</v>
      </c>
      <c r="J526" s="1">
        <v>61106</v>
      </c>
      <c r="K526" s="1">
        <v>23770</v>
      </c>
      <c r="L526" s="1">
        <v>8221</v>
      </c>
      <c r="M526" s="1">
        <v>14</v>
      </c>
      <c r="N526" s="1" t="s">
        <v>20</v>
      </c>
      <c r="O526" s="1" t="s">
        <v>29</v>
      </c>
      <c r="P526" s="1" t="s">
        <v>22</v>
      </c>
      <c r="Q526" s="1" t="s">
        <v>23</v>
      </c>
      <c r="R526">
        <v>0.6219696047292288</v>
      </c>
    </row>
    <row r="527" spans="1:18" x14ac:dyDescent="0.2">
      <c r="A527" s="1">
        <v>201061</v>
      </c>
      <c r="B527" s="1" t="s">
        <v>601</v>
      </c>
      <c r="C527" s="1" t="s">
        <v>19</v>
      </c>
      <c r="D527" s="1">
        <v>0.34489999999999998</v>
      </c>
      <c r="E527" s="1">
        <v>205</v>
      </c>
      <c r="F527" s="1">
        <v>41375</v>
      </c>
      <c r="G527" s="1">
        <v>0.41270000000000001</v>
      </c>
      <c r="H527" s="1">
        <v>0.50880000000000003</v>
      </c>
      <c r="I527" s="1">
        <v>0.50590000000000002</v>
      </c>
      <c r="J527" s="1">
        <v>34368</v>
      </c>
      <c r="K527" s="1">
        <v>27000</v>
      </c>
      <c r="L527" s="1">
        <v>5527</v>
      </c>
      <c r="M527" s="1">
        <v>9</v>
      </c>
      <c r="N527" s="1" t="s">
        <v>20</v>
      </c>
      <c r="O527" s="1" t="s">
        <v>29</v>
      </c>
      <c r="P527" s="1" t="s">
        <v>22</v>
      </c>
      <c r="Q527" s="1" t="s">
        <v>31</v>
      </c>
      <c r="R527">
        <v>0.62178798988324724</v>
      </c>
    </row>
    <row r="528" spans="1:18" x14ac:dyDescent="0.2">
      <c r="A528" s="1">
        <v>180832</v>
      </c>
      <c r="B528" s="1" t="s">
        <v>602</v>
      </c>
      <c r="C528" s="1" t="s">
        <v>221</v>
      </c>
      <c r="D528" s="1">
        <v>0.78180000000000005</v>
      </c>
      <c r="E528" s="1">
        <v>622</v>
      </c>
      <c r="F528" s="1">
        <v>16104</v>
      </c>
      <c r="G528" s="1">
        <v>0.4667</v>
      </c>
      <c r="H528" s="1">
        <v>0.60870000000000002</v>
      </c>
      <c r="I528" s="1">
        <v>0.40129999999999999</v>
      </c>
      <c r="J528" s="1">
        <v>64876</v>
      </c>
      <c r="K528" s="1">
        <v>23716</v>
      </c>
      <c r="L528" s="1">
        <v>6775</v>
      </c>
      <c r="M528" s="1">
        <v>10</v>
      </c>
      <c r="N528" s="1" t="s">
        <v>20</v>
      </c>
      <c r="O528" s="1" t="s">
        <v>29</v>
      </c>
      <c r="P528" s="1" t="s">
        <v>22</v>
      </c>
      <c r="Q528" s="1" t="s">
        <v>23</v>
      </c>
      <c r="R528">
        <v>0.62097088959346969</v>
      </c>
    </row>
    <row r="529" spans="1:18" x14ac:dyDescent="0.2">
      <c r="A529" s="1">
        <v>157386</v>
      </c>
      <c r="B529" s="1" t="s">
        <v>603</v>
      </c>
      <c r="C529" s="1" t="s">
        <v>104</v>
      </c>
      <c r="D529" s="1">
        <v>0.77210000000000001</v>
      </c>
      <c r="E529" s="1">
        <v>4578</v>
      </c>
      <c r="F529" s="1">
        <v>14980</v>
      </c>
      <c r="G529" s="1">
        <v>0.52190000000000003</v>
      </c>
      <c r="H529" s="1">
        <v>0.65010000000000001</v>
      </c>
      <c r="I529" s="1">
        <v>0.29549999999999998</v>
      </c>
      <c r="J529" s="1">
        <v>43197</v>
      </c>
      <c r="K529" s="1">
        <v>22250</v>
      </c>
      <c r="L529" s="1">
        <v>7788</v>
      </c>
      <c r="M529" s="1">
        <v>16</v>
      </c>
      <c r="N529" s="1" t="s">
        <v>28</v>
      </c>
      <c r="O529" s="1" t="s">
        <v>42</v>
      </c>
      <c r="P529" s="1" t="s">
        <v>30</v>
      </c>
      <c r="Q529" s="1" t="s">
        <v>31</v>
      </c>
      <c r="R529">
        <v>0.62043762887028364</v>
      </c>
    </row>
    <row r="530" spans="1:18" x14ac:dyDescent="0.2">
      <c r="A530" s="1">
        <v>177746</v>
      </c>
      <c r="B530" s="1" t="s">
        <v>604</v>
      </c>
      <c r="C530" s="1" t="s">
        <v>77</v>
      </c>
      <c r="D530" s="1">
        <v>0.54759999999999998</v>
      </c>
      <c r="E530" s="1">
        <v>812</v>
      </c>
      <c r="F530" s="1">
        <v>44550</v>
      </c>
      <c r="G530" s="1">
        <v>0.57969999999999999</v>
      </c>
      <c r="H530" s="1">
        <v>0.7833</v>
      </c>
      <c r="I530" s="1">
        <v>0.43730000000000002</v>
      </c>
      <c r="J530" s="1">
        <v>37032</v>
      </c>
      <c r="K530" s="1">
        <v>27000</v>
      </c>
      <c r="L530" s="1">
        <v>7886</v>
      </c>
      <c r="M530" s="1">
        <v>10</v>
      </c>
      <c r="N530" s="1" t="s">
        <v>20</v>
      </c>
      <c r="O530" s="1" t="s">
        <v>29</v>
      </c>
      <c r="P530" s="1" t="s">
        <v>22</v>
      </c>
      <c r="Q530" s="1" t="s">
        <v>31</v>
      </c>
      <c r="R530">
        <v>0.62037454580843643</v>
      </c>
    </row>
    <row r="531" spans="1:18" x14ac:dyDescent="0.2">
      <c r="A531" s="1">
        <v>210429</v>
      </c>
      <c r="B531" s="1" t="s">
        <v>605</v>
      </c>
      <c r="C531" s="1" t="s">
        <v>79</v>
      </c>
      <c r="D531" s="1">
        <v>0.98099999999999998</v>
      </c>
      <c r="E531" s="1">
        <v>3103</v>
      </c>
      <c r="F531" s="1">
        <v>32534</v>
      </c>
      <c r="G531" s="1">
        <v>0.47120000000000001</v>
      </c>
      <c r="H531" s="1">
        <v>0.72740000000000005</v>
      </c>
      <c r="I531" s="1">
        <v>0.4113</v>
      </c>
      <c r="J531" s="1">
        <v>51815</v>
      </c>
      <c r="K531" s="1">
        <v>20609</v>
      </c>
      <c r="L531" s="1">
        <v>7388</v>
      </c>
      <c r="M531" s="1">
        <v>13</v>
      </c>
      <c r="N531" s="1" t="s">
        <v>28</v>
      </c>
      <c r="O531" s="1" t="s">
        <v>42</v>
      </c>
      <c r="P531" s="1" t="s">
        <v>22</v>
      </c>
      <c r="Q531" s="1" t="s">
        <v>23</v>
      </c>
      <c r="R531">
        <v>0.61962836113264785</v>
      </c>
    </row>
    <row r="532" spans="1:18" x14ac:dyDescent="0.2">
      <c r="A532" s="1">
        <v>120403</v>
      </c>
      <c r="B532" s="1" t="s">
        <v>606</v>
      </c>
      <c r="C532" s="1" t="s">
        <v>33</v>
      </c>
      <c r="D532" s="1">
        <v>0.81759999999999999</v>
      </c>
      <c r="E532" s="1">
        <v>1223</v>
      </c>
      <c r="F532" s="1">
        <v>56488</v>
      </c>
      <c r="G532" s="1">
        <v>0.66300000000000003</v>
      </c>
      <c r="H532" s="1">
        <v>0.74470000000000003</v>
      </c>
      <c r="I532" s="1">
        <v>0.33629999999999999</v>
      </c>
      <c r="J532" s="1">
        <v>58152</v>
      </c>
      <c r="K532" s="1">
        <v>27000</v>
      </c>
      <c r="L532" s="1">
        <v>9491</v>
      </c>
      <c r="M532" s="1">
        <v>9</v>
      </c>
      <c r="N532" s="1" t="s">
        <v>20</v>
      </c>
      <c r="O532" s="1" t="s">
        <v>29</v>
      </c>
      <c r="P532" s="1" t="s">
        <v>22</v>
      </c>
      <c r="Q532" s="1" t="s">
        <v>23</v>
      </c>
      <c r="R532">
        <v>0.61948893483946443</v>
      </c>
    </row>
    <row r="533" spans="1:18" x14ac:dyDescent="0.2">
      <c r="A533" s="1">
        <v>225502</v>
      </c>
      <c r="B533" s="1" t="s">
        <v>607</v>
      </c>
      <c r="C533" s="1" t="s">
        <v>36</v>
      </c>
      <c r="D533" s="1">
        <v>0.95899999999999996</v>
      </c>
      <c r="E533" s="1">
        <v>2513</v>
      </c>
      <c r="F533" s="1">
        <v>16989</v>
      </c>
      <c r="G533" s="1">
        <v>0.26379999999999998</v>
      </c>
      <c r="H533" s="1">
        <v>0.65100000000000002</v>
      </c>
      <c r="I533" s="1">
        <v>0.48930000000000001</v>
      </c>
      <c r="J533" s="1">
        <v>54467</v>
      </c>
      <c r="K533" s="1">
        <v>18973</v>
      </c>
      <c r="L533" s="1">
        <v>9358</v>
      </c>
      <c r="M533" s="1">
        <v>15</v>
      </c>
      <c r="N533" s="1" t="s">
        <v>28</v>
      </c>
      <c r="O533" s="1" t="s">
        <v>29</v>
      </c>
      <c r="P533" s="1" t="s">
        <v>30</v>
      </c>
      <c r="Q533" s="1" t="s">
        <v>23</v>
      </c>
      <c r="R533">
        <v>0.61860562366355043</v>
      </c>
    </row>
    <row r="534" spans="1:18" x14ac:dyDescent="0.2">
      <c r="A534" s="1">
        <v>235167</v>
      </c>
      <c r="B534" s="1" t="s">
        <v>608</v>
      </c>
      <c r="C534" s="1" t="s">
        <v>171</v>
      </c>
      <c r="D534" s="1">
        <v>0.9637</v>
      </c>
      <c r="E534" s="1">
        <v>2160</v>
      </c>
      <c r="F534" s="1">
        <v>31905</v>
      </c>
      <c r="G534" s="1">
        <v>0.40739999999999998</v>
      </c>
      <c r="H534" s="1">
        <v>0.6986</v>
      </c>
      <c r="I534" s="1">
        <v>0.41560000000000002</v>
      </c>
      <c r="J534" s="1">
        <v>45320</v>
      </c>
      <c r="K534" s="1">
        <v>20500</v>
      </c>
      <c r="L534" s="1">
        <v>9212</v>
      </c>
      <c r="M534" s="1">
        <v>17</v>
      </c>
      <c r="N534" s="1" t="s">
        <v>28</v>
      </c>
      <c r="O534" s="1" t="s">
        <v>21</v>
      </c>
      <c r="P534" s="1" t="s">
        <v>22</v>
      </c>
      <c r="Q534" s="1" t="s">
        <v>31</v>
      </c>
      <c r="R534">
        <v>0.61849965216918268</v>
      </c>
    </row>
    <row r="535" spans="1:18" x14ac:dyDescent="0.2">
      <c r="A535" s="1">
        <v>101480</v>
      </c>
      <c r="B535" s="1" t="s">
        <v>609</v>
      </c>
      <c r="C535" s="1" t="s">
        <v>177</v>
      </c>
      <c r="D535" s="1">
        <v>0.77690000000000003</v>
      </c>
      <c r="E535" s="1">
        <v>7036</v>
      </c>
      <c r="F535" s="1">
        <v>23334</v>
      </c>
      <c r="G535" s="1">
        <v>0.54720000000000002</v>
      </c>
      <c r="H535" s="1">
        <v>0.64570000000000005</v>
      </c>
      <c r="I535" s="1">
        <v>0.42599999999999999</v>
      </c>
      <c r="J535" s="1">
        <v>45235</v>
      </c>
      <c r="K535" s="1">
        <v>22189</v>
      </c>
      <c r="L535" s="1">
        <v>8074</v>
      </c>
      <c r="M535" s="1">
        <v>19</v>
      </c>
      <c r="N535" s="1" t="s">
        <v>28</v>
      </c>
      <c r="O535" s="1" t="s">
        <v>21</v>
      </c>
      <c r="P535" s="1" t="s">
        <v>30</v>
      </c>
      <c r="Q535" s="1" t="s">
        <v>31</v>
      </c>
      <c r="R535">
        <v>0.61830836653285393</v>
      </c>
    </row>
    <row r="536" spans="1:18" x14ac:dyDescent="0.2">
      <c r="A536" s="1">
        <v>177968</v>
      </c>
      <c r="B536" s="1" t="s">
        <v>610</v>
      </c>
      <c r="C536" s="1" t="s">
        <v>77</v>
      </c>
      <c r="D536" s="1">
        <v>0.56840000000000002</v>
      </c>
      <c r="E536" s="1">
        <v>4624</v>
      </c>
      <c r="F536" s="1">
        <v>21600</v>
      </c>
      <c r="G536" s="1">
        <v>0.49330000000000002</v>
      </c>
      <c r="H536" s="1">
        <v>0.65629999999999999</v>
      </c>
      <c r="I536" s="1">
        <v>0.29980000000000001</v>
      </c>
      <c r="J536" s="1">
        <v>53278</v>
      </c>
      <c r="K536" s="1">
        <v>26000</v>
      </c>
      <c r="L536" s="1">
        <v>8990</v>
      </c>
      <c r="M536" s="1">
        <v>14</v>
      </c>
      <c r="N536" s="1" t="s">
        <v>20</v>
      </c>
      <c r="O536" s="1" t="s">
        <v>29</v>
      </c>
      <c r="P536" s="1" t="s">
        <v>22</v>
      </c>
      <c r="Q536" s="1" t="s">
        <v>23</v>
      </c>
      <c r="R536">
        <v>0.6182877748444755</v>
      </c>
    </row>
    <row r="537" spans="1:18" x14ac:dyDescent="0.2">
      <c r="A537" s="1">
        <v>151379</v>
      </c>
      <c r="B537" s="1" t="s">
        <v>611</v>
      </c>
      <c r="C537" s="1" t="s">
        <v>102</v>
      </c>
      <c r="D537" s="1">
        <v>0.84460000000000002</v>
      </c>
      <c r="E537" s="1">
        <v>3170</v>
      </c>
      <c r="F537" s="1">
        <v>22811</v>
      </c>
      <c r="G537" s="1">
        <v>0.39190000000000003</v>
      </c>
      <c r="H537" s="1">
        <v>0.63770000000000004</v>
      </c>
      <c r="I537" s="1">
        <v>0.32290000000000002</v>
      </c>
      <c r="J537" s="1">
        <v>47596</v>
      </c>
      <c r="K537" s="1">
        <v>19684</v>
      </c>
      <c r="L537" s="1">
        <v>7962</v>
      </c>
      <c r="M537" s="1">
        <v>13</v>
      </c>
      <c r="N537" s="1" t="s">
        <v>28</v>
      </c>
      <c r="O537" s="1" t="s">
        <v>21</v>
      </c>
      <c r="P537" s="1" t="s">
        <v>22</v>
      </c>
      <c r="Q537" s="1" t="s">
        <v>31</v>
      </c>
      <c r="R537">
        <v>0.61732186825629543</v>
      </c>
    </row>
    <row r="538" spans="1:18" x14ac:dyDescent="0.2">
      <c r="A538" s="1">
        <v>199209</v>
      </c>
      <c r="B538" s="1" t="s">
        <v>612</v>
      </c>
      <c r="C538" s="1" t="s">
        <v>86</v>
      </c>
      <c r="D538" s="1">
        <v>0.80230000000000001</v>
      </c>
      <c r="E538" s="1">
        <v>1214</v>
      </c>
      <c r="F538" s="1">
        <v>35736</v>
      </c>
      <c r="G538" s="1">
        <v>0.41970000000000002</v>
      </c>
      <c r="H538" s="1">
        <v>0.58540000000000003</v>
      </c>
      <c r="I538" s="1">
        <v>0.4975</v>
      </c>
      <c r="J538" s="1">
        <v>45873</v>
      </c>
      <c r="K538" s="1">
        <v>25000</v>
      </c>
      <c r="L538" s="1">
        <v>6597</v>
      </c>
      <c r="M538" s="1">
        <v>13</v>
      </c>
      <c r="N538" s="1" t="s">
        <v>20</v>
      </c>
      <c r="O538" s="1" t="s">
        <v>29</v>
      </c>
      <c r="P538" s="1" t="s">
        <v>30</v>
      </c>
      <c r="Q538" s="1" t="s">
        <v>31</v>
      </c>
      <c r="R538">
        <v>0.61603410019287608</v>
      </c>
    </row>
    <row r="539" spans="1:18" x14ac:dyDescent="0.2">
      <c r="A539" s="1">
        <v>106713</v>
      </c>
      <c r="B539" s="1" t="s">
        <v>613</v>
      </c>
      <c r="C539" s="1" t="s">
        <v>70</v>
      </c>
      <c r="D539" s="1">
        <v>0.63460000000000005</v>
      </c>
      <c r="E539" s="1">
        <v>484</v>
      </c>
      <c r="F539" s="1">
        <v>21330</v>
      </c>
      <c r="G539" s="1">
        <v>0.34110000000000001</v>
      </c>
      <c r="H539" s="1">
        <v>0.62749999999999995</v>
      </c>
      <c r="I539" s="1">
        <v>0.3982</v>
      </c>
      <c r="J539" s="1">
        <v>46789</v>
      </c>
      <c r="K539" s="1">
        <v>22250</v>
      </c>
      <c r="L539" s="1">
        <v>5523</v>
      </c>
      <c r="M539" s="1">
        <v>9</v>
      </c>
      <c r="N539" s="1" t="s">
        <v>20</v>
      </c>
      <c r="O539" s="1" t="s">
        <v>29</v>
      </c>
      <c r="P539" s="1" t="s">
        <v>30</v>
      </c>
      <c r="Q539" s="1" t="s">
        <v>31</v>
      </c>
      <c r="R539">
        <v>0.61357721311426139</v>
      </c>
    </row>
    <row r="540" spans="1:18" x14ac:dyDescent="0.2">
      <c r="A540" s="1">
        <v>179043</v>
      </c>
      <c r="B540" s="1" t="s">
        <v>614</v>
      </c>
      <c r="C540" s="1" t="s">
        <v>77</v>
      </c>
      <c r="D540" s="1">
        <v>0.69589999999999996</v>
      </c>
      <c r="E540" s="1">
        <v>1580</v>
      </c>
      <c r="F540" s="1">
        <v>44966</v>
      </c>
      <c r="G540" s="1">
        <v>0.74560000000000004</v>
      </c>
      <c r="H540" s="1">
        <v>0.79120000000000001</v>
      </c>
      <c r="I540" s="1">
        <v>0.20080000000000001</v>
      </c>
      <c r="J540" s="1">
        <v>67102</v>
      </c>
      <c r="K540" s="1">
        <v>18250</v>
      </c>
      <c r="L540" s="1">
        <v>8007</v>
      </c>
      <c r="M540" s="1">
        <v>12</v>
      </c>
      <c r="N540" s="1" t="s">
        <v>20</v>
      </c>
      <c r="O540" s="1" t="s">
        <v>29</v>
      </c>
      <c r="P540" s="1" t="s">
        <v>22</v>
      </c>
      <c r="Q540" s="1" t="s">
        <v>23</v>
      </c>
      <c r="R540">
        <v>0.61155786933034262</v>
      </c>
    </row>
    <row r="541" spans="1:18" x14ac:dyDescent="0.2">
      <c r="A541" s="1">
        <v>206622</v>
      </c>
      <c r="B541" s="1" t="s">
        <v>615</v>
      </c>
      <c r="C541" s="1" t="s">
        <v>19</v>
      </c>
      <c r="D541" s="1">
        <v>0.86409999999999998</v>
      </c>
      <c r="E541" s="1">
        <v>4207</v>
      </c>
      <c r="F541" s="1">
        <v>50640</v>
      </c>
      <c r="G541" s="1">
        <v>0.6865</v>
      </c>
      <c r="H541" s="1">
        <v>0.77470000000000006</v>
      </c>
      <c r="I541" s="1">
        <v>0.16270000000000001</v>
      </c>
      <c r="J541" s="1">
        <v>64873</v>
      </c>
      <c r="K541" s="1">
        <v>23250</v>
      </c>
      <c r="L541" s="1">
        <v>9257</v>
      </c>
      <c r="M541" s="1">
        <v>10</v>
      </c>
      <c r="N541" s="1" t="s">
        <v>20</v>
      </c>
      <c r="O541" s="1" t="s">
        <v>29</v>
      </c>
      <c r="P541" s="1" t="s">
        <v>22</v>
      </c>
      <c r="Q541" s="1" t="s">
        <v>23</v>
      </c>
      <c r="R541">
        <v>0.61111932649362033</v>
      </c>
    </row>
    <row r="542" spans="1:18" x14ac:dyDescent="0.2">
      <c r="A542" s="1">
        <v>414878</v>
      </c>
      <c r="B542" s="1" t="s">
        <v>616</v>
      </c>
      <c r="C542" s="1" t="s">
        <v>102</v>
      </c>
      <c r="D542" s="1">
        <v>0.39860000000000001</v>
      </c>
      <c r="E542" s="1">
        <v>607</v>
      </c>
      <c r="F542" s="1">
        <v>7176</v>
      </c>
      <c r="G542" s="1">
        <v>0</v>
      </c>
      <c r="H542" s="1">
        <v>1</v>
      </c>
      <c r="I542" s="1">
        <v>0.1802</v>
      </c>
      <c r="J542" s="1">
        <v>57165</v>
      </c>
      <c r="K542" s="1">
        <v>25000</v>
      </c>
      <c r="L542" s="1">
        <v>8289</v>
      </c>
      <c r="M542" s="1">
        <v>13</v>
      </c>
      <c r="N542" s="1" t="s">
        <v>20</v>
      </c>
      <c r="O542" s="1" t="s">
        <v>42</v>
      </c>
      <c r="P542" s="1" t="s">
        <v>22</v>
      </c>
      <c r="Q542" s="1" t="s">
        <v>23</v>
      </c>
      <c r="R542">
        <v>0.60870134129631126</v>
      </c>
    </row>
    <row r="543" spans="1:18" x14ac:dyDescent="0.2">
      <c r="A543" s="1">
        <v>121691</v>
      </c>
      <c r="B543" s="1" t="s">
        <v>617</v>
      </c>
      <c r="C543" s="1" t="s">
        <v>33</v>
      </c>
      <c r="D543" s="1">
        <v>0.82709999999999995</v>
      </c>
      <c r="E543" s="1">
        <v>2049</v>
      </c>
      <c r="F543" s="1">
        <v>60878</v>
      </c>
      <c r="G543" s="1">
        <v>0.67269999999999996</v>
      </c>
      <c r="H543" s="1">
        <v>0.84019999999999995</v>
      </c>
      <c r="I543" s="1">
        <v>0.36449999999999999</v>
      </c>
      <c r="J543" s="1">
        <v>72690</v>
      </c>
      <c r="K543" s="1">
        <v>26000</v>
      </c>
      <c r="L543" s="1">
        <v>10565</v>
      </c>
      <c r="M543" s="1">
        <v>10</v>
      </c>
      <c r="N543" s="1" t="s">
        <v>20</v>
      </c>
      <c r="O543" s="1" t="s">
        <v>29</v>
      </c>
      <c r="P543" s="1" t="s">
        <v>22</v>
      </c>
      <c r="Q543" s="1" t="s">
        <v>23</v>
      </c>
      <c r="R543">
        <v>0.60846562400493531</v>
      </c>
    </row>
    <row r="544" spans="1:18" x14ac:dyDescent="0.2">
      <c r="A544" s="1">
        <v>217484</v>
      </c>
      <c r="B544" s="1" t="s">
        <v>618</v>
      </c>
      <c r="C544" s="1" t="s">
        <v>92</v>
      </c>
      <c r="D544" s="1">
        <v>0.72160000000000002</v>
      </c>
      <c r="E544" s="1">
        <v>13381</v>
      </c>
      <c r="F544" s="1">
        <v>37146</v>
      </c>
      <c r="G544" s="1">
        <v>0.73309999999999997</v>
      </c>
      <c r="H544" s="1">
        <v>0.83620000000000005</v>
      </c>
      <c r="I544" s="1">
        <v>0.21759999999999999</v>
      </c>
      <c r="J544" s="1">
        <v>69743</v>
      </c>
      <c r="K544" s="1">
        <v>22250</v>
      </c>
      <c r="L544" s="1">
        <v>11089</v>
      </c>
      <c r="M544" s="1">
        <v>17</v>
      </c>
      <c r="N544" s="1" t="s">
        <v>28</v>
      </c>
      <c r="O544" s="1" t="s">
        <v>21</v>
      </c>
      <c r="P544" s="1" t="s">
        <v>39</v>
      </c>
      <c r="Q544" s="1" t="s">
        <v>23</v>
      </c>
      <c r="R544">
        <v>0.60769091577143586</v>
      </c>
    </row>
    <row r="545" spans="1:18" x14ac:dyDescent="0.2">
      <c r="A545" s="1">
        <v>203757</v>
      </c>
      <c r="B545" s="1" t="s">
        <v>619</v>
      </c>
      <c r="C545" s="1" t="s">
        <v>19</v>
      </c>
      <c r="D545" s="1">
        <v>0.74129999999999996</v>
      </c>
      <c r="E545" s="1">
        <v>543</v>
      </c>
      <c r="F545" s="1">
        <v>29500</v>
      </c>
      <c r="G545" s="1">
        <v>0.3246</v>
      </c>
      <c r="H545" s="1">
        <v>0.87119999999999997</v>
      </c>
      <c r="I545" s="1">
        <v>0.2999</v>
      </c>
      <c r="J545" s="1">
        <v>48150</v>
      </c>
      <c r="K545" s="1">
        <v>27000</v>
      </c>
      <c r="L545" s="1">
        <v>5984</v>
      </c>
      <c r="M545" s="1">
        <v>12</v>
      </c>
      <c r="N545" s="1" t="s">
        <v>20</v>
      </c>
      <c r="O545" s="1" t="s">
        <v>21</v>
      </c>
      <c r="P545" s="1" t="s">
        <v>22</v>
      </c>
      <c r="Q545" s="1" t="s">
        <v>31</v>
      </c>
      <c r="R545">
        <v>0.60688129488005471</v>
      </c>
    </row>
    <row r="546" spans="1:18" x14ac:dyDescent="0.2">
      <c r="A546" s="1">
        <v>462354</v>
      </c>
      <c r="B546" s="1" t="s">
        <v>620</v>
      </c>
      <c r="C546" s="1" t="s">
        <v>33</v>
      </c>
      <c r="D546" s="1">
        <v>0.79630000000000001</v>
      </c>
      <c r="E546" s="1">
        <v>286</v>
      </c>
      <c r="F546" s="1">
        <v>30265</v>
      </c>
      <c r="G546" s="1">
        <v>0.63859999999999995</v>
      </c>
      <c r="H546" s="1">
        <v>0.85070000000000001</v>
      </c>
      <c r="I546" s="1">
        <v>0.32550000000000001</v>
      </c>
      <c r="J546" s="1">
        <v>56930</v>
      </c>
      <c r="K546" s="1">
        <v>26968</v>
      </c>
      <c r="L546" s="1">
        <v>7563</v>
      </c>
      <c r="M546" s="1">
        <v>15</v>
      </c>
      <c r="N546" s="1" t="s">
        <v>20</v>
      </c>
      <c r="O546" s="1" t="s">
        <v>21</v>
      </c>
      <c r="P546" s="1" t="s">
        <v>22</v>
      </c>
      <c r="Q546" s="1" t="s">
        <v>23</v>
      </c>
      <c r="R546">
        <v>0.60684437770852917</v>
      </c>
    </row>
    <row r="547" spans="1:18" x14ac:dyDescent="0.2">
      <c r="A547" s="1">
        <v>201690</v>
      </c>
      <c r="B547" s="1" t="s">
        <v>621</v>
      </c>
      <c r="C547" s="1" t="s">
        <v>19</v>
      </c>
      <c r="D547" s="1">
        <v>0.98609999999999998</v>
      </c>
      <c r="E547" s="1">
        <v>2620</v>
      </c>
      <c r="F547" s="1">
        <v>10058</v>
      </c>
      <c r="G547" s="1">
        <v>0.2281</v>
      </c>
      <c r="H547" s="1">
        <v>0.55920000000000003</v>
      </c>
      <c r="I547" s="1">
        <v>0.52700000000000002</v>
      </c>
      <c r="J547" s="1">
        <v>33267</v>
      </c>
      <c r="K547" s="1">
        <v>30739</v>
      </c>
      <c r="L547" s="1">
        <v>7698</v>
      </c>
      <c r="M547" s="1">
        <v>16</v>
      </c>
      <c r="N547" s="1" t="s">
        <v>28</v>
      </c>
      <c r="O547" s="1" t="s">
        <v>42</v>
      </c>
      <c r="P547" s="1" t="s">
        <v>22</v>
      </c>
      <c r="Q547" s="1" t="s">
        <v>31</v>
      </c>
      <c r="R547">
        <v>0.60633673773842556</v>
      </c>
    </row>
    <row r="548" spans="1:18" x14ac:dyDescent="0.2">
      <c r="A548" s="1">
        <v>202046</v>
      </c>
      <c r="B548" s="1" t="s">
        <v>622</v>
      </c>
      <c r="C548" s="1" t="s">
        <v>19</v>
      </c>
      <c r="D548" s="1">
        <v>0.61350000000000005</v>
      </c>
      <c r="E548" s="1">
        <v>539</v>
      </c>
      <c r="F548" s="1">
        <v>49400</v>
      </c>
      <c r="G548" s="1">
        <v>0.57709999999999995</v>
      </c>
      <c r="H548" s="1">
        <v>0.878</v>
      </c>
      <c r="I548" s="1">
        <v>0.42230000000000001</v>
      </c>
      <c r="J548" s="1">
        <v>42509</v>
      </c>
      <c r="K548" s="1">
        <v>27000</v>
      </c>
      <c r="L548" s="1">
        <v>7134</v>
      </c>
      <c r="M548" s="1">
        <v>9</v>
      </c>
      <c r="N548" s="1" t="s">
        <v>20</v>
      </c>
      <c r="O548" s="1" t="s">
        <v>29</v>
      </c>
      <c r="P548" s="1" t="s">
        <v>22</v>
      </c>
      <c r="Q548" s="1" t="s">
        <v>31</v>
      </c>
      <c r="R548">
        <v>0.6059092985090353</v>
      </c>
    </row>
    <row r="549" spans="1:18" x14ac:dyDescent="0.2">
      <c r="A549" s="1">
        <v>482680</v>
      </c>
      <c r="B549" s="1" t="s">
        <v>623</v>
      </c>
      <c r="C549" s="1" t="s">
        <v>126</v>
      </c>
      <c r="D549" s="1">
        <v>0.6794</v>
      </c>
      <c r="E549" s="1">
        <v>16146</v>
      </c>
      <c r="F549" s="1">
        <v>16503</v>
      </c>
      <c r="G549" s="1">
        <v>0.37290000000000001</v>
      </c>
      <c r="H549" s="1">
        <v>0.73470000000000002</v>
      </c>
      <c r="I549" s="1">
        <v>0.28089999999999998</v>
      </c>
      <c r="J549" s="1">
        <v>50135</v>
      </c>
      <c r="K549" s="1">
        <v>17750</v>
      </c>
      <c r="L549" s="1">
        <v>8231</v>
      </c>
      <c r="M549" s="1">
        <v>19</v>
      </c>
      <c r="N549" s="1" t="s">
        <v>28</v>
      </c>
      <c r="O549" s="1" t="s">
        <v>42</v>
      </c>
      <c r="P549" s="1" t="s">
        <v>30</v>
      </c>
      <c r="Q549" s="1" t="s">
        <v>23</v>
      </c>
      <c r="R549">
        <v>0.60461925756361035</v>
      </c>
    </row>
    <row r="550" spans="1:18" x14ac:dyDescent="0.2">
      <c r="A550" s="1">
        <v>169983</v>
      </c>
      <c r="B550" s="1" t="s">
        <v>624</v>
      </c>
      <c r="C550" s="1" t="s">
        <v>109</v>
      </c>
      <c r="D550" s="1">
        <v>0.78669999999999995</v>
      </c>
      <c r="E550" s="1">
        <v>1205</v>
      </c>
      <c r="F550" s="1">
        <v>48470</v>
      </c>
      <c r="G550" s="1">
        <v>0.70799999999999996</v>
      </c>
      <c r="H550" s="1">
        <v>0.94299999999999995</v>
      </c>
      <c r="I550" s="1">
        <v>0.16980000000000001</v>
      </c>
      <c r="J550" s="1">
        <v>94823</v>
      </c>
      <c r="K550" s="1">
        <v>27000</v>
      </c>
      <c r="L550" s="1">
        <v>9222</v>
      </c>
      <c r="M550" s="1">
        <v>11</v>
      </c>
      <c r="N550" s="1" t="s">
        <v>20</v>
      </c>
      <c r="O550" s="1" t="s">
        <v>29</v>
      </c>
      <c r="P550" s="1" t="s">
        <v>22</v>
      </c>
      <c r="Q550" s="1" t="s">
        <v>23</v>
      </c>
      <c r="R550">
        <v>0.60417173816423653</v>
      </c>
    </row>
    <row r="551" spans="1:18" x14ac:dyDescent="0.2">
      <c r="A551" s="1">
        <v>229018</v>
      </c>
      <c r="B551" s="1" t="s">
        <v>625</v>
      </c>
      <c r="C551" s="1" t="s">
        <v>36</v>
      </c>
      <c r="D551" s="1">
        <v>0.94889999999999997</v>
      </c>
      <c r="E551" s="1">
        <v>3911</v>
      </c>
      <c r="F551" s="1">
        <v>21504</v>
      </c>
      <c r="G551" s="1">
        <v>0.3967</v>
      </c>
      <c r="H551" s="1">
        <v>0.60929999999999995</v>
      </c>
      <c r="I551" s="1">
        <v>0.38690000000000002</v>
      </c>
      <c r="J551" s="1">
        <v>56073</v>
      </c>
      <c r="K551" s="1">
        <v>17750</v>
      </c>
      <c r="L551" s="1">
        <v>9381</v>
      </c>
      <c r="M551" s="1">
        <v>19</v>
      </c>
      <c r="N551" s="1" t="s">
        <v>28</v>
      </c>
      <c r="O551" s="1" t="s">
        <v>29</v>
      </c>
      <c r="P551" s="1" t="s">
        <v>30</v>
      </c>
      <c r="Q551" s="1" t="s">
        <v>23</v>
      </c>
      <c r="R551">
        <v>0.60409582316000032</v>
      </c>
    </row>
    <row r="552" spans="1:18" x14ac:dyDescent="0.2">
      <c r="A552" s="1">
        <v>216010</v>
      </c>
      <c r="B552" s="1" t="s">
        <v>626</v>
      </c>
      <c r="C552" s="1" t="s">
        <v>98</v>
      </c>
      <c r="D552" s="1">
        <v>0.86499999999999999</v>
      </c>
      <c r="E552" s="1">
        <v>4086</v>
      </c>
      <c r="F552" s="1">
        <v>15974</v>
      </c>
      <c r="G552" s="1">
        <v>0.55700000000000005</v>
      </c>
      <c r="H552" s="1">
        <v>0.7681</v>
      </c>
      <c r="I552" s="1">
        <v>0.29770000000000002</v>
      </c>
      <c r="J552" s="1">
        <v>56351</v>
      </c>
      <c r="K552" s="1">
        <v>25000</v>
      </c>
      <c r="L552" s="1">
        <v>12033</v>
      </c>
      <c r="M552" s="1">
        <v>18</v>
      </c>
      <c r="N552" s="1" t="s">
        <v>28</v>
      </c>
      <c r="O552" s="1" t="s">
        <v>42</v>
      </c>
      <c r="P552" s="1" t="s">
        <v>39</v>
      </c>
      <c r="Q552" s="1" t="s">
        <v>23</v>
      </c>
      <c r="R552">
        <v>0.60329592231826001</v>
      </c>
    </row>
    <row r="553" spans="1:18" x14ac:dyDescent="0.2">
      <c r="A553" s="1">
        <v>138354</v>
      </c>
      <c r="B553" s="1" t="s">
        <v>627</v>
      </c>
      <c r="C553" s="1" t="s">
        <v>27</v>
      </c>
      <c r="D553" s="1">
        <v>0.58240000000000003</v>
      </c>
      <c r="E553" s="1">
        <v>9330</v>
      </c>
      <c r="F553" s="1">
        <v>19241</v>
      </c>
      <c r="G553" s="1">
        <v>0.58799999999999997</v>
      </c>
      <c r="H553" s="1">
        <v>0.88759999999999994</v>
      </c>
      <c r="I553" s="1">
        <v>0.33090000000000003</v>
      </c>
      <c r="J553" s="1">
        <v>49137</v>
      </c>
      <c r="K553" s="1">
        <v>16624</v>
      </c>
      <c r="L553" s="1">
        <v>10653</v>
      </c>
      <c r="M553" s="1">
        <v>22</v>
      </c>
      <c r="N553" s="1" t="s">
        <v>28</v>
      </c>
      <c r="O553" s="1" t="s">
        <v>42</v>
      </c>
      <c r="P553" s="1" t="s">
        <v>30</v>
      </c>
      <c r="Q553" s="1" t="s">
        <v>31</v>
      </c>
      <c r="R553">
        <v>0.603179729895854</v>
      </c>
    </row>
    <row r="554" spans="1:18" x14ac:dyDescent="0.2">
      <c r="A554" s="1">
        <v>168263</v>
      </c>
      <c r="B554" s="1" t="s">
        <v>628</v>
      </c>
      <c r="C554" s="1" t="s">
        <v>129</v>
      </c>
      <c r="D554" s="1">
        <v>0.81410000000000005</v>
      </c>
      <c r="E554" s="1">
        <v>3615</v>
      </c>
      <c r="F554" s="1">
        <v>18259</v>
      </c>
      <c r="G554" s="1">
        <v>0.54410000000000003</v>
      </c>
      <c r="H554" s="1">
        <v>0.73899999999999999</v>
      </c>
      <c r="I554" s="1">
        <v>0.32950000000000002</v>
      </c>
      <c r="J554" s="1">
        <v>57346</v>
      </c>
      <c r="K554" s="1">
        <v>22457</v>
      </c>
      <c r="L554" s="1">
        <v>11555</v>
      </c>
      <c r="M554" s="1">
        <v>17</v>
      </c>
      <c r="N554" s="1" t="s">
        <v>28</v>
      </c>
      <c r="O554" s="1" t="s">
        <v>21</v>
      </c>
      <c r="P554" s="1" t="s">
        <v>39</v>
      </c>
      <c r="Q554" s="1" t="s">
        <v>23</v>
      </c>
      <c r="R554">
        <v>0.60243976347959927</v>
      </c>
    </row>
    <row r="555" spans="1:18" x14ac:dyDescent="0.2">
      <c r="A555" s="1">
        <v>173142</v>
      </c>
      <c r="B555" s="1" t="s">
        <v>629</v>
      </c>
      <c r="C555" s="1" t="s">
        <v>54</v>
      </c>
      <c r="D555" s="1">
        <v>0.38969999999999999</v>
      </c>
      <c r="E555" s="1">
        <v>669</v>
      </c>
      <c r="F555" s="1">
        <v>31360</v>
      </c>
      <c r="G555" s="1">
        <v>0.54859999999999998</v>
      </c>
      <c r="H555" s="1">
        <v>0.71960000000000002</v>
      </c>
      <c r="I555" s="1">
        <v>0.22470000000000001</v>
      </c>
      <c r="J555" s="1">
        <v>46110</v>
      </c>
      <c r="K555" s="1">
        <v>23000</v>
      </c>
      <c r="L555" s="1">
        <v>7253</v>
      </c>
      <c r="M555" s="1">
        <v>12</v>
      </c>
      <c r="N555" s="1" t="s">
        <v>20</v>
      </c>
      <c r="O555" s="1" t="s">
        <v>29</v>
      </c>
      <c r="P555" s="1" t="s">
        <v>22</v>
      </c>
      <c r="Q555" s="1" t="s">
        <v>31</v>
      </c>
      <c r="R555">
        <v>0.60156264421076067</v>
      </c>
    </row>
    <row r="556" spans="1:18" x14ac:dyDescent="0.2">
      <c r="A556" s="1">
        <v>216852</v>
      </c>
      <c r="B556" s="1" t="s">
        <v>630</v>
      </c>
      <c r="C556" s="1" t="s">
        <v>98</v>
      </c>
      <c r="D556" s="1">
        <v>0.70930000000000004</v>
      </c>
      <c r="E556" s="1">
        <v>2951</v>
      </c>
      <c r="F556" s="1">
        <v>55730</v>
      </c>
      <c r="G556" s="1">
        <v>0.68320000000000003</v>
      </c>
      <c r="H556" s="1">
        <v>0.78359999999999996</v>
      </c>
      <c r="I556" s="1">
        <v>0.32800000000000001</v>
      </c>
      <c r="J556" s="1">
        <v>70920</v>
      </c>
      <c r="K556" s="1">
        <v>27000</v>
      </c>
      <c r="L556" s="1">
        <v>8979</v>
      </c>
      <c r="M556" s="1">
        <v>11</v>
      </c>
      <c r="N556" s="1" t="s">
        <v>20</v>
      </c>
      <c r="O556" s="1" t="s">
        <v>21</v>
      </c>
      <c r="P556" s="1" t="s">
        <v>39</v>
      </c>
      <c r="Q556" s="1" t="s">
        <v>23</v>
      </c>
      <c r="R556">
        <v>0.60122183706296128</v>
      </c>
    </row>
    <row r="557" spans="1:18" x14ac:dyDescent="0.2">
      <c r="A557" s="1">
        <v>161253</v>
      </c>
      <c r="B557" s="1" t="s">
        <v>631</v>
      </c>
      <c r="C557" s="1" t="s">
        <v>74</v>
      </c>
      <c r="D557" s="1">
        <v>0.96640000000000004</v>
      </c>
      <c r="E557" s="1">
        <v>8496</v>
      </c>
      <c r="F557" s="1">
        <v>36756</v>
      </c>
      <c r="G557" s="1">
        <v>0.5494</v>
      </c>
      <c r="H557" s="1">
        <v>0.83360000000000001</v>
      </c>
      <c r="I557" s="1">
        <v>0.23269999999999999</v>
      </c>
      <c r="J557" s="1">
        <v>48653</v>
      </c>
      <c r="K557" s="1">
        <v>25000</v>
      </c>
      <c r="L557" s="1">
        <v>11425</v>
      </c>
      <c r="M557" s="1">
        <v>15</v>
      </c>
      <c r="N557" s="1" t="s">
        <v>28</v>
      </c>
      <c r="O557" s="1" t="s">
        <v>21</v>
      </c>
      <c r="P557" s="1" t="s">
        <v>39</v>
      </c>
      <c r="Q557" s="1" t="s">
        <v>31</v>
      </c>
      <c r="R557">
        <v>0.60009685016480363</v>
      </c>
    </row>
    <row r="558" spans="1:18" x14ac:dyDescent="0.2">
      <c r="A558" s="1">
        <v>443410</v>
      </c>
      <c r="B558" s="1" t="s">
        <v>632</v>
      </c>
      <c r="C558" s="1" t="s">
        <v>171</v>
      </c>
      <c r="D558" s="1">
        <v>0.64419999999999999</v>
      </c>
      <c r="E558" s="1">
        <v>995</v>
      </c>
      <c r="F558" s="1">
        <v>38950</v>
      </c>
      <c r="G558" s="1">
        <v>0.60950000000000004</v>
      </c>
      <c r="H558" s="1">
        <v>0.76190000000000002</v>
      </c>
      <c r="I558" s="1">
        <v>0.22459999999999999</v>
      </c>
      <c r="J558" s="1">
        <v>79878</v>
      </c>
      <c r="K558" s="1">
        <v>27000</v>
      </c>
      <c r="L558" s="1">
        <v>10167</v>
      </c>
      <c r="M558" s="1">
        <v>11</v>
      </c>
      <c r="N558" s="1" t="s">
        <v>142</v>
      </c>
      <c r="O558" s="1" t="s">
        <v>29</v>
      </c>
      <c r="P558" s="1" t="s">
        <v>22</v>
      </c>
      <c r="Q558" s="1" t="s">
        <v>23</v>
      </c>
      <c r="R558">
        <v>0.5995002067210714</v>
      </c>
    </row>
    <row r="559" spans="1:18" x14ac:dyDescent="0.2">
      <c r="A559" s="1">
        <v>217819</v>
      </c>
      <c r="B559" s="1" t="s">
        <v>633</v>
      </c>
      <c r="C559" s="1" t="s">
        <v>155</v>
      </c>
      <c r="D559" s="1">
        <v>0.60029999999999994</v>
      </c>
      <c r="E559" s="1">
        <v>10558</v>
      </c>
      <c r="F559" s="1">
        <v>38296</v>
      </c>
      <c r="G559" s="1">
        <v>0.6583</v>
      </c>
      <c r="H559" s="1">
        <v>0.8196</v>
      </c>
      <c r="I559" s="1">
        <v>0.1883</v>
      </c>
      <c r="J559" s="1">
        <v>56416</v>
      </c>
      <c r="K559" s="1">
        <v>23250</v>
      </c>
      <c r="L559" s="1">
        <v>10384</v>
      </c>
      <c r="M559" s="1">
        <v>16</v>
      </c>
      <c r="N559" s="1" t="s">
        <v>28</v>
      </c>
      <c r="O559" s="1" t="s">
        <v>29</v>
      </c>
      <c r="P559" s="1" t="s">
        <v>30</v>
      </c>
      <c r="Q559" s="1" t="s">
        <v>23</v>
      </c>
      <c r="R559">
        <v>0.59880380465653171</v>
      </c>
    </row>
    <row r="560" spans="1:18" x14ac:dyDescent="0.2">
      <c r="A560" s="1">
        <v>213507</v>
      </c>
      <c r="B560" s="1" t="s">
        <v>634</v>
      </c>
      <c r="C560" s="1" t="s">
        <v>98</v>
      </c>
      <c r="D560" s="1">
        <v>0.8377</v>
      </c>
      <c r="E560" s="1">
        <v>1684</v>
      </c>
      <c r="F560" s="1">
        <v>52080</v>
      </c>
      <c r="G560" s="1">
        <v>0.64959999999999996</v>
      </c>
      <c r="H560" s="1">
        <v>0.82979999999999998</v>
      </c>
      <c r="I560" s="1">
        <v>0.2485</v>
      </c>
      <c r="J560" s="1">
        <v>62621</v>
      </c>
      <c r="K560" s="1">
        <v>27000</v>
      </c>
      <c r="L560" s="1">
        <v>8422</v>
      </c>
      <c r="M560" s="1">
        <v>11</v>
      </c>
      <c r="N560" s="1" t="s">
        <v>20</v>
      </c>
      <c r="O560" s="1" t="s">
        <v>21</v>
      </c>
      <c r="P560" s="1" t="s">
        <v>39</v>
      </c>
      <c r="Q560" s="1" t="s">
        <v>23</v>
      </c>
      <c r="R560">
        <v>0.59818582487728045</v>
      </c>
    </row>
    <row r="561" spans="1:18" x14ac:dyDescent="0.2">
      <c r="A561" s="1">
        <v>117140</v>
      </c>
      <c r="B561" s="1" t="s">
        <v>635</v>
      </c>
      <c r="C561" s="1" t="s">
        <v>33</v>
      </c>
      <c r="D561" s="1">
        <v>0.7117</v>
      </c>
      <c r="E561" s="1">
        <v>3050</v>
      </c>
      <c r="F561" s="1">
        <v>49470</v>
      </c>
      <c r="G561" s="1">
        <v>0.63119999999999998</v>
      </c>
      <c r="H561" s="1">
        <v>0.64449999999999996</v>
      </c>
      <c r="I561" s="1">
        <v>0.51400000000000001</v>
      </c>
      <c r="J561" s="1">
        <v>65464</v>
      </c>
      <c r="K561" s="1">
        <v>23500</v>
      </c>
      <c r="L561" s="1">
        <v>10550</v>
      </c>
      <c r="M561" s="1">
        <v>10</v>
      </c>
      <c r="N561" s="1" t="s">
        <v>20</v>
      </c>
      <c r="O561" s="1" t="s">
        <v>21</v>
      </c>
      <c r="P561" s="1" t="s">
        <v>22</v>
      </c>
      <c r="Q561" s="1" t="s">
        <v>23</v>
      </c>
      <c r="R561">
        <v>0.59777283876556764</v>
      </c>
    </row>
    <row r="562" spans="1:18" x14ac:dyDescent="0.2">
      <c r="A562" s="1">
        <v>100663</v>
      </c>
      <c r="B562" s="1" t="s">
        <v>636</v>
      </c>
      <c r="C562" s="1" t="s">
        <v>177</v>
      </c>
      <c r="D562" s="1">
        <v>0.88180000000000003</v>
      </c>
      <c r="E562" s="1">
        <v>11635</v>
      </c>
      <c r="F562" s="1">
        <v>22562</v>
      </c>
      <c r="G562" s="1">
        <v>0.64229999999999998</v>
      </c>
      <c r="H562" s="1">
        <v>0.80089999999999995</v>
      </c>
      <c r="I562" s="1">
        <v>0.3402</v>
      </c>
      <c r="J562" s="1">
        <v>54501</v>
      </c>
      <c r="K562" s="1">
        <v>22300</v>
      </c>
      <c r="L562" s="1">
        <v>12612</v>
      </c>
      <c r="M562" s="1">
        <v>18</v>
      </c>
      <c r="N562" s="1" t="s">
        <v>28</v>
      </c>
      <c r="O562" s="1" t="s">
        <v>29</v>
      </c>
      <c r="P562" s="1" t="s">
        <v>30</v>
      </c>
      <c r="Q562" s="1" t="s">
        <v>23</v>
      </c>
      <c r="R562">
        <v>0.59590850860029576</v>
      </c>
    </row>
    <row r="563" spans="1:18" x14ac:dyDescent="0.2">
      <c r="A563" s="1">
        <v>181215</v>
      </c>
      <c r="B563" s="1" t="s">
        <v>637</v>
      </c>
      <c r="C563" s="1" t="s">
        <v>221</v>
      </c>
      <c r="D563" s="1">
        <v>0.89490000000000003</v>
      </c>
      <c r="E563" s="1">
        <v>4088</v>
      </c>
      <c r="F563" s="1">
        <v>15284</v>
      </c>
      <c r="G563" s="1">
        <v>0.57740000000000002</v>
      </c>
      <c r="H563" s="1">
        <v>0.79959999999999998</v>
      </c>
      <c r="I563" s="1">
        <v>0.36930000000000002</v>
      </c>
      <c r="J563" s="1">
        <v>50105</v>
      </c>
      <c r="K563" s="1">
        <v>19500</v>
      </c>
      <c r="L563" s="1">
        <v>8350</v>
      </c>
      <c r="M563" s="1">
        <v>14</v>
      </c>
      <c r="N563" s="1" t="s">
        <v>28</v>
      </c>
      <c r="O563" s="1" t="s">
        <v>42</v>
      </c>
      <c r="P563" s="1" t="s">
        <v>22</v>
      </c>
      <c r="Q563" s="1" t="s">
        <v>23</v>
      </c>
      <c r="R563">
        <v>0.59514726086438752</v>
      </c>
    </row>
    <row r="564" spans="1:18" x14ac:dyDescent="0.2">
      <c r="A564" s="1">
        <v>196060</v>
      </c>
      <c r="B564" s="1" t="s">
        <v>638</v>
      </c>
      <c r="C564" s="1" t="s">
        <v>58</v>
      </c>
      <c r="D564" s="1">
        <v>0.69099999999999995</v>
      </c>
      <c r="E564" s="1">
        <v>12564</v>
      </c>
      <c r="F564" s="1">
        <v>31256</v>
      </c>
      <c r="G564" s="1">
        <v>0.61450000000000005</v>
      </c>
      <c r="H564" s="1">
        <v>0.83440000000000003</v>
      </c>
      <c r="I564" s="1">
        <v>0.43690000000000001</v>
      </c>
      <c r="J564" s="1">
        <v>67979</v>
      </c>
      <c r="K564" s="1">
        <v>19500</v>
      </c>
      <c r="L564" s="1">
        <v>11012</v>
      </c>
      <c r="M564" s="1">
        <v>16</v>
      </c>
      <c r="N564" s="1" t="s">
        <v>28</v>
      </c>
      <c r="O564" s="1" t="s">
        <v>29</v>
      </c>
      <c r="P564" s="1" t="s">
        <v>39</v>
      </c>
      <c r="Q564" s="1" t="s">
        <v>23</v>
      </c>
      <c r="R564">
        <v>0.59502112403022189</v>
      </c>
    </row>
    <row r="565" spans="1:18" x14ac:dyDescent="0.2">
      <c r="A565" s="1">
        <v>436836</v>
      </c>
      <c r="B565" s="1" t="s">
        <v>639</v>
      </c>
      <c r="C565" s="1" t="s">
        <v>147</v>
      </c>
      <c r="D565" s="1">
        <v>0.82979999999999998</v>
      </c>
      <c r="E565" s="1">
        <v>2432</v>
      </c>
      <c r="F565" s="1">
        <v>40818</v>
      </c>
      <c r="G565" s="1">
        <v>0.56540000000000001</v>
      </c>
      <c r="H565" s="1">
        <v>0.81599999999999995</v>
      </c>
      <c r="I565" s="1">
        <v>0.5071</v>
      </c>
      <c r="J565" s="1">
        <v>73997</v>
      </c>
      <c r="K565" s="1">
        <v>21500</v>
      </c>
      <c r="L565" s="1">
        <v>17573</v>
      </c>
      <c r="M565" s="1">
        <v>21</v>
      </c>
      <c r="N565" s="1" t="s">
        <v>28</v>
      </c>
      <c r="O565" s="1" t="s">
        <v>29</v>
      </c>
      <c r="P565" s="1" t="s">
        <v>39</v>
      </c>
      <c r="Q565" s="1" t="s">
        <v>23</v>
      </c>
      <c r="R565">
        <v>0.59466778316758806</v>
      </c>
    </row>
    <row r="566" spans="1:18" x14ac:dyDescent="0.2">
      <c r="A566" s="1">
        <v>151102</v>
      </c>
      <c r="B566" s="1" t="s">
        <v>640</v>
      </c>
      <c r="C566" s="1" t="s">
        <v>102</v>
      </c>
      <c r="D566" s="1">
        <v>0.83889999999999998</v>
      </c>
      <c r="E566" s="1">
        <v>5484</v>
      </c>
      <c r="F566" s="1">
        <v>22887</v>
      </c>
      <c r="G566" s="1">
        <v>0.36270000000000002</v>
      </c>
      <c r="H566" s="1">
        <v>0.66569999999999996</v>
      </c>
      <c r="I566" s="1">
        <v>0.2477</v>
      </c>
      <c r="J566" s="1">
        <v>45872</v>
      </c>
      <c r="K566" s="1">
        <v>21500</v>
      </c>
      <c r="L566" s="1">
        <v>8912</v>
      </c>
      <c r="M566" s="1">
        <v>13</v>
      </c>
      <c r="N566" s="1" t="s">
        <v>28</v>
      </c>
      <c r="O566" s="1" t="s">
        <v>29</v>
      </c>
      <c r="P566" s="1" t="s">
        <v>22</v>
      </c>
      <c r="Q566" s="1" t="s">
        <v>31</v>
      </c>
      <c r="R566">
        <v>0.59464895387132799</v>
      </c>
    </row>
    <row r="567" spans="1:18" x14ac:dyDescent="0.2">
      <c r="A567" s="1">
        <v>203128</v>
      </c>
      <c r="B567" s="1" t="s">
        <v>641</v>
      </c>
      <c r="C567" s="1" t="s">
        <v>19</v>
      </c>
      <c r="D567" s="1">
        <v>0.93530000000000002</v>
      </c>
      <c r="E567" s="1">
        <v>777</v>
      </c>
      <c r="F567" s="1">
        <v>27600</v>
      </c>
      <c r="G567" s="1">
        <v>0.54510000000000003</v>
      </c>
      <c r="H567" s="1">
        <v>0.71860000000000002</v>
      </c>
      <c r="I567" s="1">
        <v>0.31740000000000002</v>
      </c>
      <c r="J567" s="1">
        <v>54311</v>
      </c>
      <c r="K567" s="1">
        <v>27000</v>
      </c>
      <c r="L567" s="1">
        <v>6756</v>
      </c>
      <c r="M567" s="1">
        <v>11</v>
      </c>
      <c r="N567" s="1" t="s">
        <v>20</v>
      </c>
      <c r="O567" s="1" t="s">
        <v>42</v>
      </c>
      <c r="P567" s="1" t="s">
        <v>22</v>
      </c>
      <c r="Q567" s="1" t="s">
        <v>23</v>
      </c>
      <c r="R567">
        <v>0.59342776057299396</v>
      </c>
    </row>
    <row r="568" spans="1:18" x14ac:dyDescent="0.2">
      <c r="A568" s="1">
        <v>168421</v>
      </c>
      <c r="B568" s="1" t="s">
        <v>642</v>
      </c>
      <c r="C568" s="1" t="s">
        <v>129</v>
      </c>
      <c r="D568" s="1">
        <v>0.60160000000000002</v>
      </c>
      <c r="E568" s="1">
        <v>5447</v>
      </c>
      <c r="F568" s="1">
        <v>60965</v>
      </c>
      <c r="G568" s="1">
        <v>0.89710000000000001</v>
      </c>
      <c r="H568" s="1">
        <v>0.93659999999999999</v>
      </c>
      <c r="I568" s="1">
        <v>0.1188</v>
      </c>
      <c r="J568" s="1">
        <v>103470</v>
      </c>
      <c r="K568" s="1">
        <v>27000</v>
      </c>
      <c r="L568" s="1">
        <v>13376</v>
      </c>
      <c r="M568" s="1">
        <v>13</v>
      </c>
      <c r="N568" s="1" t="s">
        <v>20</v>
      </c>
      <c r="O568" s="1" t="s">
        <v>29</v>
      </c>
      <c r="P568" s="1" t="s">
        <v>39</v>
      </c>
      <c r="Q568" s="1" t="s">
        <v>23</v>
      </c>
      <c r="R568">
        <v>0.59272719842065458</v>
      </c>
    </row>
    <row r="569" spans="1:18" x14ac:dyDescent="0.2">
      <c r="A569" s="1">
        <v>240374</v>
      </c>
      <c r="B569" s="1" t="s">
        <v>643</v>
      </c>
      <c r="C569" s="1" t="s">
        <v>50</v>
      </c>
      <c r="D569" s="1">
        <v>0.75390000000000001</v>
      </c>
      <c r="E569" s="1">
        <v>2844</v>
      </c>
      <c r="F569" s="1">
        <v>17429</v>
      </c>
      <c r="G569" s="1">
        <v>0.40400000000000003</v>
      </c>
      <c r="H569" s="1">
        <v>0.68720000000000003</v>
      </c>
      <c r="I569" s="1">
        <v>0.3503</v>
      </c>
      <c r="J569" s="1">
        <v>51129</v>
      </c>
      <c r="K569" s="1">
        <v>20492</v>
      </c>
      <c r="L569" s="1">
        <v>8388</v>
      </c>
      <c r="M569" s="1">
        <v>20</v>
      </c>
      <c r="N569" s="1" t="s">
        <v>28</v>
      </c>
      <c r="O569" s="1" t="s">
        <v>42</v>
      </c>
      <c r="P569" s="1" t="s">
        <v>22</v>
      </c>
      <c r="Q569" s="1" t="s">
        <v>23</v>
      </c>
      <c r="R569">
        <v>0.59154313124306468</v>
      </c>
    </row>
    <row r="570" spans="1:18" x14ac:dyDescent="0.2">
      <c r="A570" s="1">
        <v>159391</v>
      </c>
      <c r="B570" s="1" t="s">
        <v>644</v>
      </c>
      <c r="C570" s="1" t="s">
        <v>46</v>
      </c>
      <c r="D570" s="1">
        <v>0.73329999999999995</v>
      </c>
      <c r="E570" s="1">
        <v>30594</v>
      </c>
      <c r="F570" s="1">
        <v>28631</v>
      </c>
      <c r="G570" s="1">
        <v>0.68810000000000004</v>
      </c>
      <c r="H570" s="1">
        <v>0.84740000000000004</v>
      </c>
      <c r="I570" s="1">
        <v>0.26550000000000001</v>
      </c>
      <c r="J570" s="1">
        <v>61251</v>
      </c>
      <c r="K570" s="1">
        <v>20500</v>
      </c>
      <c r="L570" s="1">
        <v>11474</v>
      </c>
      <c r="M570" s="1">
        <v>21</v>
      </c>
      <c r="N570" s="1" t="s">
        <v>28</v>
      </c>
      <c r="O570" s="1" t="s">
        <v>29</v>
      </c>
      <c r="P570" s="1" t="s">
        <v>30</v>
      </c>
      <c r="Q570" s="1" t="s">
        <v>23</v>
      </c>
      <c r="R570">
        <v>0.59095937694973488</v>
      </c>
    </row>
    <row r="571" spans="1:18" x14ac:dyDescent="0.2">
      <c r="A571" s="1">
        <v>196176</v>
      </c>
      <c r="B571" s="1" t="s">
        <v>645</v>
      </c>
      <c r="C571" s="1" t="s">
        <v>58</v>
      </c>
      <c r="D571" s="1">
        <v>0.61609999999999998</v>
      </c>
      <c r="E571" s="1">
        <v>6086</v>
      </c>
      <c r="F571" s="1">
        <v>18822</v>
      </c>
      <c r="G571" s="1">
        <v>0.71599999999999997</v>
      </c>
      <c r="H571" s="1">
        <v>0.85019999999999996</v>
      </c>
      <c r="I571" s="1">
        <v>0.31900000000000001</v>
      </c>
      <c r="J571" s="1">
        <v>58073</v>
      </c>
      <c r="K571" s="1">
        <v>18750</v>
      </c>
      <c r="L571" s="1">
        <v>8406</v>
      </c>
      <c r="M571" s="1">
        <v>16</v>
      </c>
      <c r="N571" s="1" t="s">
        <v>28</v>
      </c>
      <c r="O571" s="1" t="s">
        <v>42</v>
      </c>
      <c r="P571" s="1" t="s">
        <v>39</v>
      </c>
      <c r="Q571" s="1" t="s">
        <v>23</v>
      </c>
      <c r="R571">
        <v>0.5903771105318556</v>
      </c>
    </row>
    <row r="572" spans="1:18" x14ac:dyDescent="0.2">
      <c r="A572" s="1">
        <v>152381</v>
      </c>
      <c r="B572" s="1" t="s">
        <v>646</v>
      </c>
      <c r="C572" s="1" t="s">
        <v>102</v>
      </c>
      <c r="D572" s="1">
        <v>0.72389999999999999</v>
      </c>
      <c r="E572" s="1">
        <v>853</v>
      </c>
      <c r="F572" s="1">
        <v>35270</v>
      </c>
      <c r="G572" s="1">
        <v>0.46629999999999999</v>
      </c>
      <c r="H572" s="1">
        <v>0.61839999999999995</v>
      </c>
      <c r="I572" s="1">
        <v>0.49890000000000001</v>
      </c>
      <c r="J572" s="1">
        <v>43845</v>
      </c>
      <c r="K572" s="1">
        <v>19512</v>
      </c>
      <c r="L572" s="1">
        <v>5652</v>
      </c>
      <c r="M572" s="1">
        <v>9</v>
      </c>
      <c r="N572" s="1" t="s">
        <v>20</v>
      </c>
      <c r="O572" s="1" t="s">
        <v>42</v>
      </c>
      <c r="P572" s="1" t="s">
        <v>22</v>
      </c>
      <c r="Q572" s="1" t="s">
        <v>31</v>
      </c>
      <c r="R572">
        <v>0.59019748647111558</v>
      </c>
    </row>
    <row r="573" spans="1:18" x14ac:dyDescent="0.2">
      <c r="A573" s="1">
        <v>155070</v>
      </c>
      <c r="B573" s="1" t="s">
        <v>647</v>
      </c>
      <c r="C573" s="1" t="s">
        <v>56</v>
      </c>
      <c r="D573" s="1">
        <v>0.50980000000000003</v>
      </c>
      <c r="E573" s="1">
        <v>168</v>
      </c>
      <c r="F573" s="1">
        <v>24590</v>
      </c>
      <c r="G573" s="1">
        <v>0.3226</v>
      </c>
      <c r="H573" s="1">
        <v>0.52380000000000004</v>
      </c>
      <c r="I573" s="1">
        <v>0.51480000000000004</v>
      </c>
      <c r="J573" s="1">
        <v>36355</v>
      </c>
      <c r="K573" s="1">
        <v>27000</v>
      </c>
      <c r="L573" s="1">
        <v>6275</v>
      </c>
      <c r="M573" s="1">
        <v>8</v>
      </c>
      <c r="N573" s="1" t="s">
        <v>20</v>
      </c>
      <c r="O573" s="1" t="s">
        <v>42</v>
      </c>
      <c r="P573" s="1" t="s">
        <v>22</v>
      </c>
      <c r="Q573" s="1" t="s">
        <v>31</v>
      </c>
      <c r="R573">
        <v>0.58992507812104888</v>
      </c>
    </row>
    <row r="574" spans="1:18" x14ac:dyDescent="0.2">
      <c r="A574" s="1">
        <v>227368</v>
      </c>
      <c r="B574" s="1" t="s">
        <v>648</v>
      </c>
      <c r="C574" s="1" t="s">
        <v>36</v>
      </c>
      <c r="D574" s="1">
        <v>0.94189999999999996</v>
      </c>
      <c r="E574" s="1">
        <v>28666</v>
      </c>
      <c r="F574" s="1">
        <v>19827</v>
      </c>
      <c r="G574" s="1">
        <v>0.50900000000000001</v>
      </c>
      <c r="H574" s="1">
        <v>0.81110000000000004</v>
      </c>
      <c r="I574" s="1">
        <v>0.65080000000000005</v>
      </c>
      <c r="J574" s="1">
        <v>49620</v>
      </c>
      <c r="K574" s="1">
        <v>12950</v>
      </c>
      <c r="L574" s="1">
        <v>9041</v>
      </c>
      <c r="M574" s="1">
        <v>20</v>
      </c>
      <c r="N574" s="1" t="s">
        <v>28</v>
      </c>
      <c r="O574" s="1" t="s">
        <v>29</v>
      </c>
      <c r="P574" s="1" t="s">
        <v>30</v>
      </c>
      <c r="Q574" s="1" t="s">
        <v>31</v>
      </c>
      <c r="R574">
        <v>0.5894001596530436</v>
      </c>
    </row>
    <row r="575" spans="1:18" x14ac:dyDescent="0.2">
      <c r="A575" s="1">
        <v>153977</v>
      </c>
      <c r="B575" s="1" t="s">
        <v>649</v>
      </c>
      <c r="C575" s="1" t="s">
        <v>81</v>
      </c>
      <c r="D575" s="1">
        <v>0.99709999999999999</v>
      </c>
      <c r="E575" s="1">
        <v>867</v>
      </c>
      <c r="F575" s="1">
        <v>17664</v>
      </c>
      <c r="G575" s="1">
        <v>0.6552</v>
      </c>
      <c r="H575" s="1">
        <v>0.69230000000000003</v>
      </c>
      <c r="I575" s="1">
        <v>0.3392</v>
      </c>
      <c r="J575" s="1">
        <v>62234</v>
      </c>
      <c r="K575" s="1">
        <v>14745</v>
      </c>
      <c r="L575" s="1">
        <v>6328</v>
      </c>
      <c r="M575" s="1">
        <v>7</v>
      </c>
      <c r="N575" s="1" t="s">
        <v>20</v>
      </c>
      <c r="O575" s="1" t="s">
        <v>29</v>
      </c>
      <c r="P575" s="1" t="s">
        <v>22</v>
      </c>
      <c r="Q575" s="1" t="s">
        <v>23</v>
      </c>
      <c r="R575">
        <v>0.58668093627432605</v>
      </c>
    </row>
    <row r="576" spans="1:18" x14ac:dyDescent="0.2">
      <c r="A576" s="1">
        <v>104717</v>
      </c>
      <c r="B576" s="1" t="s">
        <v>650</v>
      </c>
      <c r="C576" s="1" t="s">
        <v>216</v>
      </c>
      <c r="D576" s="1">
        <v>0.78910000000000002</v>
      </c>
      <c r="E576" s="1">
        <v>73371</v>
      </c>
      <c r="F576" s="1">
        <v>17850</v>
      </c>
      <c r="G576" s="1">
        <v>0.43459999999999999</v>
      </c>
      <c r="H576" s="1">
        <v>0.72050000000000003</v>
      </c>
      <c r="I576" s="1">
        <v>0.45939999999999998</v>
      </c>
      <c r="J576" s="1">
        <v>42186</v>
      </c>
      <c r="K576" s="1">
        <v>22114</v>
      </c>
      <c r="L576" s="1">
        <v>7563</v>
      </c>
      <c r="M576" s="1">
        <v>20</v>
      </c>
      <c r="N576" s="1" t="s">
        <v>20</v>
      </c>
      <c r="O576" s="1" t="s">
        <v>29</v>
      </c>
      <c r="P576" s="1" t="s">
        <v>22</v>
      </c>
      <c r="Q576" s="1" t="s">
        <v>31</v>
      </c>
      <c r="R576">
        <v>0.58662465304495648</v>
      </c>
    </row>
    <row r="577" spans="1:18" x14ac:dyDescent="0.2">
      <c r="A577" s="1">
        <v>222983</v>
      </c>
      <c r="B577" s="1" t="s">
        <v>651</v>
      </c>
      <c r="C577" s="1" t="s">
        <v>36</v>
      </c>
      <c r="D577" s="1">
        <v>0.47649999999999998</v>
      </c>
      <c r="E577" s="1">
        <v>1165</v>
      </c>
      <c r="F577" s="1">
        <v>48680</v>
      </c>
      <c r="G577" s="1">
        <v>0.67049999999999998</v>
      </c>
      <c r="H577" s="1">
        <v>0.79390000000000005</v>
      </c>
      <c r="I577" s="1">
        <v>0.3085</v>
      </c>
      <c r="J577" s="1">
        <v>61296</v>
      </c>
      <c r="K577" s="1">
        <v>24500</v>
      </c>
      <c r="L577" s="1">
        <v>8628</v>
      </c>
      <c r="M577" s="1">
        <v>11</v>
      </c>
      <c r="N577" s="1" t="s">
        <v>20</v>
      </c>
      <c r="O577" s="1" t="s">
        <v>29</v>
      </c>
      <c r="P577" s="1" t="s">
        <v>30</v>
      </c>
      <c r="Q577" s="1" t="s">
        <v>23</v>
      </c>
      <c r="R577">
        <v>0.58610781787752786</v>
      </c>
    </row>
    <row r="578" spans="1:18" x14ac:dyDescent="0.2">
      <c r="A578" s="1">
        <v>196042</v>
      </c>
      <c r="B578" s="1" t="s">
        <v>652</v>
      </c>
      <c r="C578" s="1" t="s">
        <v>58</v>
      </c>
      <c r="D578" s="1">
        <v>0.63290000000000002</v>
      </c>
      <c r="E578" s="1">
        <v>9552</v>
      </c>
      <c r="F578" s="1">
        <v>18536</v>
      </c>
      <c r="G578" s="1">
        <v>0.52780000000000005</v>
      </c>
      <c r="H578" s="1">
        <v>0.81569999999999998</v>
      </c>
      <c r="I578" s="1">
        <v>0.36249999999999999</v>
      </c>
      <c r="J578" s="1">
        <v>69781</v>
      </c>
      <c r="K578" s="1">
        <v>14718</v>
      </c>
      <c r="L578" s="1">
        <v>9379</v>
      </c>
      <c r="M578" s="1">
        <v>18</v>
      </c>
      <c r="N578" s="1" t="s">
        <v>28</v>
      </c>
      <c r="O578" s="1" t="s">
        <v>21</v>
      </c>
      <c r="P578" s="1" t="s">
        <v>39</v>
      </c>
      <c r="Q578" s="1" t="s">
        <v>23</v>
      </c>
      <c r="R578">
        <v>0.5837416566941096</v>
      </c>
    </row>
    <row r="579" spans="1:18" x14ac:dyDescent="0.2">
      <c r="A579" s="1">
        <v>221519</v>
      </c>
      <c r="B579" s="1" t="s">
        <v>653</v>
      </c>
      <c r="C579" s="1" t="s">
        <v>163</v>
      </c>
      <c r="D579" s="1">
        <v>0.56899999999999995</v>
      </c>
      <c r="E579" s="1">
        <v>1607</v>
      </c>
      <c r="F579" s="1">
        <v>56120</v>
      </c>
      <c r="G579" s="1">
        <v>0.79790000000000005</v>
      </c>
      <c r="H579" s="1">
        <v>0.88859999999999995</v>
      </c>
      <c r="I579" s="1">
        <v>0.1585</v>
      </c>
      <c r="J579" s="1">
        <v>64911</v>
      </c>
      <c r="K579" s="1">
        <v>22855</v>
      </c>
      <c r="L579" s="1">
        <v>10158</v>
      </c>
      <c r="M579" s="1">
        <v>9</v>
      </c>
      <c r="N579" s="1" t="s">
        <v>20</v>
      </c>
      <c r="O579" s="1" t="s">
        <v>42</v>
      </c>
      <c r="P579" s="1" t="s">
        <v>30</v>
      </c>
      <c r="Q579" s="1" t="s">
        <v>23</v>
      </c>
      <c r="R579">
        <v>0.5832484321559297</v>
      </c>
    </row>
    <row r="580" spans="1:18" x14ac:dyDescent="0.2">
      <c r="A580" s="1">
        <v>238476</v>
      </c>
      <c r="B580" s="1" t="s">
        <v>654</v>
      </c>
      <c r="C580" s="1" t="s">
        <v>50</v>
      </c>
      <c r="D580" s="1">
        <v>0.87060000000000004</v>
      </c>
      <c r="E580" s="1">
        <v>2660</v>
      </c>
      <c r="F580" s="1">
        <v>38750</v>
      </c>
      <c r="G580" s="1">
        <v>0.64259999999999995</v>
      </c>
      <c r="H580" s="1">
        <v>0.7339</v>
      </c>
      <c r="I580" s="1">
        <v>0.27100000000000002</v>
      </c>
      <c r="J580" s="1">
        <v>56950</v>
      </c>
      <c r="K580" s="1">
        <v>26000</v>
      </c>
      <c r="L580" s="1">
        <v>8981</v>
      </c>
      <c r="M580" s="1">
        <v>14</v>
      </c>
      <c r="N580" s="1" t="s">
        <v>20</v>
      </c>
      <c r="O580" s="1" t="s">
        <v>29</v>
      </c>
      <c r="P580" s="1" t="s">
        <v>22</v>
      </c>
      <c r="Q580" s="1" t="s">
        <v>23</v>
      </c>
      <c r="R580">
        <v>0.58239572631496817</v>
      </c>
    </row>
    <row r="581" spans="1:18" x14ac:dyDescent="0.2">
      <c r="A581" s="1">
        <v>207971</v>
      </c>
      <c r="B581" s="1" t="s">
        <v>655</v>
      </c>
      <c r="C581" s="1" t="s">
        <v>224</v>
      </c>
      <c r="D581" s="1">
        <v>0.61509999999999998</v>
      </c>
      <c r="E581" s="1">
        <v>2813</v>
      </c>
      <c r="F581" s="1">
        <v>50061</v>
      </c>
      <c r="G581" s="1">
        <v>0.72289999999999999</v>
      </c>
      <c r="H581" s="1">
        <v>0.92110000000000003</v>
      </c>
      <c r="I581" s="1">
        <v>0.26960000000000001</v>
      </c>
      <c r="J581" s="1">
        <v>61408</v>
      </c>
      <c r="K581" s="1">
        <v>21500</v>
      </c>
      <c r="L581" s="1">
        <v>12082</v>
      </c>
      <c r="M581" s="1">
        <v>10</v>
      </c>
      <c r="N581" s="1" t="s">
        <v>20</v>
      </c>
      <c r="O581" s="1" t="s">
        <v>29</v>
      </c>
      <c r="P581" s="1" t="s">
        <v>30</v>
      </c>
      <c r="Q581" s="1" t="s">
        <v>23</v>
      </c>
      <c r="R581">
        <v>0.58212903773952673</v>
      </c>
    </row>
    <row r="582" spans="1:18" x14ac:dyDescent="0.2">
      <c r="A582" s="1">
        <v>219709</v>
      </c>
      <c r="B582" s="1" t="s">
        <v>656</v>
      </c>
      <c r="C582" s="1" t="s">
        <v>163</v>
      </c>
      <c r="D582" s="1">
        <v>0.95279999999999998</v>
      </c>
      <c r="E582" s="1">
        <v>7137</v>
      </c>
      <c r="F582" s="1">
        <v>42540</v>
      </c>
      <c r="G582" s="1">
        <v>0.70660000000000001</v>
      </c>
      <c r="H582" s="1">
        <v>0.86939999999999995</v>
      </c>
      <c r="I582" s="1">
        <v>0.20749999999999999</v>
      </c>
      <c r="J582" s="1">
        <v>55930</v>
      </c>
      <c r="K582" s="1">
        <v>20500</v>
      </c>
      <c r="L582" s="1">
        <v>10550</v>
      </c>
      <c r="M582" s="1">
        <v>12</v>
      </c>
      <c r="N582" s="1" t="s">
        <v>20</v>
      </c>
      <c r="O582" s="1" t="s">
        <v>29</v>
      </c>
      <c r="P582" s="1" t="s">
        <v>30</v>
      </c>
      <c r="Q582" s="1" t="s">
        <v>23</v>
      </c>
      <c r="R582">
        <v>0.58174941306019601</v>
      </c>
    </row>
    <row r="583" spans="1:18" x14ac:dyDescent="0.2">
      <c r="A583" s="1">
        <v>100830</v>
      </c>
      <c r="B583" s="1" t="s">
        <v>657</v>
      </c>
      <c r="C583" s="1" t="s">
        <v>177</v>
      </c>
      <c r="D583" s="1">
        <v>0.91569999999999996</v>
      </c>
      <c r="E583" s="1">
        <v>2542</v>
      </c>
      <c r="F583" s="1">
        <v>20668</v>
      </c>
      <c r="G583" s="1">
        <v>0.32600000000000001</v>
      </c>
      <c r="H583" s="1">
        <v>0.67569999999999997</v>
      </c>
      <c r="I583" s="1">
        <v>0.42349999999999999</v>
      </c>
      <c r="J583" s="1">
        <v>44391</v>
      </c>
      <c r="K583" s="1">
        <v>25000</v>
      </c>
      <c r="L583" s="1">
        <v>8974</v>
      </c>
      <c r="M583" s="1">
        <v>13</v>
      </c>
      <c r="N583" s="1" t="s">
        <v>28</v>
      </c>
      <c r="O583" s="1" t="s">
        <v>29</v>
      </c>
      <c r="P583" s="1" t="s">
        <v>30</v>
      </c>
      <c r="Q583" s="1" t="s">
        <v>31</v>
      </c>
      <c r="R583">
        <v>0.57901598866414983</v>
      </c>
    </row>
    <row r="584" spans="1:18" x14ac:dyDescent="0.2">
      <c r="A584" s="1">
        <v>219806</v>
      </c>
      <c r="B584" s="1" t="s">
        <v>658</v>
      </c>
      <c r="C584" s="1" t="s">
        <v>163</v>
      </c>
      <c r="D584" s="1">
        <v>0.90449999999999997</v>
      </c>
      <c r="E584" s="1">
        <v>1387</v>
      </c>
      <c r="F584" s="1">
        <v>34700</v>
      </c>
      <c r="G584" s="1">
        <v>0.53239999999999998</v>
      </c>
      <c r="H584" s="1">
        <v>0.74170000000000003</v>
      </c>
      <c r="I584" s="1">
        <v>0.3337</v>
      </c>
      <c r="J584" s="1">
        <v>48382</v>
      </c>
      <c r="K584" s="1">
        <v>21500</v>
      </c>
      <c r="L584" s="1">
        <v>6387</v>
      </c>
      <c r="M584" s="1">
        <v>12</v>
      </c>
      <c r="N584" s="1" t="s">
        <v>20</v>
      </c>
      <c r="O584" s="1" t="s">
        <v>21</v>
      </c>
      <c r="P584" s="1" t="s">
        <v>30</v>
      </c>
      <c r="Q584" s="1" t="s">
        <v>31</v>
      </c>
      <c r="R584">
        <v>0.57895065321334005</v>
      </c>
    </row>
    <row r="585" spans="1:18" x14ac:dyDescent="0.2">
      <c r="A585" s="1">
        <v>176372</v>
      </c>
      <c r="B585" s="1" t="s">
        <v>659</v>
      </c>
      <c r="C585" s="1" t="s">
        <v>169</v>
      </c>
      <c r="D585" s="1">
        <v>0.99119999999999997</v>
      </c>
      <c r="E585" s="1">
        <v>10075</v>
      </c>
      <c r="F585" s="1">
        <v>11998</v>
      </c>
      <c r="G585" s="1">
        <v>0.49059999999999998</v>
      </c>
      <c r="H585" s="1">
        <v>0.72089999999999999</v>
      </c>
      <c r="I585" s="1">
        <v>0.46279999999999999</v>
      </c>
      <c r="J585" s="1">
        <v>44140</v>
      </c>
      <c r="K585" s="1">
        <v>22500</v>
      </c>
      <c r="L585" s="1">
        <v>8697</v>
      </c>
      <c r="M585" s="1">
        <v>18</v>
      </c>
      <c r="N585" s="1" t="s">
        <v>28</v>
      </c>
      <c r="O585" s="1" t="s">
        <v>29</v>
      </c>
      <c r="P585" s="1" t="s">
        <v>30</v>
      </c>
      <c r="Q585" s="1" t="s">
        <v>31</v>
      </c>
      <c r="R585">
        <v>0.57852134828103119</v>
      </c>
    </row>
    <row r="586" spans="1:18" x14ac:dyDescent="0.2">
      <c r="A586" s="1">
        <v>176080</v>
      </c>
      <c r="B586" s="1" t="s">
        <v>660</v>
      </c>
      <c r="C586" s="1" t="s">
        <v>169</v>
      </c>
      <c r="D586" s="1">
        <v>0.77639999999999998</v>
      </c>
      <c r="E586" s="1">
        <v>18397</v>
      </c>
      <c r="F586" s="1">
        <v>27637</v>
      </c>
      <c r="G586" s="1">
        <v>0.66669999999999996</v>
      </c>
      <c r="H586" s="1">
        <v>0.82499999999999996</v>
      </c>
      <c r="I586" s="1">
        <v>0.29330000000000001</v>
      </c>
      <c r="J586" s="1">
        <v>51513</v>
      </c>
      <c r="K586" s="1">
        <v>22142</v>
      </c>
      <c r="L586" s="1">
        <v>10100</v>
      </c>
      <c r="M586" s="1">
        <v>16</v>
      </c>
      <c r="N586" s="1" t="s">
        <v>28</v>
      </c>
      <c r="O586" s="1" t="s">
        <v>42</v>
      </c>
      <c r="P586" s="1" t="s">
        <v>30</v>
      </c>
      <c r="Q586" s="1" t="s">
        <v>23</v>
      </c>
      <c r="R586">
        <v>0.57764534798271772</v>
      </c>
    </row>
    <row r="587" spans="1:18" x14ac:dyDescent="0.2">
      <c r="A587" s="1">
        <v>161509</v>
      </c>
      <c r="B587" s="1" t="s">
        <v>661</v>
      </c>
      <c r="C587" s="1" t="s">
        <v>74</v>
      </c>
      <c r="D587" s="1">
        <v>0.76060000000000005</v>
      </c>
      <c r="E587" s="1">
        <v>415</v>
      </c>
      <c r="F587" s="1">
        <v>42942</v>
      </c>
      <c r="G587" s="1">
        <v>0.51549999999999996</v>
      </c>
      <c r="H587" s="1">
        <v>0.7167</v>
      </c>
      <c r="I587" s="1">
        <v>0.28570000000000001</v>
      </c>
      <c r="J587" s="1">
        <v>40778</v>
      </c>
      <c r="K587" s="1">
        <v>27000</v>
      </c>
      <c r="L587" s="1">
        <v>7529</v>
      </c>
      <c r="M587" s="1">
        <v>8</v>
      </c>
      <c r="N587" s="1" t="s">
        <v>20</v>
      </c>
      <c r="O587" s="1" t="s">
        <v>29</v>
      </c>
      <c r="P587" s="1" t="s">
        <v>39</v>
      </c>
      <c r="Q587" s="1" t="s">
        <v>31</v>
      </c>
      <c r="R587">
        <v>0.57737848507395828</v>
      </c>
    </row>
    <row r="588" spans="1:18" x14ac:dyDescent="0.2">
      <c r="A588" s="1">
        <v>110608</v>
      </c>
      <c r="B588" s="1" t="s">
        <v>662</v>
      </c>
      <c r="C588" s="1" t="s">
        <v>33</v>
      </c>
      <c r="D588" s="1">
        <v>0.9345</v>
      </c>
      <c r="E588" s="1">
        <v>32691</v>
      </c>
      <c r="F588" s="1">
        <v>20058</v>
      </c>
      <c r="G588" s="1">
        <v>0.56950000000000001</v>
      </c>
      <c r="H588" s="1">
        <v>0.73440000000000005</v>
      </c>
      <c r="I588" s="1">
        <v>0.56069999999999998</v>
      </c>
      <c r="J588" s="1">
        <v>59115</v>
      </c>
      <c r="K588" s="1">
        <v>13872</v>
      </c>
      <c r="L588" s="1">
        <v>12456</v>
      </c>
      <c r="M588" s="1">
        <v>25</v>
      </c>
      <c r="N588" s="1" t="s">
        <v>28</v>
      </c>
      <c r="O588" s="1" t="s">
        <v>29</v>
      </c>
      <c r="P588" s="1" t="s">
        <v>22</v>
      </c>
      <c r="Q588" s="1" t="s">
        <v>23</v>
      </c>
      <c r="R588">
        <v>0.57706620774076212</v>
      </c>
    </row>
    <row r="589" spans="1:18" x14ac:dyDescent="0.2">
      <c r="A589" s="1">
        <v>196121</v>
      </c>
      <c r="B589" s="1" t="s">
        <v>663</v>
      </c>
      <c r="C589" s="1" t="s">
        <v>58</v>
      </c>
      <c r="D589" s="1">
        <v>0.70679999999999998</v>
      </c>
      <c r="E589" s="1">
        <v>5784</v>
      </c>
      <c r="F589" s="1">
        <v>15822</v>
      </c>
      <c r="G589" s="1">
        <v>0.55130000000000001</v>
      </c>
      <c r="H589" s="1">
        <v>0.7177</v>
      </c>
      <c r="I589" s="1">
        <v>0.40189999999999998</v>
      </c>
      <c r="J589" s="1">
        <v>54496</v>
      </c>
      <c r="K589" s="1">
        <v>20000</v>
      </c>
      <c r="L589" s="1">
        <v>8645</v>
      </c>
      <c r="M589" s="1">
        <v>17</v>
      </c>
      <c r="N589" s="1" t="s">
        <v>28</v>
      </c>
      <c r="O589" s="1" t="s">
        <v>42</v>
      </c>
      <c r="P589" s="1" t="s">
        <v>39</v>
      </c>
      <c r="Q589" s="1" t="s">
        <v>23</v>
      </c>
      <c r="R589">
        <v>0.5764473178337679</v>
      </c>
    </row>
    <row r="590" spans="1:18" x14ac:dyDescent="0.2">
      <c r="A590" s="1">
        <v>216597</v>
      </c>
      <c r="B590" s="1" t="s">
        <v>664</v>
      </c>
      <c r="C590" s="1" t="s">
        <v>98</v>
      </c>
      <c r="D590" s="1">
        <v>0.26979999999999998</v>
      </c>
      <c r="E590" s="1">
        <v>6938</v>
      </c>
      <c r="F590" s="1">
        <v>67776</v>
      </c>
      <c r="G590" s="1">
        <v>0.91859999999999997</v>
      </c>
      <c r="H590" s="1">
        <v>0.9506</v>
      </c>
      <c r="I590" s="1">
        <v>0.1202</v>
      </c>
      <c r="J590" s="1">
        <v>100423</v>
      </c>
      <c r="K590" s="1">
        <v>25874</v>
      </c>
      <c r="L590" s="1">
        <v>13825</v>
      </c>
      <c r="M590" s="1">
        <v>10</v>
      </c>
      <c r="N590" s="1" t="s">
        <v>20</v>
      </c>
      <c r="O590" s="1" t="s">
        <v>21</v>
      </c>
      <c r="P590" s="1" t="s">
        <v>39</v>
      </c>
      <c r="Q590" s="1" t="s">
        <v>23</v>
      </c>
      <c r="R590">
        <v>0.57602702230012692</v>
      </c>
    </row>
    <row r="591" spans="1:18" x14ac:dyDescent="0.2">
      <c r="A591" s="1">
        <v>230807</v>
      </c>
      <c r="B591" s="1" t="s">
        <v>665</v>
      </c>
      <c r="C591" s="1" t="s">
        <v>286</v>
      </c>
      <c r="D591" s="1">
        <v>0.66569999999999996</v>
      </c>
      <c r="E591" s="1">
        <v>823</v>
      </c>
      <c r="F591" s="1">
        <v>43528</v>
      </c>
      <c r="G591" s="1">
        <v>0.6381</v>
      </c>
      <c r="H591" s="1">
        <v>0.76339999999999997</v>
      </c>
      <c r="I591" s="1">
        <v>0.2447</v>
      </c>
      <c r="J591" s="1">
        <v>66215</v>
      </c>
      <c r="K591" s="1">
        <v>22250</v>
      </c>
      <c r="L591" s="1">
        <v>8756</v>
      </c>
      <c r="M591" s="1">
        <v>8</v>
      </c>
      <c r="N591" s="1" t="s">
        <v>20</v>
      </c>
      <c r="O591" s="1" t="s">
        <v>29</v>
      </c>
      <c r="P591" s="1" t="s">
        <v>22</v>
      </c>
      <c r="Q591" s="1" t="s">
        <v>23</v>
      </c>
      <c r="R591">
        <v>0.57509850028982312</v>
      </c>
    </row>
    <row r="592" spans="1:18" x14ac:dyDescent="0.2">
      <c r="A592" s="1">
        <v>240426</v>
      </c>
      <c r="B592" s="1" t="s">
        <v>666</v>
      </c>
      <c r="C592" s="1" t="s">
        <v>50</v>
      </c>
      <c r="D592" s="1">
        <v>0.93010000000000004</v>
      </c>
      <c r="E592" s="1">
        <v>1807</v>
      </c>
      <c r="F592" s="1">
        <v>16726</v>
      </c>
      <c r="G592" s="1">
        <v>0.41880000000000001</v>
      </c>
      <c r="H592" s="1">
        <v>0.71830000000000005</v>
      </c>
      <c r="I592" s="1">
        <v>0.30819999999999997</v>
      </c>
      <c r="J592" s="1">
        <v>49606</v>
      </c>
      <c r="K592" s="1">
        <v>22500</v>
      </c>
      <c r="L592" s="1">
        <v>7266</v>
      </c>
      <c r="M592" s="1">
        <v>18</v>
      </c>
      <c r="N592" s="1" t="s">
        <v>28</v>
      </c>
      <c r="O592" s="1" t="s">
        <v>21</v>
      </c>
      <c r="P592" s="1" t="s">
        <v>22</v>
      </c>
      <c r="Q592" s="1" t="s">
        <v>31</v>
      </c>
      <c r="R592">
        <v>0.57177318039428127</v>
      </c>
    </row>
    <row r="593" spans="1:18" x14ac:dyDescent="0.2">
      <c r="A593" s="1">
        <v>133979</v>
      </c>
      <c r="B593" s="1" t="s">
        <v>667</v>
      </c>
      <c r="C593" s="1" t="s">
        <v>27</v>
      </c>
      <c r="D593" s="1">
        <v>0.85260000000000002</v>
      </c>
      <c r="E593" s="1">
        <v>1183</v>
      </c>
      <c r="F593" s="1">
        <v>20174</v>
      </c>
      <c r="G593" s="1">
        <v>0.311</v>
      </c>
      <c r="H593" s="1">
        <v>0.49519999999999997</v>
      </c>
      <c r="I593" s="1">
        <v>0.69130000000000003</v>
      </c>
      <c r="J593" s="1">
        <v>36624</v>
      </c>
      <c r="K593" s="1">
        <v>30063</v>
      </c>
      <c r="L593" s="1">
        <v>7615</v>
      </c>
      <c r="M593" s="1">
        <v>17</v>
      </c>
      <c r="N593" s="1" t="s">
        <v>20</v>
      </c>
      <c r="O593" s="1" t="s">
        <v>21</v>
      </c>
      <c r="P593" s="1" t="s">
        <v>30</v>
      </c>
      <c r="Q593" s="1" t="s">
        <v>31</v>
      </c>
      <c r="R593">
        <v>0.57128705958143977</v>
      </c>
    </row>
    <row r="594" spans="1:18" x14ac:dyDescent="0.2">
      <c r="A594" s="1">
        <v>171146</v>
      </c>
      <c r="B594" s="1" t="s">
        <v>668</v>
      </c>
      <c r="C594" s="1" t="s">
        <v>109</v>
      </c>
      <c r="D594" s="1">
        <v>0.7046</v>
      </c>
      <c r="E594" s="1">
        <v>4411</v>
      </c>
      <c r="F594" s="1">
        <v>28320</v>
      </c>
      <c r="G594" s="1">
        <v>0.40310000000000001</v>
      </c>
      <c r="H594" s="1">
        <v>0.77780000000000005</v>
      </c>
      <c r="I594" s="1">
        <v>0.38600000000000001</v>
      </c>
      <c r="J594" s="1">
        <v>53230</v>
      </c>
      <c r="K594" s="1">
        <v>25000</v>
      </c>
      <c r="L594" s="1">
        <v>10504</v>
      </c>
      <c r="M594" s="1">
        <v>14</v>
      </c>
      <c r="N594" s="1" t="s">
        <v>28</v>
      </c>
      <c r="O594" s="1" t="s">
        <v>29</v>
      </c>
      <c r="P594" s="1" t="s">
        <v>22</v>
      </c>
      <c r="Q594" s="1" t="s">
        <v>23</v>
      </c>
      <c r="R594">
        <v>0.57097820632818808</v>
      </c>
    </row>
    <row r="595" spans="1:18" x14ac:dyDescent="0.2">
      <c r="A595" s="1">
        <v>217907</v>
      </c>
      <c r="B595" s="1" t="s">
        <v>669</v>
      </c>
      <c r="C595" s="1" t="s">
        <v>155</v>
      </c>
      <c r="D595" s="1">
        <v>0.93959999999999999</v>
      </c>
      <c r="E595" s="1">
        <v>840</v>
      </c>
      <c r="F595" s="1">
        <v>33416</v>
      </c>
      <c r="G595" s="1">
        <v>0.39529999999999998</v>
      </c>
      <c r="H595" s="1">
        <v>0.69410000000000005</v>
      </c>
      <c r="I595" s="1">
        <v>0.25700000000000001</v>
      </c>
      <c r="J595" s="1">
        <v>40117</v>
      </c>
      <c r="K595" s="1">
        <v>26000</v>
      </c>
      <c r="L595" s="1">
        <v>5977</v>
      </c>
      <c r="M595" s="1">
        <v>12</v>
      </c>
      <c r="N595" s="1" t="s">
        <v>20</v>
      </c>
      <c r="O595" s="1" t="s">
        <v>42</v>
      </c>
      <c r="P595" s="1" t="s">
        <v>30</v>
      </c>
      <c r="Q595" s="1" t="s">
        <v>31</v>
      </c>
      <c r="R595">
        <v>0.57043968112771992</v>
      </c>
    </row>
    <row r="596" spans="1:18" x14ac:dyDescent="0.2">
      <c r="A596" s="1">
        <v>110097</v>
      </c>
      <c r="B596" s="1" t="s">
        <v>670</v>
      </c>
      <c r="C596" s="1" t="s">
        <v>33</v>
      </c>
      <c r="D596" s="1">
        <v>0.74350000000000005</v>
      </c>
      <c r="E596" s="1">
        <v>3474</v>
      </c>
      <c r="F596" s="1">
        <v>48984</v>
      </c>
      <c r="G596" s="1">
        <v>0.67600000000000005</v>
      </c>
      <c r="H596" s="1">
        <v>0.83899999999999997</v>
      </c>
      <c r="I596" s="1">
        <v>0.26040000000000002</v>
      </c>
      <c r="J596" s="1">
        <v>56778</v>
      </c>
      <c r="K596" s="1">
        <v>23875</v>
      </c>
      <c r="L596" s="1">
        <v>10336</v>
      </c>
      <c r="M596" s="1">
        <v>15</v>
      </c>
      <c r="N596" s="1" t="s">
        <v>20</v>
      </c>
      <c r="O596" s="1" t="s">
        <v>21</v>
      </c>
      <c r="P596" s="1" t="s">
        <v>22</v>
      </c>
      <c r="Q596" s="1" t="s">
        <v>23</v>
      </c>
      <c r="R596">
        <v>0.56985148178676082</v>
      </c>
    </row>
    <row r="597" spans="1:18" x14ac:dyDescent="0.2">
      <c r="A597" s="1">
        <v>137032</v>
      </c>
      <c r="B597" s="1" t="s">
        <v>671</v>
      </c>
      <c r="C597" s="1" t="s">
        <v>27</v>
      </c>
      <c r="D597" s="1">
        <v>0.78400000000000003</v>
      </c>
      <c r="E597" s="1">
        <v>6721</v>
      </c>
      <c r="F597" s="1">
        <v>30000</v>
      </c>
      <c r="G597" s="1">
        <v>0.45</v>
      </c>
      <c r="H597" s="1">
        <v>0.59219999999999995</v>
      </c>
      <c r="I597" s="1">
        <v>0.32490000000000002</v>
      </c>
      <c r="J597" s="1">
        <v>48364</v>
      </c>
      <c r="K597" s="1">
        <v>25278</v>
      </c>
      <c r="L597" s="1">
        <v>8688</v>
      </c>
      <c r="M597" s="1">
        <v>25</v>
      </c>
      <c r="N597" s="1" t="s">
        <v>20</v>
      </c>
      <c r="O597" s="1" t="s">
        <v>42</v>
      </c>
      <c r="P597" s="1" t="s">
        <v>30</v>
      </c>
      <c r="Q597" s="1" t="s">
        <v>31</v>
      </c>
      <c r="R597">
        <v>0.56977563507578355</v>
      </c>
    </row>
    <row r="598" spans="1:18" x14ac:dyDescent="0.2">
      <c r="A598" s="1">
        <v>190549</v>
      </c>
      <c r="B598" s="1" t="s">
        <v>672</v>
      </c>
      <c r="C598" s="1" t="s">
        <v>58</v>
      </c>
      <c r="D598" s="1">
        <v>0.58360000000000001</v>
      </c>
      <c r="E598" s="1">
        <v>10543</v>
      </c>
      <c r="F598" s="1">
        <v>15402</v>
      </c>
      <c r="G598" s="1">
        <v>0.53859999999999997</v>
      </c>
      <c r="H598" s="1">
        <v>0.80120000000000002</v>
      </c>
      <c r="I598" s="1">
        <v>0.57020000000000004</v>
      </c>
      <c r="J598" s="1">
        <v>60752</v>
      </c>
      <c r="K598" s="1">
        <v>11000</v>
      </c>
      <c r="L598" s="1">
        <v>12737</v>
      </c>
      <c r="M598" s="1">
        <v>13</v>
      </c>
      <c r="N598" s="1" t="s">
        <v>28</v>
      </c>
      <c r="O598" s="1" t="s">
        <v>29</v>
      </c>
      <c r="P598" s="1" t="s">
        <v>39</v>
      </c>
      <c r="Q598" s="1" t="s">
        <v>23</v>
      </c>
      <c r="R598">
        <v>0.5687097315995443</v>
      </c>
    </row>
    <row r="599" spans="1:18" x14ac:dyDescent="0.2">
      <c r="A599" s="1">
        <v>217420</v>
      </c>
      <c r="B599" s="1" t="s">
        <v>673</v>
      </c>
      <c r="C599" s="1" t="s">
        <v>92</v>
      </c>
      <c r="D599" s="1">
        <v>0.91820000000000002</v>
      </c>
      <c r="E599" s="1">
        <v>5049</v>
      </c>
      <c r="F599" s="1">
        <v>27299</v>
      </c>
      <c r="G599" s="1">
        <v>0.48130000000000001</v>
      </c>
      <c r="H599" s="1">
        <v>0.73340000000000005</v>
      </c>
      <c r="I599" s="1">
        <v>0.42049999999999998</v>
      </c>
      <c r="J599" s="1">
        <v>56318</v>
      </c>
      <c r="K599" s="1">
        <v>20500</v>
      </c>
      <c r="L599" s="1">
        <v>11523</v>
      </c>
      <c r="M599" s="1">
        <v>15</v>
      </c>
      <c r="N599" s="1" t="s">
        <v>28</v>
      </c>
      <c r="O599" s="1" t="s">
        <v>21</v>
      </c>
      <c r="P599" s="1" t="s">
        <v>39</v>
      </c>
      <c r="Q599" s="1" t="s">
        <v>23</v>
      </c>
      <c r="R599">
        <v>0.56785194620275359</v>
      </c>
    </row>
    <row r="600" spans="1:18" x14ac:dyDescent="0.2">
      <c r="A600" s="1">
        <v>160038</v>
      </c>
      <c r="B600" s="1" t="s">
        <v>674</v>
      </c>
      <c r="C600" s="1" t="s">
        <v>46</v>
      </c>
      <c r="D600" s="1">
        <v>0.9254</v>
      </c>
      <c r="E600" s="1">
        <v>5519</v>
      </c>
      <c r="F600" s="1">
        <v>19652</v>
      </c>
      <c r="G600" s="1">
        <v>0.432</v>
      </c>
      <c r="H600" s="1">
        <v>0.7087</v>
      </c>
      <c r="I600" s="1">
        <v>0.35239999999999999</v>
      </c>
      <c r="J600" s="1">
        <v>47021</v>
      </c>
      <c r="K600" s="1">
        <v>25000</v>
      </c>
      <c r="L600" s="1">
        <v>7129</v>
      </c>
      <c r="M600" s="1">
        <v>16</v>
      </c>
      <c r="N600" s="1" t="s">
        <v>28</v>
      </c>
      <c r="O600" s="1" t="s">
        <v>42</v>
      </c>
      <c r="P600" s="1" t="s">
        <v>30</v>
      </c>
      <c r="Q600" s="1" t="s">
        <v>31</v>
      </c>
      <c r="R600">
        <v>0.56776704666027711</v>
      </c>
    </row>
    <row r="601" spans="1:18" x14ac:dyDescent="0.2">
      <c r="A601" s="1">
        <v>217165</v>
      </c>
      <c r="B601" s="1" t="s">
        <v>675</v>
      </c>
      <c r="C601" s="1" t="s">
        <v>92</v>
      </c>
      <c r="D601" s="1">
        <v>0.65459999999999996</v>
      </c>
      <c r="E601" s="1">
        <v>3194</v>
      </c>
      <c r="F601" s="1">
        <v>52677</v>
      </c>
      <c r="G601" s="1">
        <v>0.79749999999999999</v>
      </c>
      <c r="H601" s="1">
        <v>0.86909999999999998</v>
      </c>
      <c r="I601" s="1">
        <v>0.12529999999999999</v>
      </c>
      <c r="J601" s="1">
        <v>90008</v>
      </c>
      <c r="K601" s="1">
        <v>26849</v>
      </c>
      <c r="L601" s="1">
        <v>14681</v>
      </c>
      <c r="M601" s="1">
        <v>13</v>
      </c>
      <c r="N601" s="1" t="s">
        <v>20</v>
      </c>
      <c r="O601" s="1" t="s">
        <v>21</v>
      </c>
      <c r="P601" s="1" t="s">
        <v>39</v>
      </c>
      <c r="Q601" s="1" t="s">
        <v>23</v>
      </c>
      <c r="R601">
        <v>0.567369804467726</v>
      </c>
    </row>
    <row r="602" spans="1:18" x14ac:dyDescent="0.2">
      <c r="A602" s="1">
        <v>227881</v>
      </c>
      <c r="B602" s="1" t="s">
        <v>676</v>
      </c>
      <c r="C602" s="1" t="s">
        <v>36</v>
      </c>
      <c r="D602" s="1">
        <v>0.90259999999999996</v>
      </c>
      <c r="E602" s="1">
        <v>17743</v>
      </c>
      <c r="F602" s="1">
        <v>19068</v>
      </c>
      <c r="G602" s="1">
        <v>0.54759999999999998</v>
      </c>
      <c r="H602" s="1">
        <v>0.73250000000000004</v>
      </c>
      <c r="I602" s="1">
        <v>0.4133</v>
      </c>
      <c r="J602" s="1">
        <v>54211</v>
      </c>
      <c r="K602" s="1">
        <v>21983</v>
      </c>
      <c r="L602" s="1">
        <v>8196</v>
      </c>
      <c r="M602" s="1">
        <v>19</v>
      </c>
      <c r="N602" s="1" t="s">
        <v>28</v>
      </c>
      <c r="O602" s="1" t="s">
        <v>42</v>
      </c>
      <c r="P602" s="1" t="s">
        <v>30</v>
      </c>
      <c r="Q602" s="1" t="s">
        <v>23</v>
      </c>
      <c r="R602">
        <v>0.56730043330901869</v>
      </c>
    </row>
    <row r="603" spans="1:18" x14ac:dyDescent="0.2">
      <c r="A603" s="1">
        <v>409698</v>
      </c>
      <c r="B603" s="1" t="s">
        <v>677</v>
      </c>
      <c r="C603" s="1" t="s">
        <v>33</v>
      </c>
      <c r="D603" s="1">
        <v>0.97399999999999998</v>
      </c>
      <c r="E603" s="1">
        <v>6819</v>
      </c>
      <c r="F603" s="1">
        <v>20379</v>
      </c>
      <c r="G603" s="1">
        <v>0.59089999999999998</v>
      </c>
      <c r="H603" s="1">
        <v>0.79869999999999997</v>
      </c>
      <c r="I603" s="1">
        <v>0.43169999999999997</v>
      </c>
      <c r="J603" s="1">
        <v>59247</v>
      </c>
      <c r="K603" s="1">
        <v>12750</v>
      </c>
      <c r="L603" s="1">
        <v>12135</v>
      </c>
      <c r="M603" s="1">
        <v>24</v>
      </c>
      <c r="N603" s="1" t="s">
        <v>28</v>
      </c>
      <c r="O603" s="1" t="s">
        <v>21</v>
      </c>
      <c r="P603" s="1" t="s">
        <v>22</v>
      </c>
      <c r="Q603" s="1" t="s">
        <v>23</v>
      </c>
      <c r="R603">
        <v>0.56691692790338788</v>
      </c>
    </row>
    <row r="604" spans="1:18" x14ac:dyDescent="0.2">
      <c r="A604" s="1">
        <v>221759</v>
      </c>
      <c r="B604" s="1" t="s">
        <v>678</v>
      </c>
      <c r="C604" s="1" t="s">
        <v>163</v>
      </c>
      <c r="D604" s="1">
        <v>0.41599999999999998</v>
      </c>
      <c r="E604" s="1">
        <v>30418</v>
      </c>
      <c r="F604" s="1">
        <v>33256</v>
      </c>
      <c r="G604" s="1">
        <v>0.73919999999999997</v>
      </c>
      <c r="H604" s="1">
        <v>0.91900000000000004</v>
      </c>
      <c r="I604" s="1">
        <v>0.18890000000000001</v>
      </c>
      <c r="J604" s="1">
        <v>60249</v>
      </c>
      <c r="K604" s="1">
        <v>20500</v>
      </c>
      <c r="L604" s="1">
        <v>12968</v>
      </c>
      <c r="M604" s="1">
        <v>18</v>
      </c>
      <c r="N604" s="1" t="s">
        <v>28</v>
      </c>
      <c r="O604" s="1" t="s">
        <v>29</v>
      </c>
      <c r="P604" s="1" t="s">
        <v>30</v>
      </c>
      <c r="Q604" s="1" t="s">
        <v>23</v>
      </c>
      <c r="R604">
        <v>0.56659377390597332</v>
      </c>
    </row>
    <row r="605" spans="1:18" x14ac:dyDescent="0.2">
      <c r="A605" s="1">
        <v>138275</v>
      </c>
      <c r="B605" s="1" t="s">
        <v>679</v>
      </c>
      <c r="C605" s="1" t="s">
        <v>27</v>
      </c>
      <c r="D605" s="1">
        <v>0.42809999999999998</v>
      </c>
      <c r="E605" s="1">
        <v>756</v>
      </c>
      <c r="F605" s="1">
        <v>29992</v>
      </c>
      <c r="G605" s="1">
        <v>0.42130000000000001</v>
      </c>
      <c r="H605" s="1">
        <v>0.43919999999999998</v>
      </c>
      <c r="I605" s="1">
        <v>0.50880000000000003</v>
      </c>
      <c r="J605" s="1">
        <v>46086</v>
      </c>
      <c r="K605" s="1">
        <v>22250</v>
      </c>
      <c r="L605" s="1">
        <v>5033</v>
      </c>
      <c r="M605" s="1">
        <v>13</v>
      </c>
      <c r="N605" s="1" t="s">
        <v>20</v>
      </c>
      <c r="O605" s="1" t="s">
        <v>42</v>
      </c>
      <c r="P605" s="1" t="s">
        <v>30</v>
      </c>
      <c r="Q605" s="1" t="s">
        <v>31</v>
      </c>
      <c r="R605">
        <v>0.5661929801110146</v>
      </c>
    </row>
    <row r="606" spans="1:18" x14ac:dyDescent="0.2">
      <c r="A606" s="1">
        <v>163912</v>
      </c>
      <c r="B606" s="1" t="s">
        <v>680</v>
      </c>
      <c r="C606" s="1" t="s">
        <v>61</v>
      </c>
      <c r="D606" s="1">
        <v>0.68630000000000002</v>
      </c>
      <c r="E606" s="1">
        <v>1603</v>
      </c>
      <c r="F606" s="1">
        <v>31374</v>
      </c>
      <c r="G606" s="1">
        <v>0.69950000000000001</v>
      </c>
      <c r="H606" s="1">
        <v>0.85750000000000004</v>
      </c>
      <c r="I606" s="1">
        <v>0.2112</v>
      </c>
      <c r="J606" s="1">
        <v>60110</v>
      </c>
      <c r="K606" s="1">
        <v>21000</v>
      </c>
      <c r="L606" s="1">
        <v>9044</v>
      </c>
      <c r="M606" s="1">
        <v>10</v>
      </c>
      <c r="N606" s="1" t="s">
        <v>28</v>
      </c>
      <c r="O606" s="1" t="s">
        <v>42</v>
      </c>
      <c r="P606" s="1" t="s">
        <v>30</v>
      </c>
      <c r="Q606" s="1" t="s">
        <v>23</v>
      </c>
      <c r="R606">
        <v>0.56494934200189695</v>
      </c>
    </row>
    <row r="607" spans="1:18" x14ac:dyDescent="0.2">
      <c r="A607" s="1">
        <v>201654</v>
      </c>
      <c r="B607" s="1" t="s">
        <v>681</v>
      </c>
      <c r="C607" s="1" t="s">
        <v>19</v>
      </c>
      <c r="D607" s="1">
        <v>0.65290000000000004</v>
      </c>
      <c r="E607" s="1">
        <v>4024</v>
      </c>
      <c r="F607" s="1">
        <v>37150</v>
      </c>
      <c r="G607" s="1">
        <v>0.72529999999999994</v>
      </c>
      <c r="H607" s="1">
        <v>0.89580000000000004</v>
      </c>
      <c r="I607" s="1">
        <v>0.1522</v>
      </c>
      <c r="J607" s="1">
        <v>55443</v>
      </c>
      <c r="K607" s="1">
        <v>20937</v>
      </c>
      <c r="L607" s="1">
        <v>8563</v>
      </c>
      <c r="M607" s="1">
        <v>14</v>
      </c>
      <c r="N607" s="1" t="s">
        <v>20</v>
      </c>
      <c r="O607" s="1" t="s">
        <v>42</v>
      </c>
      <c r="P607" s="1" t="s">
        <v>22</v>
      </c>
      <c r="Q607" s="1" t="s">
        <v>23</v>
      </c>
      <c r="R607">
        <v>0.56489466212016937</v>
      </c>
    </row>
    <row r="608" spans="1:18" x14ac:dyDescent="0.2">
      <c r="A608" s="1">
        <v>486840</v>
      </c>
      <c r="B608" s="1" t="s">
        <v>682</v>
      </c>
      <c r="C608" s="1" t="s">
        <v>126</v>
      </c>
      <c r="D608" s="1">
        <v>0.69189999999999996</v>
      </c>
      <c r="E608" s="1">
        <v>41254</v>
      </c>
      <c r="F608" s="1">
        <v>17736</v>
      </c>
      <c r="G608" s="1">
        <v>0.52200000000000002</v>
      </c>
      <c r="H608" s="1">
        <v>0.76719999999999999</v>
      </c>
      <c r="I608" s="1">
        <v>0.37740000000000001</v>
      </c>
      <c r="J608" s="1">
        <v>57552</v>
      </c>
      <c r="K608" s="1">
        <v>23833</v>
      </c>
      <c r="L608" s="1">
        <v>9711</v>
      </c>
      <c r="M608" s="1">
        <v>23</v>
      </c>
      <c r="N608" s="1" t="s">
        <v>28</v>
      </c>
      <c r="O608" s="1" t="s">
        <v>21</v>
      </c>
      <c r="P608" s="1" t="s">
        <v>30</v>
      </c>
      <c r="Q608" s="1" t="s">
        <v>23</v>
      </c>
      <c r="R608">
        <v>0.56475350518186807</v>
      </c>
    </row>
    <row r="609" spans="1:18" x14ac:dyDescent="0.2">
      <c r="A609" s="1">
        <v>224147</v>
      </c>
      <c r="B609" s="1" t="s">
        <v>683</v>
      </c>
      <c r="C609" s="1" t="s">
        <v>36</v>
      </c>
      <c r="D609" s="1">
        <v>0.88580000000000003</v>
      </c>
      <c r="E609" s="1">
        <v>8034</v>
      </c>
      <c r="F609" s="1">
        <v>20794</v>
      </c>
      <c r="G609" s="1">
        <v>0.40150000000000002</v>
      </c>
      <c r="H609" s="1">
        <v>0.58430000000000004</v>
      </c>
      <c r="I609" s="1">
        <v>0.42899999999999999</v>
      </c>
      <c r="J609" s="1">
        <v>51865</v>
      </c>
      <c r="K609" s="1">
        <v>23000</v>
      </c>
      <c r="L609" s="1">
        <v>9497</v>
      </c>
      <c r="M609" s="1">
        <v>19</v>
      </c>
      <c r="N609" s="1" t="s">
        <v>28</v>
      </c>
      <c r="O609" s="1" t="s">
        <v>29</v>
      </c>
      <c r="P609" s="1" t="s">
        <v>30</v>
      </c>
      <c r="Q609" s="1" t="s">
        <v>23</v>
      </c>
      <c r="R609">
        <v>0.56472023353984258</v>
      </c>
    </row>
    <row r="610" spans="1:18" x14ac:dyDescent="0.2">
      <c r="A610" s="1">
        <v>226833</v>
      </c>
      <c r="B610" s="1" t="s">
        <v>684</v>
      </c>
      <c r="C610" s="1" t="s">
        <v>36</v>
      </c>
      <c r="D610" s="1">
        <v>0.93520000000000003</v>
      </c>
      <c r="E610" s="1">
        <v>4087</v>
      </c>
      <c r="F610" s="1">
        <v>12530</v>
      </c>
      <c r="G610" s="1">
        <v>0.4274</v>
      </c>
      <c r="H610" s="1">
        <v>0.63929999999999998</v>
      </c>
      <c r="I610" s="1">
        <v>0.40649999999999997</v>
      </c>
      <c r="J610" s="1">
        <v>55747</v>
      </c>
      <c r="K610" s="1">
        <v>21030</v>
      </c>
      <c r="L610" s="1">
        <v>8183</v>
      </c>
      <c r="M610" s="1">
        <v>18</v>
      </c>
      <c r="N610" s="1" t="s">
        <v>28</v>
      </c>
      <c r="O610" s="1" t="s">
        <v>29</v>
      </c>
      <c r="P610" s="1" t="s">
        <v>30</v>
      </c>
      <c r="Q610" s="1" t="s">
        <v>23</v>
      </c>
      <c r="R610">
        <v>0.56240854564536391</v>
      </c>
    </row>
    <row r="611" spans="1:18" x14ac:dyDescent="0.2">
      <c r="A611" s="1">
        <v>239628</v>
      </c>
      <c r="B611" s="1" t="s">
        <v>685</v>
      </c>
      <c r="C611" s="1" t="s">
        <v>50</v>
      </c>
      <c r="D611" s="1">
        <v>0.7984</v>
      </c>
      <c r="E611" s="1">
        <v>688</v>
      </c>
      <c r="F611" s="1">
        <v>51900</v>
      </c>
      <c r="G611" s="1">
        <v>0.63300000000000001</v>
      </c>
      <c r="H611" s="1">
        <v>0.72309999999999997</v>
      </c>
      <c r="I611" s="1">
        <v>0.33789999999999998</v>
      </c>
      <c r="J611" s="1">
        <v>54902</v>
      </c>
      <c r="K611" s="1">
        <v>27000</v>
      </c>
      <c r="L611" s="1">
        <v>8249</v>
      </c>
      <c r="M611" s="1">
        <v>12</v>
      </c>
      <c r="N611" s="1" t="s">
        <v>20</v>
      </c>
      <c r="O611" s="1" t="s">
        <v>42</v>
      </c>
      <c r="P611" s="1" t="s">
        <v>22</v>
      </c>
      <c r="Q611" s="1" t="s">
        <v>23</v>
      </c>
      <c r="R611">
        <v>0.5613485964564735</v>
      </c>
    </row>
    <row r="612" spans="1:18" x14ac:dyDescent="0.2">
      <c r="A612" s="1">
        <v>192864</v>
      </c>
      <c r="B612" s="1" t="s">
        <v>686</v>
      </c>
      <c r="C612" s="1" t="s">
        <v>58</v>
      </c>
      <c r="D612" s="1">
        <v>0.82609999999999995</v>
      </c>
      <c r="E612" s="1">
        <v>1577</v>
      </c>
      <c r="F612" s="1">
        <v>41870</v>
      </c>
      <c r="G612" s="1">
        <v>0.4904</v>
      </c>
      <c r="H612" s="1">
        <v>0.70179999999999998</v>
      </c>
      <c r="I612" s="1">
        <v>0.28399999999999997</v>
      </c>
      <c r="J612" s="1">
        <v>49131</v>
      </c>
      <c r="K612" s="1">
        <v>25750</v>
      </c>
      <c r="L612" s="1">
        <v>8703</v>
      </c>
      <c r="M612" s="1">
        <v>7</v>
      </c>
      <c r="N612" s="1" t="s">
        <v>20</v>
      </c>
      <c r="O612" s="1" t="s">
        <v>29</v>
      </c>
      <c r="P612" s="1" t="s">
        <v>39</v>
      </c>
      <c r="Q612" s="1" t="s">
        <v>31</v>
      </c>
      <c r="R612">
        <v>0.56085824105143489</v>
      </c>
    </row>
    <row r="613" spans="1:18" x14ac:dyDescent="0.2">
      <c r="A613" s="1">
        <v>160755</v>
      </c>
      <c r="B613" s="1" t="s">
        <v>687</v>
      </c>
      <c r="C613" s="1" t="s">
        <v>46</v>
      </c>
      <c r="D613" s="1">
        <v>0.13980000000000001</v>
      </c>
      <c r="E613" s="1">
        <v>7767</v>
      </c>
      <c r="F613" s="1">
        <v>68678</v>
      </c>
      <c r="G613" s="1">
        <v>0.86140000000000005</v>
      </c>
      <c r="H613" s="1">
        <v>0.92549999999999999</v>
      </c>
      <c r="I613" s="1">
        <v>9.7600000000000006E-2</v>
      </c>
      <c r="J613" s="1">
        <v>63268</v>
      </c>
      <c r="K613" s="1">
        <v>20500</v>
      </c>
      <c r="L613" s="1">
        <v>13243</v>
      </c>
      <c r="M613" s="1">
        <v>7</v>
      </c>
      <c r="N613" s="1" t="s">
        <v>20</v>
      </c>
      <c r="O613" s="1" t="s">
        <v>29</v>
      </c>
      <c r="P613" s="1" t="s">
        <v>30</v>
      </c>
      <c r="Q613" s="1" t="s">
        <v>23</v>
      </c>
      <c r="R613">
        <v>0.56035221033754334</v>
      </c>
    </row>
    <row r="614" spans="1:18" x14ac:dyDescent="0.2">
      <c r="A614" s="1">
        <v>217013</v>
      </c>
      <c r="B614" s="1" t="s">
        <v>688</v>
      </c>
      <c r="C614" s="1" t="s">
        <v>98</v>
      </c>
      <c r="D614" s="1">
        <v>0.92110000000000003</v>
      </c>
      <c r="E614" s="1">
        <v>865</v>
      </c>
      <c r="F614" s="1">
        <v>27100</v>
      </c>
      <c r="G614" s="1">
        <v>0.48149999999999998</v>
      </c>
      <c r="H614" s="1">
        <v>0.74470000000000003</v>
      </c>
      <c r="I614" s="1">
        <v>0.23469999999999999</v>
      </c>
      <c r="J614" s="1">
        <v>43326</v>
      </c>
      <c r="K614" s="1">
        <v>26328</v>
      </c>
      <c r="L614" s="1">
        <v>7205</v>
      </c>
      <c r="M614" s="1">
        <v>15</v>
      </c>
      <c r="N614" s="1" t="s">
        <v>20</v>
      </c>
      <c r="O614" s="1" t="s">
        <v>29</v>
      </c>
      <c r="P614" s="1" t="s">
        <v>39</v>
      </c>
      <c r="Q614" s="1" t="s">
        <v>31</v>
      </c>
      <c r="R614">
        <v>0.55996579177003969</v>
      </c>
    </row>
    <row r="615" spans="1:18" x14ac:dyDescent="0.2">
      <c r="A615" s="1">
        <v>223232</v>
      </c>
      <c r="B615" s="1" t="s">
        <v>689</v>
      </c>
      <c r="C615" s="1" t="s">
        <v>36</v>
      </c>
      <c r="D615" s="1">
        <v>0.51280000000000003</v>
      </c>
      <c r="E615" s="1">
        <v>14785</v>
      </c>
      <c r="F615" s="1">
        <v>58100</v>
      </c>
      <c r="G615" s="1">
        <v>0.79990000000000006</v>
      </c>
      <c r="H615" s="1">
        <v>0.90949999999999998</v>
      </c>
      <c r="I615" s="1">
        <v>0.1245</v>
      </c>
      <c r="J615" s="1">
        <v>65793</v>
      </c>
      <c r="K615" s="1">
        <v>23000</v>
      </c>
      <c r="L615" s="1">
        <v>11998</v>
      </c>
      <c r="M615" s="1">
        <v>15</v>
      </c>
      <c r="N615" s="1" t="s">
        <v>20</v>
      </c>
      <c r="O615" s="1" t="s">
        <v>29</v>
      </c>
      <c r="P615" s="1" t="s">
        <v>30</v>
      </c>
      <c r="Q615" s="1" t="s">
        <v>23</v>
      </c>
      <c r="R615">
        <v>0.55736932153199803</v>
      </c>
    </row>
    <row r="616" spans="1:18" x14ac:dyDescent="0.2">
      <c r="A616" s="1">
        <v>160658</v>
      </c>
      <c r="B616" s="1" t="s">
        <v>690</v>
      </c>
      <c r="C616" s="1" t="s">
        <v>46</v>
      </c>
      <c r="D616" s="1">
        <v>0.87009999999999998</v>
      </c>
      <c r="E616" s="1">
        <v>12428</v>
      </c>
      <c r="F616" s="1">
        <v>24146</v>
      </c>
      <c r="G616" s="1">
        <v>0.52629999999999999</v>
      </c>
      <c r="H616" s="1">
        <v>0.74280000000000002</v>
      </c>
      <c r="I616" s="1">
        <v>0.41510000000000002</v>
      </c>
      <c r="J616" s="1">
        <v>47089</v>
      </c>
      <c r="K616" s="1">
        <v>22902</v>
      </c>
      <c r="L616" s="1">
        <v>8889</v>
      </c>
      <c r="M616" s="1">
        <v>18</v>
      </c>
      <c r="N616" s="1" t="s">
        <v>28</v>
      </c>
      <c r="O616" s="1" t="s">
        <v>29</v>
      </c>
      <c r="P616" s="1" t="s">
        <v>30</v>
      </c>
      <c r="Q616" s="1" t="s">
        <v>31</v>
      </c>
      <c r="R616">
        <v>0.55734433614320988</v>
      </c>
    </row>
    <row r="617" spans="1:18" x14ac:dyDescent="0.2">
      <c r="A617" s="1">
        <v>136215</v>
      </c>
      <c r="B617" s="1" t="s">
        <v>691</v>
      </c>
      <c r="C617" s="1" t="s">
        <v>27</v>
      </c>
      <c r="D617" s="1">
        <v>0.73209999999999997</v>
      </c>
      <c r="E617" s="1">
        <v>7240</v>
      </c>
      <c r="F617" s="1">
        <v>38700</v>
      </c>
      <c r="G617" s="1">
        <v>0.63339999999999996</v>
      </c>
      <c r="H617" s="1">
        <v>0.75639999999999996</v>
      </c>
      <c r="I617" s="1">
        <v>0.35809999999999997</v>
      </c>
      <c r="J617" s="1">
        <v>59209</v>
      </c>
      <c r="K617" s="1">
        <v>24250</v>
      </c>
      <c r="L617" s="1">
        <v>11462</v>
      </c>
      <c r="M617" s="1">
        <v>16</v>
      </c>
      <c r="N617" s="1" t="s">
        <v>20</v>
      </c>
      <c r="O617" s="1" t="s">
        <v>21</v>
      </c>
      <c r="P617" s="1" t="s">
        <v>30</v>
      </c>
      <c r="Q617" s="1" t="s">
        <v>23</v>
      </c>
      <c r="R617">
        <v>0.55622766134057855</v>
      </c>
    </row>
    <row r="618" spans="1:18" x14ac:dyDescent="0.2">
      <c r="A618" s="1">
        <v>167987</v>
      </c>
      <c r="B618" s="1" t="s">
        <v>692</v>
      </c>
      <c r="C618" s="1" t="s">
        <v>129</v>
      </c>
      <c r="D618" s="1">
        <v>0.90639999999999998</v>
      </c>
      <c r="E618" s="1">
        <v>5221</v>
      </c>
      <c r="F618" s="1">
        <v>32567</v>
      </c>
      <c r="G618" s="1">
        <v>0.52070000000000005</v>
      </c>
      <c r="H618" s="1">
        <v>0.63600000000000001</v>
      </c>
      <c r="I618" s="1">
        <v>0.37019999999999997</v>
      </c>
      <c r="J618" s="1">
        <v>68804</v>
      </c>
      <c r="K618" s="1">
        <v>25000</v>
      </c>
      <c r="L618" s="1">
        <v>12795</v>
      </c>
      <c r="M618" s="1">
        <v>16</v>
      </c>
      <c r="N618" s="1" t="s">
        <v>28</v>
      </c>
      <c r="O618" s="1" t="s">
        <v>21</v>
      </c>
      <c r="P618" s="1" t="s">
        <v>39</v>
      </c>
      <c r="Q618" s="1" t="s">
        <v>23</v>
      </c>
      <c r="R618">
        <v>0.55607008348621212</v>
      </c>
    </row>
    <row r="619" spans="1:18" x14ac:dyDescent="0.2">
      <c r="A619" s="1">
        <v>218663</v>
      </c>
      <c r="B619" s="1" t="s">
        <v>693</v>
      </c>
      <c r="C619" s="1" t="s">
        <v>155</v>
      </c>
      <c r="D619" s="1">
        <v>0.60150000000000003</v>
      </c>
      <c r="E619" s="1">
        <v>29820</v>
      </c>
      <c r="F619" s="1">
        <v>35972</v>
      </c>
      <c r="G619" s="1">
        <v>0.78820000000000001</v>
      </c>
      <c r="H619" s="1">
        <v>0.92200000000000004</v>
      </c>
      <c r="I619" s="1">
        <v>0.19109999999999999</v>
      </c>
      <c r="J619" s="1">
        <v>62177</v>
      </c>
      <c r="K619" s="1">
        <v>21500</v>
      </c>
      <c r="L619" s="1">
        <v>12414</v>
      </c>
      <c r="M619" s="1">
        <v>19</v>
      </c>
      <c r="N619" s="1" t="s">
        <v>28</v>
      </c>
      <c r="O619" s="1" t="s">
        <v>29</v>
      </c>
      <c r="P619" s="1" t="s">
        <v>30</v>
      </c>
      <c r="Q619" s="1" t="s">
        <v>23</v>
      </c>
      <c r="R619">
        <v>0.55556938697204761</v>
      </c>
    </row>
    <row r="620" spans="1:18" x14ac:dyDescent="0.2">
      <c r="A620" s="1">
        <v>464226</v>
      </c>
      <c r="B620" s="1" t="s">
        <v>694</v>
      </c>
      <c r="C620" s="1" t="s">
        <v>216</v>
      </c>
      <c r="D620" s="1">
        <v>0.78149999999999997</v>
      </c>
      <c r="E620" s="1">
        <v>836</v>
      </c>
      <c r="F620" s="1">
        <v>35880</v>
      </c>
      <c r="G620" s="1">
        <v>0.18179999999999999</v>
      </c>
      <c r="H620" s="1">
        <v>0.5</v>
      </c>
      <c r="I620" s="1">
        <v>0.39839999999999998</v>
      </c>
      <c r="J620" s="1">
        <v>55552</v>
      </c>
      <c r="K620" s="1">
        <v>21500</v>
      </c>
      <c r="L620" s="1">
        <v>6690</v>
      </c>
      <c r="M620" s="1">
        <v>11</v>
      </c>
      <c r="N620" s="1" t="s">
        <v>20</v>
      </c>
      <c r="O620" s="1" t="s">
        <v>21</v>
      </c>
      <c r="P620" s="1" t="s">
        <v>22</v>
      </c>
      <c r="Q620" s="1" t="s">
        <v>23</v>
      </c>
      <c r="R620">
        <v>0.55553847740841988</v>
      </c>
    </row>
    <row r="621" spans="1:18" x14ac:dyDescent="0.2">
      <c r="A621" s="1">
        <v>201885</v>
      </c>
      <c r="B621" s="1" t="s">
        <v>695</v>
      </c>
      <c r="C621" s="1" t="s">
        <v>19</v>
      </c>
      <c r="D621" s="1">
        <v>0.85289999999999999</v>
      </c>
      <c r="E621" s="1">
        <v>29882</v>
      </c>
      <c r="F621" s="1">
        <v>29310</v>
      </c>
      <c r="G621" s="1">
        <v>0.74960000000000004</v>
      </c>
      <c r="H621" s="1">
        <v>0.85350000000000004</v>
      </c>
      <c r="I621" s="1">
        <v>0.18759999999999999</v>
      </c>
      <c r="J621" s="1">
        <v>54810</v>
      </c>
      <c r="K621" s="1">
        <v>21250</v>
      </c>
      <c r="L621" s="1">
        <v>11468</v>
      </c>
      <c r="M621" s="1">
        <v>19</v>
      </c>
      <c r="N621" s="1" t="s">
        <v>28</v>
      </c>
      <c r="O621" s="1" t="s">
        <v>29</v>
      </c>
      <c r="P621" s="1" t="s">
        <v>22</v>
      </c>
      <c r="Q621" s="1" t="s">
        <v>23</v>
      </c>
      <c r="R621">
        <v>0.55540081647686368</v>
      </c>
    </row>
    <row r="622" spans="1:18" x14ac:dyDescent="0.2">
      <c r="A622" s="1">
        <v>138558</v>
      </c>
      <c r="B622" s="1" t="s">
        <v>696</v>
      </c>
      <c r="C622" s="1" t="s">
        <v>126</v>
      </c>
      <c r="D622" s="1">
        <v>0.75719999999999998</v>
      </c>
      <c r="E622" s="1">
        <v>3208</v>
      </c>
      <c r="F622" s="1">
        <v>10588</v>
      </c>
      <c r="G622" s="1">
        <v>0.36149999999999999</v>
      </c>
      <c r="H622" s="1">
        <v>0.69169999999999998</v>
      </c>
      <c r="I622" s="1">
        <v>0.34739999999999999</v>
      </c>
      <c r="J622" s="1">
        <v>34996</v>
      </c>
      <c r="K622" s="1">
        <v>16750</v>
      </c>
      <c r="L622" s="1">
        <v>7551</v>
      </c>
      <c r="M622" s="1">
        <v>21</v>
      </c>
      <c r="N622" s="1" t="s">
        <v>28</v>
      </c>
      <c r="O622" s="1" t="s">
        <v>42</v>
      </c>
      <c r="P622" s="1" t="s">
        <v>30</v>
      </c>
      <c r="Q622" s="1" t="s">
        <v>31</v>
      </c>
      <c r="R622">
        <v>0.55505410498723928</v>
      </c>
    </row>
    <row r="623" spans="1:18" x14ac:dyDescent="0.2">
      <c r="A623" s="1">
        <v>232557</v>
      </c>
      <c r="B623" s="1" t="s">
        <v>697</v>
      </c>
      <c r="C623" s="1" t="s">
        <v>52</v>
      </c>
      <c r="D623" s="1">
        <v>0.98980000000000001</v>
      </c>
      <c r="E623" s="1">
        <v>50012</v>
      </c>
      <c r="F623" s="1">
        <v>22465</v>
      </c>
      <c r="G623" s="1">
        <v>0.65329999999999999</v>
      </c>
      <c r="H623" s="1">
        <v>0.80130000000000001</v>
      </c>
      <c r="I623" s="1">
        <v>0.38340000000000002</v>
      </c>
      <c r="J623" s="1">
        <v>44813</v>
      </c>
      <c r="K623" s="1">
        <v>24500</v>
      </c>
      <c r="L623" s="1">
        <v>8826</v>
      </c>
      <c r="M623" s="1">
        <v>18</v>
      </c>
      <c r="N623" s="1" t="s">
        <v>20</v>
      </c>
      <c r="O623" s="1" t="s">
        <v>29</v>
      </c>
      <c r="P623" s="1" t="s">
        <v>30</v>
      </c>
      <c r="Q623" s="1" t="s">
        <v>31</v>
      </c>
      <c r="R623">
        <v>0.5542453797210668</v>
      </c>
    </row>
    <row r="624" spans="1:18" x14ac:dyDescent="0.2">
      <c r="A624" s="1">
        <v>240417</v>
      </c>
      <c r="B624" s="1" t="s">
        <v>698</v>
      </c>
      <c r="C624" s="1" t="s">
        <v>50</v>
      </c>
      <c r="D624" s="1">
        <v>0.87670000000000003</v>
      </c>
      <c r="E624" s="1">
        <v>5842</v>
      </c>
      <c r="F624" s="1">
        <v>19265</v>
      </c>
      <c r="G624" s="1">
        <v>0.54859999999999998</v>
      </c>
      <c r="H624" s="1">
        <v>0.78900000000000003</v>
      </c>
      <c r="I624" s="1">
        <v>0.23860000000000001</v>
      </c>
      <c r="J624" s="1">
        <v>58084</v>
      </c>
      <c r="K624" s="1">
        <v>23000</v>
      </c>
      <c r="L624" s="1">
        <v>8344</v>
      </c>
      <c r="M624" s="1">
        <v>18</v>
      </c>
      <c r="N624" s="1" t="s">
        <v>28</v>
      </c>
      <c r="O624" s="1" t="s">
        <v>42</v>
      </c>
      <c r="P624" s="1" t="s">
        <v>22</v>
      </c>
      <c r="Q624" s="1" t="s">
        <v>23</v>
      </c>
      <c r="R624">
        <v>0.55423911281481941</v>
      </c>
    </row>
    <row r="625" spans="1:18" x14ac:dyDescent="0.2">
      <c r="A625" s="1">
        <v>226152</v>
      </c>
      <c r="B625" s="1" t="s">
        <v>699</v>
      </c>
      <c r="C625" s="1" t="s">
        <v>36</v>
      </c>
      <c r="D625" s="1">
        <v>0.44369999999999998</v>
      </c>
      <c r="E625" s="1">
        <v>6667</v>
      </c>
      <c r="F625" s="1">
        <v>19454</v>
      </c>
      <c r="G625" s="1">
        <v>0.4647</v>
      </c>
      <c r="H625" s="1">
        <v>0.77829999999999999</v>
      </c>
      <c r="I625" s="1">
        <v>0.64510000000000001</v>
      </c>
      <c r="J625" s="1">
        <v>48386</v>
      </c>
      <c r="K625" s="1">
        <v>15000</v>
      </c>
      <c r="L625" s="1">
        <v>9203</v>
      </c>
      <c r="M625" s="1">
        <v>21</v>
      </c>
      <c r="N625" s="1" t="s">
        <v>28</v>
      </c>
      <c r="O625" s="1" t="s">
        <v>29</v>
      </c>
      <c r="P625" s="1" t="s">
        <v>30</v>
      </c>
      <c r="Q625" s="1" t="s">
        <v>31</v>
      </c>
      <c r="R625">
        <v>0.553887652141831</v>
      </c>
    </row>
    <row r="626" spans="1:18" x14ac:dyDescent="0.2">
      <c r="A626" s="1">
        <v>214069</v>
      </c>
      <c r="B626" s="1" t="s">
        <v>700</v>
      </c>
      <c r="C626" s="1" t="s">
        <v>98</v>
      </c>
      <c r="D626" s="1">
        <v>0.70930000000000004</v>
      </c>
      <c r="E626" s="1">
        <v>1672</v>
      </c>
      <c r="F626" s="1">
        <v>40370</v>
      </c>
      <c r="G626" s="1">
        <v>0.71709999999999996</v>
      </c>
      <c r="H626" s="1">
        <v>0.77639999999999998</v>
      </c>
      <c r="I626" s="1">
        <v>0.27189999999999998</v>
      </c>
      <c r="J626" s="1">
        <v>64313</v>
      </c>
      <c r="K626" s="1">
        <v>26973</v>
      </c>
      <c r="L626" s="1">
        <v>8504</v>
      </c>
      <c r="M626" s="1">
        <v>11</v>
      </c>
      <c r="N626" s="1" t="s">
        <v>20</v>
      </c>
      <c r="O626" s="1" t="s">
        <v>21</v>
      </c>
      <c r="P626" s="1" t="s">
        <v>39</v>
      </c>
      <c r="Q626" s="1" t="s">
        <v>23</v>
      </c>
      <c r="R626">
        <v>0.55331562367534259</v>
      </c>
    </row>
    <row r="627" spans="1:18" x14ac:dyDescent="0.2">
      <c r="A627" s="1">
        <v>199157</v>
      </c>
      <c r="B627" s="1" t="s">
        <v>701</v>
      </c>
      <c r="C627" s="1" t="s">
        <v>86</v>
      </c>
      <c r="D627" s="1">
        <v>0.86960000000000004</v>
      </c>
      <c r="E627" s="1">
        <v>6081</v>
      </c>
      <c r="F627" s="1">
        <v>19735</v>
      </c>
      <c r="G627" s="1">
        <v>0.41649999999999998</v>
      </c>
      <c r="H627" s="1">
        <v>0.72709999999999997</v>
      </c>
      <c r="I627" s="1">
        <v>0.58699999999999997</v>
      </c>
      <c r="J627" s="1">
        <v>42968</v>
      </c>
      <c r="K627" s="1">
        <v>28250</v>
      </c>
      <c r="L627" s="1">
        <v>9555</v>
      </c>
      <c r="M627" s="1">
        <v>16</v>
      </c>
      <c r="N627" s="1" t="s">
        <v>28</v>
      </c>
      <c r="O627" s="1" t="s">
        <v>29</v>
      </c>
      <c r="P627" s="1" t="s">
        <v>30</v>
      </c>
      <c r="Q627" s="1" t="s">
        <v>31</v>
      </c>
      <c r="R627">
        <v>0.55289117310435221</v>
      </c>
    </row>
    <row r="628" spans="1:18" x14ac:dyDescent="0.2">
      <c r="A628" s="1">
        <v>157377</v>
      </c>
      <c r="B628" s="1" t="s">
        <v>702</v>
      </c>
      <c r="C628" s="1" t="s">
        <v>104</v>
      </c>
      <c r="D628" s="1">
        <v>0.95140000000000002</v>
      </c>
      <c r="E628" s="1">
        <v>1262</v>
      </c>
      <c r="F628" s="1">
        <v>27220</v>
      </c>
      <c r="G628" s="1">
        <v>0.40689999999999998</v>
      </c>
      <c r="H628" s="1">
        <v>0.67589999999999995</v>
      </c>
      <c r="I628" s="1">
        <v>0.31950000000000001</v>
      </c>
      <c r="J628" s="1">
        <v>44246</v>
      </c>
      <c r="K628" s="1">
        <v>21301</v>
      </c>
      <c r="L628" s="1">
        <v>7349</v>
      </c>
      <c r="M628" s="1">
        <v>15</v>
      </c>
      <c r="N628" s="1" t="s">
        <v>20</v>
      </c>
      <c r="O628" s="1" t="s">
        <v>42</v>
      </c>
      <c r="P628" s="1" t="s">
        <v>30</v>
      </c>
      <c r="Q628" s="1" t="s">
        <v>31</v>
      </c>
      <c r="R628">
        <v>0.55196830288722365</v>
      </c>
    </row>
    <row r="629" spans="1:18" x14ac:dyDescent="0.2">
      <c r="A629" s="1">
        <v>155414</v>
      </c>
      <c r="B629" s="1" t="s">
        <v>703</v>
      </c>
      <c r="C629" s="1" t="s">
        <v>56</v>
      </c>
      <c r="D629" s="1">
        <v>0.71899999999999997</v>
      </c>
      <c r="E629" s="1">
        <v>956</v>
      </c>
      <c r="F629" s="1">
        <v>34630</v>
      </c>
      <c r="G629" s="1">
        <v>0.48630000000000001</v>
      </c>
      <c r="H629" s="1">
        <v>0.6008</v>
      </c>
      <c r="I629" s="1">
        <v>0.39150000000000001</v>
      </c>
      <c r="J629" s="1">
        <v>51152</v>
      </c>
      <c r="K629" s="1">
        <v>23250</v>
      </c>
      <c r="L629" s="1">
        <v>6316</v>
      </c>
      <c r="M629" s="1">
        <v>16</v>
      </c>
      <c r="N629" s="1" t="s">
        <v>20</v>
      </c>
      <c r="O629" s="1" t="s">
        <v>42</v>
      </c>
      <c r="P629" s="1" t="s">
        <v>22</v>
      </c>
      <c r="Q629" s="1" t="s">
        <v>23</v>
      </c>
      <c r="R629">
        <v>0.55191556830795208</v>
      </c>
    </row>
    <row r="630" spans="1:18" x14ac:dyDescent="0.2">
      <c r="A630" s="1">
        <v>213303</v>
      </c>
      <c r="B630" s="1" t="s">
        <v>704</v>
      </c>
      <c r="C630" s="1" t="s">
        <v>98</v>
      </c>
      <c r="D630" s="1">
        <v>0.84799999999999998</v>
      </c>
      <c r="E630" s="1">
        <v>771</v>
      </c>
      <c r="F630" s="1">
        <v>18300</v>
      </c>
      <c r="G630" s="1">
        <v>0.35870000000000002</v>
      </c>
      <c r="H630" s="1">
        <v>0.57230000000000003</v>
      </c>
      <c r="I630" s="1">
        <v>0.4178</v>
      </c>
      <c r="J630" s="1">
        <v>44976</v>
      </c>
      <c r="K630" s="1">
        <v>26000</v>
      </c>
      <c r="L630" s="1">
        <v>5423</v>
      </c>
      <c r="M630" s="1">
        <v>12</v>
      </c>
      <c r="N630" s="1" t="s">
        <v>20</v>
      </c>
      <c r="O630" s="1" t="s">
        <v>21</v>
      </c>
      <c r="P630" s="1" t="s">
        <v>39</v>
      </c>
      <c r="Q630" s="1" t="s">
        <v>31</v>
      </c>
      <c r="R630">
        <v>0.55185118663640698</v>
      </c>
    </row>
    <row r="631" spans="1:18" x14ac:dyDescent="0.2">
      <c r="A631" s="1">
        <v>217721</v>
      </c>
      <c r="B631" s="1" t="s">
        <v>705</v>
      </c>
      <c r="C631" s="1" t="s">
        <v>155</v>
      </c>
      <c r="D631" s="1">
        <v>0.95699999999999996</v>
      </c>
      <c r="E631" s="1">
        <v>1536</v>
      </c>
      <c r="F631" s="1">
        <v>17440</v>
      </c>
      <c r="G631" s="1">
        <v>0.24260000000000001</v>
      </c>
      <c r="H631" s="1">
        <v>0.57320000000000004</v>
      </c>
      <c r="I631" s="1">
        <v>0.62339999999999995</v>
      </c>
      <c r="J631" s="1">
        <v>31902</v>
      </c>
      <c r="K631" s="1">
        <v>32500</v>
      </c>
      <c r="L631" s="1">
        <v>6890</v>
      </c>
      <c r="M631" s="1">
        <v>13</v>
      </c>
      <c r="N631" s="1" t="s">
        <v>20</v>
      </c>
      <c r="O631" s="1" t="s">
        <v>29</v>
      </c>
      <c r="P631" s="1" t="s">
        <v>30</v>
      </c>
      <c r="Q631" s="1" t="s">
        <v>31</v>
      </c>
      <c r="R631">
        <v>0.5508119222385246</v>
      </c>
    </row>
    <row r="632" spans="1:18" x14ac:dyDescent="0.2">
      <c r="A632" s="1">
        <v>174491</v>
      </c>
      <c r="B632" s="1" t="s">
        <v>706</v>
      </c>
      <c r="C632" s="1" t="s">
        <v>54</v>
      </c>
      <c r="D632" s="1">
        <v>0.93469999999999998</v>
      </c>
      <c r="E632" s="1">
        <v>1442</v>
      </c>
      <c r="F632" s="1">
        <v>37920</v>
      </c>
      <c r="G632" s="1">
        <v>0.68130000000000002</v>
      </c>
      <c r="H632" s="1">
        <v>0.82869999999999999</v>
      </c>
      <c r="I632" s="1">
        <v>0.1573</v>
      </c>
      <c r="J632" s="1">
        <v>50755</v>
      </c>
      <c r="K632" s="1">
        <v>21325</v>
      </c>
      <c r="L632" s="1">
        <v>6608</v>
      </c>
      <c r="M632" s="1">
        <v>16</v>
      </c>
      <c r="N632" s="1" t="s">
        <v>20</v>
      </c>
      <c r="O632" s="1" t="s">
        <v>21</v>
      </c>
      <c r="P632" s="1" t="s">
        <v>22</v>
      </c>
      <c r="Q632" s="1" t="s">
        <v>23</v>
      </c>
      <c r="R632">
        <v>0.55041971733592743</v>
      </c>
    </row>
    <row r="633" spans="1:18" x14ac:dyDescent="0.2">
      <c r="A633" s="1">
        <v>210571</v>
      </c>
      <c r="B633" s="1" t="s">
        <v>707</v>
      </c>
      <c r="C633" s="1" t="s">
        <v>98</v>
      </c>
      <c r="D633" s="1">
        <v>0.76329999999999998</v>
      </c>
      <c r="E633" s="1">
        <v>1217</v>
      </c>
      <c r="F633" s="1">
        <v>29082</v>
      </c>
      <c r="G633" s="1">
        <v>0.50700000000000001</v>
      </c>
      <c r="H633" s="1">
        <v>0.61670000000000003</v>
      </c>
      <c r="I633" s="1">
        <v>0.50039999999999996</v>
      </c>
      <c r="J633" s="1">
        <v>58700</v>
      </c>
      <c r="K633" s="1">
        <v>27000</v>
      </c>
      <c r="L633" s="1">
        <v>6685</v>
      </c>
      <c r="M633" s="1">
        <v>11</v>
      </c>
      <c r="N633" s="1" t="s">
        <v>20</v>
      </c>
      <c r="O633" s="1" t="s">
        <v>29</v>
      </c>
      <c r="P633" s="1" t="s">
        <v>39</v>
      </c>
      <c r="Q633" s="1" t="s">
        <v>23</v>
      </c>
      <c r="R633">
        <v>0.54943153011430079</v>
      </c>
    </row>
    <row r="634" spans="1:18" x14ac:dyDescent="0.2">
      <c r="A634" s="1">
        <v>189088</v>
      </c>
      <c r="B634" s="1" t="s">
        <v>708</v>
      </c>
      <c r="C634" s="1" t="s">
        <v>58</v>
      </c>
      <c r="D634" s="1">
        <v>0.5212</v>
      </c>
      <c r="E634" s="1">
        <v>2414</v>
      </c>
      <c r="F634" s="1">
        <v>66436</v>
      </c>
      <c r="G634" s="1">
        <v>0.67559999999999998</v>
      </c>
      <c r="H634" s="1">
        <v>0.8458</v>
      </c>
      <c r="I634" s="1">
        <v>0.16669999999999999</v>
      </c>
      <c r="J634" s="1">
        <v>46543</v>
      </c>
      <c r="K634" s="1">
        <v>24254</v>
      </c>
      <c r="L634" s="1">
        <v>12589</v>
      </c>
      <c r="M634" s="1">
        <v>9</v>
      </c>
      <c r="N634" s="1" t="s">
        <v>20</v>
      </c>
      <c r="O634" s="1" t="s">
        <v>42</v>
      </c>
      <c r="P634" s="1" t="s">
        <v>39</v>
      </c>
      <c r="Q634" s="1" t="s">
        <v>31</v>
      </c>
      <c r="R634">
        <v>0.54928416774415945</v>
      </c>
    </row>
    <row r="635" spans="1:18" x14ac:dyDescent="0.2">
      <c r="A635" s="1">
        <v>188030</v>
      </c>
      <c r="B635" s="1" t="s">
        <v>709</v>
      </c>
      <c r="C635" s="1" t="s">
        <v>436</v>
      </c>
      <c r="D635" s="1">
        <v>0.88970000000000005</v>
      </c>
      <c r="E635" s="1">
        <v>11946</v>
      </c>
      <c r="F635" s="1">
        <v>25307</v>
      </c>
      <c r="G635" s="1">
        <v>0.55169999999999997</v>
      </c>
      <c r="H635" s="1">
        <v>0.73380000000000001</v>
      </c>
      <c r="I635" s="1">
        <v>0.38490000000000002</v>
      </c>
      <c r="J635" s="1">
        <v>39067</v>
      </c>
      <c r="K635" s="1">
        <v>17095</v>
      </c>
      <c r="L635" s="1">
        <v>10198</v>
      </c>
      <c r="M635" s="1">
        <v>16</v>
      </c>
      <c r="N635" s="1" t="s">
        <v>28</v>
      </c>
      <c r="O635" s="1" t="s">
        <v>21</v>
      </c>
      <c r="P635" s="1" t="s">
        <v>22</v>
      </c>
      <c r="Q635" s="1" t="s">
        <v>31</v>
      </c>
      <c r="R635">
        <v>0.54892690621964224</v>
      </c>
    </row>
    <row r="636" spans="1:18" x14ac:dyDescent="0.2">
      <c r="A636" s="1">
        <v>150677</v>
      </c>
      <c r="B636" s="1" t="s">
        <v>710</v>
      </c>
      <c r="C636" s="1" t="s">
        <v>102</v>
      </c>
      <c r="D636" s="1">
        <v>0.82150000000000001</v>
      </c>
      <c r="E636" s="1">
        <v>1464</v>
      </c>
      <c r="F636" s="1">
        <v>31200</v>
      </c>
      <c r="G636" s="1">
        <v>0.68769999999999998</v>
      </c>
      <c r="H636" s="1">
        <v>0.77370000000000005</v>
      </c>
      <c r="I636" s="1">
        <v>0.29060000000000002</v>
      </c>
      <c r="J636" s="1">
        <v>45411</v>
      </c>
      <c r="K636" s="1">
        <v>19500</v>
      </c>
      <c r="L636" s="1">
        <v>7538</v>
      </c>
      <c r="M636" s="1">
        <v>23</v>
      </c>
      <c r="N636" s="1" t="s">
        <v>20</v>
      </c>
      <c r="O636" s="1" t="s">
        <v>42</v>
      </c>
      <c r="P636" s="1" t="s">
        <v>22</v>
      </c>
      <c r="Q636" s="1" t="s">
        <v>31</v>
      </c>
      <c r="R636">
        <v>0.54857013284739786</v>
      </c>
    </row>
    <row r="637" spans="1:18" x14ac:dyDescent="0.2">
      <c r="A637" s="1">
        <v>150066</v>
      </c>
      <c r="B637" s="1" t="s">
        <v>474</v>
      </c>
      <c r="C637" s="1" t="s">
        <v>102</v>
      </c>
      <c r="D637" s="1">
        <v>0.79339999999999999</v>
      </c>
      <c r="E637" s="1">
        <v>1057</v>
      </c>
      <c r="F637" s="1">
        <v>37240</v>
      </c>
      <c r="G637" s="1">
        <v>0.53790000000000004</v>
      </c>
      <c r="H637" s="1">
        <v>0.59930000000000005</v>
      </c>
      <c r="I637" s="1">
        <v>0.36259999999999998</v>
      </c>
      <c r="J637" s="1">
        <v>48899</v>
      </c>
      <c r="K637" s="1">
        <v>27000</v>
      </c>
      <c r="L637" s="1">
        <v>6746</v>
      </c>
      <c r="M637" s="1">
        <v>10</v>
      </c>
      <c r="N637" s="1" t="s">
        <v>20</v>
      </c>
      <c r="O637" s="1" t="s">
        <v>29</v>
      </c>
      <c r="P637" s="1" t="s">
        <v>22</v>
      </c>
      <c r="Q637" s="1" t="s">
        <v>31</v>
      </c>
      <c r="R637">
        <v>0.5484144310835628</v>
      </c>
    </row>
    <row r="638" spans="1:18" x14ac:dyDescent="0.2">
      <c r="A638" s="1">
        <v>199643</v>
      </c>
      <c r="B638" s="1" t="s">
        <v>711</v>
      </c>
      <c r="C638" s="1" t="s">
        <v>86</v>
      </c>
      <c r="D638" s="1">
        <v>0.80159999999999998</v>
      </c>
      <c r="E638" s="1">
        <v>875</v>
      </c>
      <c r="F638" s="1">
        <v>17538</v>
      </c>
      <c r="G638" s="1">
        <v>0.21790000000000001</v>
      </c>
      <c r="H638" s="1">
        <v>0.51649999999999996</v>
      </c>
      <c r="I638" s="1">
        <v>0.6643</v>
      </c>
      <c r="J638" s="1">
        <v>34409</v>
      </c>
      <c r="K638" s="1">
        <v>32500</v>
      </c>
      <c r="L638" s="1">
        <v>5041</v>
      </c>
      <c r="M638" s="1">
        <v>14</v>
      </c>
      <c r="N638" s="1" t="s">
        <v>20</v>
      </c>
      <c r="O638" s="1" t="s">
        <v>29</v>
      </c>
      <c r="P638" s="1" t="s">
        <v>30</v>
      </c>
      <c r="Q638" s="1" t="s">
        <v>31</v>
      </c>
      <c r="R638">
        <v>0.54823656201430071</v>
      </c>
    </row>
    <row r="639" spans="1:18" x14ac:dyDescent="0.2">
      <c r="A639" s="1">
        <v>127653</v>
      </c>
      <c r="B639" s="1" t="s">
        <v>712</v>
      </c>
      <c r="C639" s="1" t="s">
        <v>161</v>
      </c>
      <c r="D639" s="1">
        <v>1</v>
      </c>
      <c r="E639" s="1">
        <v>339</v>
      </c>
      <c r="F639" s="1">
        <v>36620</v>
      </c>
      <c r="G639" s="1">
        <v>0.36670000000000003</v>
      </c>
      <c r="H639" s="1">
        <v>0.54169999999999996</v>
      </c>
      <c r="I639" s="1">
        <v>0.51359999999999995</v>
      </c>
      <c r="J639" s="1">
        <v>28720</v>
      </c>
      <c r="K639" s="1">
        <v>24712</v>
      </c>
      <c r="L639" s="1">
        <v>5935</v>
      </c>
      <c r="M639" s="1">
        <v>10</v>
      </c>
      <c r="N639" s="1" t="s">
        <v>20</v>
      </c>
      <c r="O639" s="1" t="s">
        <v>29</v>
      </c>
      <c r="P639" s="1" t="s">
        <v>22</v>
      </c>
      <c r="Q639" s="1" t="s">
        <v>31</v>
      </c>
      <c r="R639">
        <v>0.54784646484954336</v>
      </c>
    </row>
    <row r="640" spans="1:18" x14ac:dyDescent="0.2">
      <c r="A640" s="1">
        <v>186876</v>
      </c>
      <c r="B640" s="1" t="s">
        <v>713</v>
      </c>
      <c r="C640" s="1" t="s">
        <v>66</v>
      </c>
      <c r="D640" s="1">
        <v>0.88939999999999997</v>
      </c>
      <c r="E640" s="1">
        <v>7537</v>
      </c>
      <c r="F640" s="1">
        <v>24524</v>
      </c>
      <c r="G640" s="1">
        <v>0.68540000000000001</v>
      </c>
      <c r="H640" s="1">
        <v>0.78590000000000004</v>
      </c>
      <c r="I640" s="1">
        <v>0.42280000000000001</v>
      </c>
      <c r="J640" s="1">
        <v>57602</v>
      </c>
      <c r="K640" s="1">
        <v>20500</v>
      </c>
      <c r="L640" s="1">
        <v>11456</v>
      </c>
      <c r="M640" s="1">
        <v>17</v>
      </c>
      <c r="N640" s="1" t="s">
        <v>28</v>
      </c>
      <c r="O640" s="1" t="s">
        <v>42</v>
      </c>
      <c r="P640" s="1" t="s">
        <v>39</v>
      </c>
      <c r="Q640" s="1" t="s">
        <v>23</v>
      </c>
      <c r="R640">
        <v>0.54778213956798705</v>
      </c>
    </row>
    <row r="641" spans="1:18" x14ac:dyDescent="0.2">
      <c r="A641" s="1">
        <v>216542</v>
      </c>
      <c r="B641" s="1" t="s">
        <v>714</v>
      </c>
      <c r="C641" s="1" t="s">
        <v>98</v>
      </c>
      <c r="D641" s="1">
        <v>0.61199999999999999</v>
      </c>
      <c r="E641" s="1">
        <v>471</v>
      </c>
      <c r="F641" s="1">
        <v>25240</v>
      </c>
      <c r="G641" s="1">
        <v>0.4904</v>
      </c>
      <c r="H641" s="1">
        <v>0.78490000000000004</v>
      </c>
      <c r="I641" s="1">
        <v>0.47389999999999999</v>
      </c>
      <c r="J641" s="1">
        <v>39016</v>
      </c>
      <c r="K641" s="1">
        <v>27000</v>
      </c>
      <c r="L641" s="1">
        <v>5928</v>
      </c>
      <c r="M641" s="1">
        <v>12</v>
      </c>
      <c r="N641" s="1" t="s">
        <v>20</v>
      </c>
      <c r="O641" s="1" t="s">
        <v>21</v>
      </c>
      <c r="P641" s="1" t="s">
        <v>39</v>
      </c>
      <c r="Q641" s="1" t="s">
        <v>31</v>
      </c>
      <c r="R641">
        <v>0.5467296902469464</v>
      </c>
    </row>
    <row r="642" spans="1:18" x14ac:dyDescent="0.2">
      <c r="A642" s="1">
        <v>147536</v>
      </c>
      <c r="B642" s="1" t="s">
        <v>715</v>
      </c>
      <c r="C642" s="1" t="s">
        <v>25</v>
      </c>
      <c r="D642" s="1">
        <v>0.95050000000000001</v>
      </c>
      <c r="E642" s="1">
        <v>4406</v>
      </c>
      <c r="F642" s="1">
        <v>12705</v>
      </c>
      <c r="G642" s="1">
        <v>0.3014</v>
      </c>
      <c r="H642" s="1">
        <v>0.50419999999999998</v>
      </c>
      <c r="I642" s="1">
        <v>0.55149999999999999</v>
      </c>
      <c r="J642" s="1">
        <v>45799</v>
      </c>
      <c r="K642" s="1">
        <v>19750</v>
      </c>
      <c r="L642" s="1">
        <v>6891</v>
      </c>
      <c r="M642" s="1">
        <v>17</v>
      </c>
      <c r="N642" s="1" t="s">
        <v>20</v>
      </c>
      <c r="O642" s="1" t="s">
        <v>29</v>
      </c>
      <c r="P642" s="1" t="s">
        <v>22</v>
      </c>
      <c r="Q642" s="1" t="s">
        <v>31</v>
      </c>
      <c r="R642">
        <v>0.54658374438426238</v>
      </c>
    </row>
    <row r="643" spans="1:18" x14ac:dyDescent="0.2">
      <c r="A643" s="1">
        <v>185129</v>
      </c>
      <c r="B643" s="1" t="s">
        <v>716</v>
      </c>
      <c r="C643" s="1" t="s">
        <v>66</v>
      </c>
      <c r="D643" s="1">
        <v>0.98380000000000001</v>
      </c>
      <c r="E643" s="1">
        <v>3681</v>
      </c>
      <c r="F643" s="1">
        <v>14460</v>
      </c>
      <c r="G643" s="1">
        <v>0.33889999999999998</v>
      </c>
      <c r="H643" s="1">
        <v>0.6482</v>
      </c>
      <c r="I643" s="1">
        <v>0.52480000000000004</v>
      </c>
      <c r="J643" s="1">
        <v>52745</v>
      </c>
      <c r="K643" s="1">
        <v>18500</v>
      </c>
      <c r="L643" s="1">
        <v>12966</v>
      </c>
      <c r="M643" s="1">
        <v>13</v>
      </c>
      <c r="N643" s="1" t="s">
        <v>28</v>
      </c>
      <c r="O643" s="1" t="s">
        <v>29</v>
      </c>
      <c r="P643" s="1" t="s">
        <v>39</v>
      </c>
      <c r="Q643" s="1" t="s">
        <v>23</v>
      </c>
      <c r="R643">
        <v>0.54576653904160122</v>
      </c>
    </row>
    <row r="644" spans="1:18" x14ac:dyDescent="0.2">
      <c r="A644" s="1">
        <v>139755</v>
      </c>
      <c r="B644" s="1" t="s">
        <v>717</v>
      </c>
      <c r="C644" s="1" t="s">
        <v>126</v>
      </c>
      <c r="D644" s="1">
        <v>0.14069999999999999</v>
      </c>
      <c r="E644" s="1">
        <v>18785</v>
      </c>
      <c r="F644" s="1">
        <v>34484</v>
      </c>
      <c r="G644" s="1">
        <v>0.94020000000000004</v>
      </c>
      <c r="H644" s="1">
        <v>0.98080000000000001</v>
      </c>
      <c r="I644" s="1">
        <v>0.13900000000000001</v>
      </c>
      <c r="J644" s="1">
        <v>102772</v>
      </c>
      <c r="K644" s="1">
        <v>21672</v>
      </c>
      <c r="L644" s="1">
        <v>15393</v>
      </c>
      <c r="M644" s="1">
        <v>17</v>
      </c>
      <c r="N644" s="1" t="s">
        <v>28</v>
      </c>
      <c r="O644" s="1" t="s">
        <v>29</v>
      </c>
      <c r="P644" s="1" t="s">
        <v>30</v>
      </c>
      <c r="Q644" s="1" t="s">
        <v>23</v>
      </c>
      <c r="R644">
        <v>0.54446583089377665</v>
      </c>
    </row>
    <row r="645" spans="1:18" x14ac:dyDescent="0.2">
      <c r="A645" s="1">
        <v>198899</v>
      </c>
      <c r="B645" s="1" t="s">
        <v>718</v>
      </c>
      <c r="C645" s="1" t="s">
        <v>86</v>
      </c>
      <c r="D645" s="1">
        <v>0.67900000000000005</v>
      </c>
      <c r="E645" s="1">
        <v>1044</v>
      </c>
      <c r="F645" s="1">
        <v>37736</v>
      </c>
      <c r="G645" s="1">
        <v>0.44869999999999999</v>
      </c>
      <c r="H645" s="1">
        <v>0.69330000000000003</v>
      </c>
      <c r="I645" s="1">
        <v>0.46210000000000001</v>
      </c>
      <c r="J645" s="1">
        <v>44781</v>
      </c>
      <c r="K645" s="1">
        <v>26000</v>
      </c>
      <c r="L645" s="1">
        <v>5935</v>
      </c>
      <c r="M645" s="1">
        <v>11</v>
      </c>
      <c r="N645" s="1" t="s">
        <v>20</v>
      </c>
      <c r="O645" s="1" t="s">
        <v>42</v>
      </c>
      <c r="P645" s="1" t="s">
        <v>30</v>
      </c>
      <c r="Q645" s="1" t="s">
        <v>31</v>
      </c>
      <c r="R645">
        <v>0.54394437956844433</v>
      </c>
    </row>
    <row r="646" spans="1:18" x14ac:dyDescent="0.2">
      <c r="A646" s="1">
        <v>183239</v>
      </c>
      <c r="B646" s="1" t="s">
        <v>719</v>
      </c>
      <c r="C646" s="1" t="s">
        <v>38</v>
      </c>
      <c r="D646" s="1">
        <v>0.78049999999999997</v>
      </c>
      <c r="E646" s="1">
        <v>2087</v>
      </c>
      <c r="F646" s="1">
        <v>48920</v>
      </c>
      <c r="G646" s="1">
        <v>0.80030000000000001</v>
      </c>
      <c r="H646" s="1">
        <v>0.88129999999999997</v>
      </c>
      <c r="I646" s="1">
        <v>0.1135</v>
      </c>
      <c r="J646" s="1">
        <v>73371</v>
      </c>
      <c r="K646" s="1">
        <v>27000</v>
      </c>
      <c r="L646" s="1">
        <v>9792</v>
      </c>
      <c r="M646" s="1">
        <v>12</v>
      </c>
      <c r="N646" s="1" t="s">
        <v>20</v>
      </c>
      <c r="O646" s="1" t="s">
        <v>21</v>
      </c>
      <c r="P646" s="1" t="s">
        <v>39</v>
      </c>
      <c r="Q646" s="1" t="s">
        <v>23</v>
      </c>
      <c r="R646">
        <v>0.54298515092771904</v>
      </c>
    </row>
    <row r="647" spans="1:18" x14ac:dyDescent="0.2">
      <c r="A647" s="1">
        <v>482413</v>
      </c>
      <c r="B647" s="1" t="s">
        <v>720</v>
      </c>
      <c r="C647" s="1" t="s">
        <v>58</v>
      </c>
      <c r="D647" s="1">
        <v>1</v>
      </c>
      <c r="E647" s="1">
        <v>86</v>
      </c>
      <c r="F647" s="1">
        <v>17408</v>
      </c>
      <c r="G647" s="1">
        <v>0.30769999999999997</v>
      </c>
      <c r="H647" s="1">
        <v>0</v>
      </c>
      <c r="I647" s="1">
        <v>0.51429999999999998</v>
      </c>
      <c r="J647" s="1">
        <v>45987</v>
      </c>
      <c r="K647" s="1">
        <v>24807</v>
      </c>
      <c r="L647" s="1">
        <v>11384</v>
      </c>
      <c r="M647" s="1">
        <v>3</v>
      </c>
      <c r="N647" s="1" t="s">
        <v>142</v>
      </c>
      <c r="O647" s="1" t="s">
        <v>29</v>
      </c>
      <c r="P647" s="1" t="s">
        <v>39</v>
      </c>
      <c r="Q647" s="1" t="s">
        <v>31</v>
      </c>
      <c r="R647">
        <v>0.54282436086027774</v>
      </c>
    </row>
    <row r="648" spans="1:18" x14ac:dyDescent="0.2">
      <c r="A648" s="1">
        <v>183080</v>
      </c>
      <c r="B648" s="1" t="s">
        <v>721</v>
      </c>
      <c r="C648" s="1" t="s">
        <v>38</v>
      </c>
      <c r="D648" s="1">
        <v>0.87539999999999996</v>
      </c>
      <c r="E648" s="1">
        <v>3153</v>
      </c>
      <c r="F648" s="1">
        <v>25566</v>
      </c>
      <c r="G648" s="1">
        <v>0.52029999999999998</v>
      </c>
      <c r="H648" s="1">
        <v>0.6845</v>
      </c>
      <c r="I648" s="1">
        <v>0.28089999999999998</v>
      </c>
      <c r="J648" s="1">
        <v>57304</v>
      </c>
      <c r="K648" s="1">
        <v>26000</v>
      </c>
      <c r="L648" s="1">
        <v>9340</v>
      </c>
      <c r="M648" s="1">
        <v>15</v>
      </c>
      <c r="N648" s="1" t="s">
        <v>28</v>
      </c>
      <c r="O648" s="1" t="s">
        <v>42</v>
      </c>
      <c r="P648" s="1" t="s">
        <v>39</v>
      </c>
      <c r="Q648" s="1" t="s">
        <v>23</v>
      </c>
      <c r="R648">
        <v>0.54155679094204556</v>
      </c>
    </row>
    <row r="649" spans="1:18" x14ac:dyDescent="0.2">
      <c r="A649" s="1">
        <v>204936</v>
      </c>
      <c r="B649" s="1" t="s">
        <v>722</v>
      </c>
      <c r="C649" s="1" t="s">
        <v>19</v>
      </c>
      <c r="D649" s="1">
        <v>0.84530000000000005</v>
      </c>
      <c r="E649" s="1">
        <v>2157</v>
      </c>
      <c r="F649" s="1">
        <v>35548</v>
      </c>
      <c r="G649" s="1">
        <v>0.67879999999999996</v>
      </c>
      <c r="H649" s="1">
        <v>0.79920000000000002</v>
      </c>
      <c r="I649" s="1">
        <v>0.30630000000000002</v>
      </c>
      <c r="J649" s="1">
        <v>53313</v>
      </c>
      <c r="K649" s="1">
        <v>26000</v>
      </c>
      <c r="L649" s="1">
        <v>8630</v>
      </c>
      <c r="M649" s="1">
        <v>12</v>
      </c>
      <c r="N649" s="1" t="s">
        <v>20</v>
      </c>
      <c r="O649" s="1" t="s">
        <v>21</v>
      </c>
      <c r="P649" s="1" t="s">
        <v>22</v>
      </c>
      <c r="Q649" s="1" t="s">
        <v>23</v>
      </c>
      <c r="R649">
        <v>0.54146721534113962</v>
      </c>
    </row>
    <row r="650" spans="1:18" x14ac:dyDescent="0.2">
      <c r="A650" s="1">
        <v>178624</v>
      </c>
      <c r="B650" s="1" t="s">
        <v>723</v>
      </c>
      <c r="C650" s="1" t="s">
        <v>77</v>
      </c>
      <c r="D650" s="1">
        <v>0.8609</v>
      </c>
      <c r="E650" s="1">
        <v>4378</v>
      </c>
      <c r="F650" s="1">
        <v>17324</v>
      </c>
      <c r="G650" s="1">
        <v>0.5423</v>
      </c>
      <c r="H650" s="1">
        <v>0.73919999999999997</v>
      </c>
      <c r="I650" s="1">
        <v>0.2727</v>
      </c>
      <c r="J650" s="1">
        <v>47885</v>
      </c>
      <c r="K650" s="1">
        <v>21500</v>
      </c>
      <c r="L650" s="1">
        <v>8101</v>
      </c>
      <c r="M650" s="1">
        <v>16</v>
      </c>
      <c r="N650" s="1" t="s">
        <v>28</v>
      </c>
      <c r="O650" s="1" t="s">
        <v>42</v>
      </c>
      <c r="P650" s="1" t="s">
        <v>22</v>
      </c>
      <c r="Q650" s="1" t="s">
        <v>31</v>
      </c>
      <c r="R650">
        <v>0.54037592971624426</v>
      </c>
    </row>
    <row r="651" spans="1:18" x14ac:dyDescent="0.2">
      <c r="A651" s="1">
        <v>213020</v>
      </c>
      <c r="B651" s="1" t="s">
        <v>724</v>
      </c>
      <c r="C651" s="1" t="s">
        <v>98</v>
      </c>
      <c r="D651" s="1">
        <v>0.90769999999999995</v>
      </c>
      <c r="E651" s="1">
        <v>6764</v>
      </c>
      <c r="F651" s="1">
        <v>16297</v>
      </c>
      <c r="G651" s="1">
        <v>0.55510000000000004</v>
      </c>
      <c r="H651" s="1">
        <v>0.75339999999999996</v>
      </c>
      <c r="I651" s="1">
        <v>0.36830000000000002</v>
      </c>
      <c r="J651" s="1">
        <v>51019</v>
      </c>
      <c r="K651" s="1">
        <v>26798</v>
      </c>
      <c r="L651" s="1">
        <v>11877</v>
      </c>
      <c r="M651" s="1">
        <v>23</v>
      </c>
      <c r="N651" s="1" t="s">
        <v>28</v>
      </c>
      <c r="O651" s="1" t="s">
        <v>42</v>
      </c>
      <c r="P651" s="1" t="s">
        <v>39</v>
      </c>
      <c r="Q651" s="1" t="s">
        <v>23</v>
      </c>
      <c r="R651">
        <v>0.53917536557129453</v>
      </c>
    </row>
    <row r="652" spans="1:18" x14ac:dyDescent="0.2">
      <c r="A652" s="1">
        <v>156541</v>
      </c>
      <c r="B652" s="1" t="s">
        <v>725</v>
      </c>
      <c r="C652" s="1" t="s">
        <v>104</v>
      </c>
      <c r="D652" s="1">
        <v>0.98809999999999998</v>
      </c>
      <c r="E652" s="1">
        <v>6941</v>
      </c>
      <c r="F652" s="1">
        <v>9875</v>
      </c>
      <c r="G652" s="1">
        <v>0.50429999999999997</v>
      </c>
      <c r="H652" s="1">
        <v>0.74299999999999999</v>
      </c>
      <c r="I652" s="1">
        <v>0.53380000000000005</v>
      </c>
      <c r="J652" s="1">
        <v>45036</v>
      </c>
      <c r="K652" s="1">
        <v>14911</v>
      </c>
      <c r="L652" s="1">
        <v>6548</v>
      </c>
      <c r="M652" s="1">
        <v>23</v>
      </c>
      <c r="N652" s="1" t="s">
        <v>20</v>
      </c>
      <c r="O652" s="1" t="s">
        <v>42</v>
      </c>
      <c r="P652" s="1" t="s">
        <v>30</v>
      </c>
      <c r="Q652" s="1" t="s">
        <v>31</v>
      </c>
      <c r="R652">
        <v>0.53910978728834558</v>
      </c>
    </row>
    <row r="653" spans="1:18" x14ac:dyDescent="0.2">
      <c r="A653" s="1">
        <v>167358</v>
      </c>
      <c r="B653" s="1" t="s">
        <v>726</v>
      </c>
      <c r="C653" s="1" t="s">
        <v>129</v>
      </c>
      <c r="D653" s="1">
        <v>5.2200000000000003E-2</v>
      </c>
      <c r="E653" s="1">
        <v>17326</v>
      </c>
      <c r="F653" s="1">
        <v>66162</v>
      </c>
      <c r="G653" s="1">
        <v>0.90539999999999998</v>
      </c>
      <c r="H653" s="1">
        <v>0.96899999999999997</v>
      </c>
      <c r="I653" s="1">
        <v>0.1234</v>
      </c>
      <c r="J653" s="1">
        <v>92538</v>
      </c>
      <c r="K653" s="1">
        <v>24250</v>
      </c>
      <c r="L653" s="1">
        <v>16218</v>
      </c>
      <c r="M653" s="1">
        <v>16</v>
      </c>
      <c r="N653" s="1" t="s">
        <v>20</v>
      </c>
      <c r="O653" s="1" t="s">
        <v>29</v>
      </c>
      <c r="P653" s="1" t="s">
        <v>39</v>
      </c>
      <c r="Q653" s="1" t="s">
        <v>23</v>
      </c>
      <c r="R653">
        <v>0.53780133753502735</v>
      </c>
    </row>
    <row r="654" spans="1:18" x14ac:dyDescent="0.2">
      <c r="A654" s="1">
        <v>212832</v>
      </c>
      <c r="B654" s="1" t="s">
        <v>727</v>
      </c>
      <c r="C654" s="1" t="s">
        <v>98</v>
      </c>
      <c r="D654" s="1">
        <v>0.89629999999999999</v>
      </c>
      <c r="E654" s="1">
        <v>1067</v>
      </c>
      <c r="F654" s="1">
        <v>40122</v>
      </c>
      <c r="G654" s="1">
        <v>0.56879999999999997</v>
      </c>
      <c r="H654" s="1">
        <v>0.7752</v>
      </c>
      <c r="I654" s="1">
        <v>0.24909999999999999</v>
      </c>
      <c r="J654" s="1">
        <v>67145</v>
      </c>
      <c r="K654" s="1">
        <v>25000</v>
      </c>
      <c r="L654" s="1">
        <v>7592</v>
      </c>
      <c r="M654" s="1">
        <v>12</v>
      </c>
      <c r="N654" s="1" t="s">
        <v>20</v>
      </c>
      <c r="O654" s="1" t="s">
        <v>21</v>
      </c>
      <c r="P654" s="1" t="s">
        <v>39</v>
      </c>
      <c r="Q654" s="1" t="s">
        <v>23</v>
      </c>
      <c r="R654">
        <v>0.53669439718286072</v>
      </c>
    </row>
    <row r="655" spans="1:18" x14ac:dyDescent="0.2">
      <c r="A655" s="1">
        <v>203517</v>
      </c>
      <c r="B655" s="1" t="s">
        <v>728</v>
      </c>
      <c r="C655" s="1" t="s">
        <v>19</v>
      </c>
      <c r="D655" s="1">
        <v>0.86339999999999995</v>
      </c>
      <c r="E655" s="1">
        <v>19320</v>
      </c>
      <c r="F655" s="1">
        <v>23082</v>
      </c>
      <c r="G655" s="1">
        <v>0.63719999999999999</v>
      </c>
      <c r="H655" s="1">
        <v>0.80940000000000001</v>
      </c>
      <c r="I655" s="1">
        <v>0.28510000000000002</v>
      </c>
      <c r="J655" s="1">
        <v>45388</v>
      </c>
      <c r="K655" s="1">
        <v>24500</v>
      </c>
      <c r="L655" s="1">
        <v>10622</v>
      </c>
      <c r="M655" s="1">
        <v>20</v>
      </c>
      <c r="N655" s="1" t="s">
        <v>28</v>
      </c>
      <c r="O655" s="1" t="s">
        <v>21</v>
      </c>
      <c r="P655" s="1" t="s">
        <v>22</v>
      </c>
      <c r="Q655" s="1" t="s">
        <v>31</v>
      </c>
      <c r="R655">
        <v>0.53526885814729153</v>
      </c>
    </row>
    <row r="656" spans="1:18" x14ac:dyDescent="0.2">
      <c r="A656" s="1">
        <v>170037</v>
      </c>
      <c r="B656" s="1" t="s">
        <v>729</v>
      </c>
      <c r="C656" s="1" t="s">
        <v>109</v>
      </c>
      <c r="D656" s="1">
        <v>0.77769999999999995</v>
      </c>
      <c r="E656" s="1">
        <v>1298</v>
      </c>
      <c r="F656" s="1">
        <v>23000</v>
      </c>
      <c r="G656" s="1">
        <v>0.61870000000000003</v>
      </c>
      <c r="H656" s="1">
        <v>0.78280000000000005</v>
      </c>
      <c r="I656" s="1">
        <v>0.3276</v>
      </c>
      <c r="J656" s="1">
        <v>47314</v>
      </c>
      <c r="K656" s="1">
        <v>25000</v>
      </c>
      <c r="L656" s="1">
        <v>7119</v>
      </c>
      <c r="M656" s="1">
        <v>15</v>
      </c>
      <c r="N656" s="1" t="s">
        <v>20</v>
      </c>
      <c r="O656" s="1" t="s">
        <v>29</v>
      </c>
      <c r="P656" s="1" t="s">
        <v>22</v>
      </c>
      <c r="Q656" s="1" t="s">
        <v>31</v>
      </c>
      <c r="R656">
        <v>0.53485367398674044</v>
      </c>
    </row>
    <row r="657" spans="1:18" x14ac:dyDescent="0.2">
      <c r="A657" s="1">
        <v>172699</v>
      </c>
      <c r="B657" s="1" t="s">
        <v>730</v>
      </c>
      <c r="C657" s="1" t="s">
        <v>109</v>
      </c>
      <c r="D657" s="1">
        <v>0.84599999999999997</v>
      </c>
      <c r="E657" s="1">
        <v>12568</v>
      </c>
      <c r="F657" s="1">
        <v>19034</v>
      </c>
      <c r="G657" s="1">
        <v>0.57569999999999999</v>
      </c>
      <c r="H657" s="1">
        <v>0.81120000000000003</v>
      </c>
      <c r="I657" s="1">
        <v>0.26750000000000002</v>
      </c>
      <c r="J657" s="1">
        <v>53562</v>
      </c>
      <c r="K657" s="1">
        <v>26188</v>
      </c>
      <c r="L657" s="1">
        <v>10830</v>
      </c>
      <c r="M657" s="1">
        <v>16</v>
      </c>
      <c r="N657" s="1" t="s">
        <v>28</v>
      </c>
      <c r="O657" s="1" t="s">
        <v>29</v>
      </c>
      <c r="P657" s="1" t="s">
        <v>22</v>
      </c>
      <c r="Q657" s="1" t="s">
        <v>23</v>
      </c>
      <c r="R657">
        <v>0.53429577447269383</v>
      </c>
    </row>
    <row r="658" spans="1:18" x14ac:dyDescent="0.2">
      <c r="A658" s="1">
        <v>177144</v>
      </c>
      <c r="B658" s="1" t="s">
        <v>731</v>
      </c>
      <c r="C658" s="1" t="s">
        <v>77</v>
      </c>
      <c r="D658" s="1">
        <v>0.99099999999999999</v>
      </c>
      <c r="E658" s="1">
        <v>807</v>
      </c>
      <c r="F658" s="1">
        <v>30875</v>
      </c>
      <c r="G658" s="1">
        <v>0.3916</v>
      </c>
      <c r="H658" s="1">
        <v>0.67200000000000004</v>
      </c>
      <c r="I658" s="1">
        <v>0.39350000000000002</v>
      </c>
      <c r="J658" s="1">
        <v>46092</v>
      </c>
      <c r="K658" s="1">
        <v>26000</v>
      </c>
      <c r="L658" s="1">
        <v>6246</v>
      </c>
      <c r="M658" s="1">
        <v>15</v>
      </c>
      <c r="N658" s="1" t="s">
        <v>20</v>
      </c>
      <c r="O658" s="1" t="s">
        <v>42</v>
      </c>
      <c r="P658" s="1" t="s">
        <v>22</v>
      </c>
      <c r="Q658" s="1" t="s">
        <v>31</v>
      </c>
      <c r="R658">
        <v>0.53241205642999345</v>
      </c>
    </row>
    <row r="659" spans="1:18" x14ac:dyDescent="0.2">
      <c r="A659" s="1">
        <v>207458</v>
      </c>
      <c r="B659" s="1" t="s">
        <v>732</v>
      </c>
      <c r="C659" s="1" t="s">
        <v>224</v>
      </c>
      <c r="D659" s="1">
        <v>0.7702</v>
      </c>
      <c r="E659" s="1">
        <v>1514</v>
      </c>
      <c r="F659" s="1">
        <v>35648</v>
      </c>
      <c r="G659" s="1">
        <v>0.64880000000000004</v>
      </c>
      <c r="H659" s="1">
        <v>0.83909999999999996</v>
      </c>
      <c r="I659" s="1">
        <v>0.23910000000000001</v>
      </c>
      <c r="J659" s="1">
        <v>54655</v>
      </c>
      <c r="K659" s="1">
        <v>20835</v>
      </c>
      <c r="L659" s="1">
        <v>7805</v>
      </c>
      <c r="M659" s="1">
        <v>11</v>
      </c>
      <c r="N659" s="1" t="s">
        <v>20</v>
      </c>
      <c r="O659" s="1" t="s">
        <v>29</v>
      </c>
      <c r="P659" s="1" t="s">
        <v>30</v>
      </c>
      <c r="Q659" s="1" t="s">
        <v>23</v>
      </c>
      <c r="R659">
        <v>0.53178851614821976</v>
      </c>
    </row>
    <row r="660" spans="1:18" x14ac:dyDescent="0.2">
      <c r="A660" s="1">
        <v>211440</v>
      </c>
      <c r="B660" s="1" t="s">
        <v>733</v>
      </c>
      <c r="C660" s="1" t="s">
        <v>98</v>
      </c>
      <c r="D660" s="1">
        <v>0.1166</v>
      </c>
      <c r="E660" s="1">
        <v>7304</v>
      </c>
      <c r="F660" s="1">
        <v>66246</v>
      </c>
      <c r="G660" s="1">
        <v>0.94130000000000003</v>
      </c>
      <c r="H660" s="1">
        <v>0.98</v>
      </c>
      <c r="I660" s="1">
        <v>0.16039999999999999</v>
      </c>
      <c r="J660" s="1">
        <v>114862</v>
      </c>
      <c r="K660" s="1">
        <v>21750</v>
      </c>
      <c r="L660" s="1">
        <v>13972</v>
      </c>
      <c r="M660" s="1">
        <v>5</v>
      </c>
      <c r="N660" s="1" t="s">
        <v>20</v>
      </c>
      <c r="O660" s="1" t="s">
        <v>29</v>
      </c>
      <c r="P660" s="1" t="s">
        <v>39</v>
      </c>
      <c r="Q660" s="1" t="s">
        <v>23</v>
      </c>
      <c r="R660">
        <v>0.5311823042376731</v>
      </c>
    </row>
    <row r="661" spans="1:18" x14ac:dyDescent="0.2">
      <c r="A661" s="1">
        <v>180489</v>
      </c>
      <c r="B661" s="1" t="s">
        <v>734</v>
      </c>
      <c r="C661" s="1" t="s">
        <v>95</v>
      </c>
      <c r="D661" s="1">
        <v>0.95860000000000001</v>
      </c>
      <c r="E661" s="1">
        <v>7488</v>
      </c>
      <c r="F661" s="1">
        <v>33671</v>
      </c>
      <c r="G661" s="1">
        <v>0.47960000000000003</v>
      </c>
      <c r="H661" s="1">
        <v>0.74770000000000003</v>
      </c>
      <c r="I661" s="1">
        <v>0.28029999999999999</v>
      </c>
      <c r="J661" s="1">
        <v>44511</v>
      </c>
      <c r="K661" s="1">
        <v>22400</v>
      </c>
      <c r="L661" s="1">
        <v>9310</v>
      </c>
      <c r="M661" s="1">
        <v>17</v>
      </c>
      <c r="N661" s="1" t="s">
        <v>28</v>
      </c>
      <c r="O661" s="1" t="s">
        <v>29</v>
      </c>
      <c r="P661" s="1" t="s">
        <v>22</v>
      </c>
      <c r="Q661" s="1" t="s">
        <v>31</v>
      </c>
      <c r="R661">
        <v>0.53067991225727618</v>
      </c>
    </row>
    <row r="662" spans="1:18" x14ac:dyDescent="0.2">
      <c r="A662" s="1">
        <v>237367</v>
      </c>
      <c r="B662" s="1" t="s">
        <v>735</v>
      </c>
      <c r="C662" s="1" t="s">
        <v>255</v>
      </c>
      <c r="D662" s="1">
        <v>0.98619999999999997</v>
      </c>
      <c r="E662" s="1">
        <v>2590</v>
      </c>
      <c r="F662" s="1">
        <v>18924</v>
      </c>
      <c r="G662" s="1">
        <v>0.4425</v>
      </c>
      <c r="H662" s="1">
        <v>0.67390000000000005</v>
      </c>
      <c r="I662" s="1">
        <v>0.34289999999999998</v>
      </c>
      <c r="J662" s="1">
        <v>46857</v>
      </c>
      <c r="K662" s="1">
        <v>21000</v>
      </c>
      <c r="L662" s="1">
        <v>7101</v>
      </c>
      <c r="M662" s="1">
        <v>14</v>
      </c>
      <c r="N662" s="1" t="s">
        <v>28</v>
      </c>
      <c r="O662" s="1" t="s">
        <v>42</v>
      </c>
      <c r="P662" s="1" t="s">
        <v>30</v>
      </c>
      <c r="Q662" s="1" t="s">
        <v>31</v>
      </c>
      <c r="R662">
        <v>0.53059964120932346</v>
      </c>
    </row>
    <row r="663" spans="1:18" x14ac:dyDescent="0.2">
      <c r="A663" s="1">
        <v>181738</v>
      </c>
      <c r="B663" s="1" t="s">
        <v>736</v>
      </c>
      <c r="C663" s="1" t="s">
        <v>221</v>
      </c>
      <c r="D663" s="1">
        <v>1</v>
      </c>
      <c r="E663" s="1">
        <v>471</v>
      </c>
      <c r="F663" s="1">
        <v>29334</v>
      </c>
      <c r="G663" s="1">
        <v>0.52259999999999995</v>
      </c>
      <c r="H663" s="1">
        <v>0.83540000000000003</v>
      </c>
      <c r="I663" s="1">
        <v>0.30769999999999997</v>
      </c>
      <c r="J663" s="1">
        <v>55045</v>
      </c>
      <c r="K663" s="1">
        <v>27000</v>
      </c>
      <c r="L663" s="1">
        <v>6684</v>
      </c>
      <c r="M663" s="1">
        <v>8</v>
      </c>
      <c r="N663" s="1" t="s">
        <v>20</v>
      </c>
      <c r="O663" s="1" t="s">
        <v>29</v>
      </c>
      <c r="P663" s="1" t="s">
        <v>22</v>
      </c>
      <c r="Q663" s="1" t="s">
        <v>23</v>
      </c>
      <c r="R663">
        <v>0.52978588569729834</v>
      </c>
    </row>
    <row r="664" spans="1:18" x14ac:dyDescent="0.2">
      <c r="A664" s="1">
        <v>441900</v>
      </c>
      <c r="B664" s="1" t="s">
        <v>737</v>
      </c>
      <c r="C664" s="1" t="s">
        <v>336</v>
      </c>
      <c r="D664" s="1">
        <v>0.86819999999999997</v>
      </c>
      <c r="E664" s="1">
        <v>3762</v>
      </c>
      <c r="F664" s="1">
        <v>21833</v>
      </c>
      <c r="G664" s="1">
        <v>0.33579999999999999</v>
      </c>
      <c r="H664" s="1">
        <v>0.78769999999999996</v>
      </c>
      <c r="I664" s="1">
        <v>0.22839999999999999</v>
      </c>
      <c r="J664" s="1">
        <v>53166</v>
      </c>
      <c r="K664" s="1">
        <v>19691</v>
      </c>
      <c r="L664" s="1">
        <v>9521</v>
      </c>
      <c r="M664" s="1">
        <v>18</v>
      </c>
      <c r="N664" s="1" t="s">
        <v>28</v>
      </c>
      <c r="O664" s="1" t="s">
        <v>42</v>
      </c>
      <c r="P664" s="1" t="s">
        <v>22</v>
      </c>
      <c r="Q664" s="1" t="s">
        <v>23</v>
      </c>
      <c r="R664">
        <v>0.52965394331831905</v>
      </c>
    </row>
    <row r="665" spans="1:18" x14ac:dyDescent="0.2">
      <c r="A665" s="1">
        <v>181297</v>
      </c>
      <c r="B665" s="1" t="s">
        <v>738</v>
      </c>
      <c r="C665" s="1" t="s">
        <v>221</v>
      </c>
      <c r="D665" s="1">
        <v>0.73409999999999997</v>
      </c>
      <c r="E665" s="1">
        <v>781</v>
      </c>
      <c r="F665" s="1">
        <v>17885</v>
      </c>
      <c r="G665" s="1">
        <v>0.59519999999999995</v>
      </c>
      <c r="H665" s="1">
        <v>0.85709999999999997</v>
      </c>
      <c r="I665" s="1">
        <v>0.3085</v>
      </c>
      <c r="J665" s="1">
        <v>65071</v>
      </c>
      <c r="K665" s="1">
        <v>23417</v>
      </c>
      <c r="L665" s="1">
        <v>6681</v>
      </c>
      <c r="M665" s="1">
        <v>13</v>
      </c>
      <c r="N665" s="1" t="s">
        <v>20</v>
      </c>
      <c r="O665" s="1" t="s">
        <v>29</v>
      </c>
      <c r="P665" s="1" t="s">
        <v>22</v>
      </c>
      <c r="Q665" s="1" t="s">
        <v>23</v>
      </c>
      <c r="R665">
        <v>0.52916193017788171</v>
      </c>
    </row>
    <row r="666" spans="1:18" x14ac:dyDescent="0.2">
      <c r="A666" s="1">
        <v>208822</v>
      </c>
      <c r="B666" s="1" t="s">
        <v>739</v>
      </c>
      <c r="C666" s="1" t="s">
        <v>79</v>
      </c>
      <c r="D666" s="1">
        <v>0.93510000000000004</v>
      </c>
      <c r="E666" s="1">
        <v>2699</v>
      </c>
      <c r="F666" s="1">
        <v>42750</v>
      </c>
      <c r="G666" s="1">
        <v>0.71960000000000002</v>
      </c>
      <c r="H666" s="1">
        <v>0.83440000000000003</v>
      </c>
      <c r="I666" s="1">
        <v>0.2344</v>
      </c>
      <c r="J666" s="1">
        <v>59761</v>
      </c>
      <c r="K666" s="1">
        <v>24250</v>
      </c>
      <c r="L666" s="1">
        <v>8565</v>
      </c>
      <c r="M666" s="1">
        <v>17</v>
      </c>
      <c r="N666" s="1" t="s">
        <v>20</v>
      </c>
      <c r="O666" s="1" t="s">
        <v>42</v>
      </c>
      <c r="P666" s="1" t="s">
        <v>22</v>
      </c>
      <c r="Q666" s="1" t="s">
        <v>23</v>
      </c>
      <c r="R666">
        <v>0.52853113334697488</v>
      </c>
    </row>
    <row r="667" spans="1:18" x14ac:dyDescent="0.2">
      <c r="A667" s="1">
        <v>159656</v>
      </c>
      <c r="B667" s="1" t="s">
        <v>740</v>
      </c>
      <c r="C667" s="1" t="s">
        <v>46</v>
      </c>
      <c r="D667" s="1">
        <v>0.93049999999999999</v>
      </c>
      <c r="E667" s="1">
        <v>2812</v>
      </c>
      <c r="F667" s="1">
        <v>49440</v>
      </c>
      <c r="G667" s="1">
        <v>0.59030000000000005</v>
      </c>
      <c r="H667" s="1">
        <v>0.80059999999999998</v>
      </c>
      <c r="I667" s="1">
        <v>0.37319999999999998</v>
      </c>
      <c r="J667" s="1">
        <v>52927</v>
      </c>
      <c r="K667" s="1">
        <v>26000</v>
      </c>
      <c r="L667" s="1">
        <v>8990</v>
      </c>
      <c r="M667" s="1">
        <v>12</v>
      </c>
      <c r="N667" s="1" t="s">
        <v>20</v>
      </c>
      <c r="O667" s="1" t="s">
        <v>29</v>
      </c>
      <c r="P667" s="1" t="s">
        <v>30</v>
      </c>
      <c r="Q667" s="1" t="s">
        <v>23</v>
      </c>
      <c r="R667">
        <v>0.52818622662834469</v>
      </c>
    </row>
    <row r="668" spans="1:18" x14ac:dyDescent="0.2">
      <c r="A668" s="1">
        <v>132903</v>
      </c>
      <c r="B668" s="1" t="s">
        <v>741</v>
      </c>
      <c r="C668" s="1" t="s">
        <v>27</v>
      </c>
      <c r="D668" s="1">
        <v>0.40110000000000001</v>
      </c>
      <c r="E668" s="1">
        <v>59146</v>
      </c>
      <c r="F668" s="1">
        <v>22467</v>
      </c>
      <c r="G668" s="1">
        <v>0.78010000000000002</v>
      </c>
      <c r="H668" s="1">
        <v>0.92349999999999999</v>
      </c>
      <c r="I668" s="1">
        <v>0.32340000000000002</v>
      </c>
      <c r="J668" s="1">
        <v>58308</v>
      </c>
      <c r="K668" s="1">
        <v>18190</v>
      </c>
      <c r="L668" s="1">
        <v>11575</v>
      </c>
      <c r="M668" s="1">
        <v>28</v>
      </c>
      <c r="N668" s="1" t="s">
        <v>28</v>
      </c>
      <c r="O668" s="1" t="s">
        <v>21</v>
      </c>
      <c r="P668" s="1" t="s">
        <v>30</v>
      </c>
      <c r="Q668" s="1" t="s">
        <v>23</v>
      </c>
      <c r="R668">
        <v>0.52697925438496118</v>
      </c>
    </row>
    <row r="669" spans="1:18" x14ac:dyDescent="0.2">
      <c r="A669" s="1">
        <v>210401</v>
      </c>
      <c r="B669" s="1" t="s">
        <v>742</v>
      </c>
      <c r="C669" s="1" t="s">
        <v>79</v>
      </c>
      <c r="D669" s="1">
        <v>0.77090000000000003</v>
      </c>
      <c r="E669" s="1">
        <v>1592</v>
      </c>
      <c r="F669" s="1">
        <v>51156</v>
      </c>
      <c r="G669" s="1">
        <v>0.71240000000000003</v>
      </c>
      <c r="H669" s="1">
        <v>0.86509999999999998</v>
      </c>
      <c r="I669" s="1">
        <v>0.23549999999999999</v>
      </c>
      <c r="J669" s="1">
        <v>56911</v>
      </c>
      <c r="K669" s="1">
        <v>21500</v>
      </c>
      <c r="L669" s="1">
        <v>11083</v>
      </c>
      <c r="M669" s="1">
        <v>13</v>
      </c>
      <c r="N669" s="1" t="s">
        <v>20</v>
      </c>
      <c r="O669" s="1" t="s">
        <v>29</v>
      </c>
      <c r="P669" s="1" t="s">
        <v>22</v>
      </c>
      <c r="Q669" s="1" t="s">
        <v>23</v>
      </c>
      <c r="R669">
        <v>0.52615885664266315</v>
      </c>
    </row>
    <row r="670" spans="1:18" x14ac:dyDescent="0.2">
      <c r="A670" s="1">
        <v>159009</v>
      </c>
      <c r="B670" s="1" t="s">
        <v>743</v>
      </c>
      <c r="C670" s="1" t="s">
        <v>46</v>
      </c>
      <c r="D670" s="1">
        <v>0.4486</v>
      </c>
      <c r="E670" s="1">
        <v>4164</v>
      </c>
      <c r="F670" s="1">
        <v>16706</v>
      </c>
      <c r="G670" s="1">
        <v>0.36159999999999998</v>
      </c>
      <c r="H670" s="1">
        <v>0.66080000000000005</v>
      </c>
      <c r="I670" s="1">
        <v>0.74970000000000003</v>
      </c>
      <c r="J670" s="1">
        <v>41109</v>
      </c>
      <c r="K670" s="1">
        <v>36500</v>
      </c>
      <c r="L670" s="1">
        <v>6296</v>
      </c>
      <c r="M670" s="1">
        <v>25</v>
      </c>
      <c r="N670" s="1" t="s">
        <v>28</v>
      </c>
      <c r="O670" s="1" t="s">
        <v>42</v>
      </c>
      <c r="P670" s="1" t="s">
        <v>30</v>
      </c>
      <c r="Q670" s="1" t="s">
        <v>31</v>
      </c>
      <c r="R670">
        <v>0.52570585229015621</v>
      </c>
    </row>
    <row r="671" spans="1:18" x14ac:dyDescent="0.2">
      <c r="A671" s="1">
        <v>215114</v>
      </c>
      <c r="B671" s="1" t="s">
        <v>744</v>
      </c>
      <c r="C671" s="1" t="s">
        <v>98</v>
      </c>
      <c r="D671" s="1">
        <v>0.88170000000000004</v>
      </c>
      <c r="E671" s="1">
        <v>775</v>
      </c>
      <c r="F671" s="1">
        <v>34009</v>
      </c>
      <c r="G671" s="1">
        <v>0.5968</v>
      </c>
      <c r="H671" s="1">
        <v>0.76619999999999999</v>
      </c>
      <c r="I671" s="1">
        <v>0.32050000000000001</v>
      </c>
      <c r="J671" s="1">
        <v>44172</v>
      </c>
      <c r="K671" s="1">
        <v>26926</v>
      </c>
      <c r="L671" s="1">
        <v>6206</v>
      </c>
      <c r="M671" s="1">
        <v>11</v>
      </c>
      <c r="N671" s="1" t="s">
        <v>20</v>
      </c>
      <c r="O671" s="1" t="s">
        <v>21</v>
      </c>
      <c r="P671" s="1" t="s">
        <v>39</v>
      </c>
      <c r="Q671" s="1" t="s">
        <v>31</v>
      </c>
      <c r="R671">
        <v>0.52514606732464097</v>
      </c>
    </row>
    <row r="672" spans="1:18" x14ac:dyDescent="0.2">
      <c r="A672" s="1">
        <v>144971</v>
      </c>
      <c r="B672" s="1" t="s">
        <v>745</v>
      </c>
      <c r="C672" s="1" t="s">
        <v>25</v>
      </c>
      <c r="D672" s="1">
        <v>0.84989999999999999</v>
      </c>
      <c r="E672" s="1">
        <v>522</v>
      </c>
      <c r="F672" s="1">
        <v>29096</v>
      </c>
      <c r="G672" s="1">
        <v>0.41610000000000003</v>
      </c>
      <c r="H672" s="1">
        <v>0.50390000000000001</v>
      </c>
      <c r="I672" s="1">
        <v>0.48580000000000001</v>
      </c>
      <c r="J672" s="1">
        <v>51641</v>
      </c>
      <c r="K672" s="1">
        <v>23250</v>
      </c>
      <c r="L672" s="1">
        <v>5632</v>
      </c>
      <c r="M672" s="1">
        <v>14</v>
      </c>
      <c r="N672" s="1" t="s">
        <v>20</v>
      </c>
      <c r="O672" s="1" t="s">
        <v>42</v>
      </c>
      <c r="P672" s="1" t="s">
        <v>22</v>
      </c>
      <c r="Q672" s="1" t="s">
        <v>23</v>
      </c>
      <c r="R672">
        <v>0.52496729751072557</v>
      </c>
    </row>
    <row r="673" spans="1:18" x14ac:dyDescent="0.2">
      <c r="A673" s="1">
        <v>186380</v>
      </c>
      <c r="B673" s="1" t="s">
        <v>746</v>
      </c>
      <c r="C673" s="1" t="s">
        <v>66</v>
      </c>
      <c r="D673" s="1">
        <v>0.58150000000000002</v>
      </c>
      <c r="E673" s="1">
        <v>37751</v>
      </c>
      <c r="F673" s="1">
        <v>37441</v>
      </c>
      <c r="G673" s="1">
        <v>0.83630000000000004</v>
      </c>
      <c r="H673" s="1">
        <v>0.93020000000000003</v>
      </c>
      <c r="I673" s="1">
        <v>0.27900000000000003</v>
      </c>
      <c r="J673" s="1">
        <v>74479</v>
      </c>
      <c r="K673" s="1">
        <v>21500</v>
      </c>
      <c r="L673" s="1">
        <v>14593</v>
      </c>
      <c r="M673" s="1">
        <v>16</v>
      </c>
      <c r="N673" s="1" t="s">
        <v>28</v>
      </c>
      <c r="O673" s="1" t="s">
        <v>29</v>
      </c>
      <c r="P673" s="1" t="s">
        <v>39</v>
      </c>
      <c r="Q673" s="1" t="s">
        <v>23</v>
      </c>
      <c r="R673">
        <v>0.52462916243649982</v>
      </c>
    </row>
    <row r="674" spans="1:18" x14ac:dyDescent="0.2">
      <c r="A674" s="1">
        <v>213400</v>
      </c>
      <c r="B674" s="1" t="s">
        <v>747</v>
      </c>
      <c r="C674" s="1" t="s">
        <v>98</v>
      </c>
      <c r="D674" s="1">
        <v>0.55889999999999995</v>
      </c>
      <c r="E674" s="1">
        <v>1569</v>
      </c>
      <c r="F674" s="1">
        <v>29990</v>
      </c>
      <c r="G674" s="1">
        <v>0.66669999999999996</v>
      </c>
      <c r="H674" s="1">
        <v>0.79390000000000005</v>
      </c>
      <c r="I674" s="1">
        <v>0.35489999999999999</v>
      </c>
      <c r="J674" s="1">
        <v>44096</v>
      </c>
      <c r="K674" s="1">
        <v>20500</v>
      </c>
      <c r="L674" s="1">
        <v>5811</v>
      </c>
      <c r="M674" s="1">
        <v>19</v>
      </c>
      <c r="N674" s="1" t="s">
        <v>20</v>
      </c>
      <c r="O674" s="1" t="s">
        <v>21</v>
      </c>
      <c r="P674" s="1" t="s">
        <v>39</v>
      </c>
      <c r="Q674" s="1" t="s">
        <v>31</v>
      </c>
      <c r="R674">
        <v>0.52430236105814754</v>
      </c>
    </row>
    <row r="675" spans="1:18" x14ac:dyDescent="0.2">
      <c r="A675" s="1">
        <v>176628</v>
      </c>
      <c r="B675" s="1" t="s">
        <v>748</v>
      </c>
      <c r="C675" s="1" t="s">
        <v>77</v>
      </c>
      <c r="D675" s="1">
        <v>0.878</v>
      </c>
      <c r="E675" s="1">
        <v>1312</v>
      </c>
      <c r="F675" s="1">
        <v>42000</v>
      </c>
      <c r="G675" s="1">
        <v>0.52380000000000004</v>
      </c>
      <c r="H675" s="1">
        <v>0.70530000000000004</v>
      </c>
      <c r="I675" s="1">
        <v>0.5635</v>
      </c>
      <c r="J675" s="1">
        <v>52773</v>
      </c>
      <c r="K675" s="1">
        <v>25000</v>
      </c>
      <c r="L675" s="1">
        <v>6779</v>
      </c>
      <c r="M675" s="1">
        <v>19</v>
      </c>
      <c r="N675" s="1" t="s">
        <v>20</v>
      </c>
      <c r="O675" s="1" t="s">
        <v>29</v>
      </c>
      <c r="P675" s="1" t="s">
        <v>22</v>
      </c>
      <c r="Q675" s="1" t="s">
        <v>23</v>
      </c>
      <c r="R675">
        <v>0.52415891873515896</v>
      </c>
    </row>
    <row r="676" spans="1:18" x14ac:dyDescent="0.2">
      <c r="A676" s="1">
        <v>178244</v>
      </c>
      <c r="B676" s="1" t="s">
        <v>749</v>
      </c>
      <c r="C676" s="1" t="s">
        <v>77</v>
      </c>
      <c r="D676" s="1">
        <v>0.68600000000000005</v>
      </c>
      <c r="E676" s="1">
        <v>1488</v>
      </c>
      <c r="F676" s="1">
        <v>34612</v>
      </c>
      <c r="G676" s="1">
        <v>0.4758</v>
      </c>
      <c r="H676" s="1">
        <v>0.65339999999999998</v>
      </c>
      <c r="I676" s="1">
        <v>0.1113</v>
      </c>
      <c r="J676" s="1">
        <v>46660</v>
      </c>
      <c r="K676" s="1">
        <v>22500</v>
      </c>
      <c r="L676" s="1">
        <v>6803</v>
      </c>
      <c r="M676" s="1">
        <v>15</v>
      </c>
      <c r="N676" s="1" t="s">
        <v>20</v>
      </c>
      <c r="O676" s="1" t="s">
        <v>21</v>
      </c>
      <c r="P676" s="1" t="s">
        <v>22</v>
      </c>
      <c r="Q676" s="1" t="s">
        <v>31</v>
      </c>
      <c r="R676">
        <v>0.52395479653989296</v>
      </c>
    </row>
    <row r="677" spans="1:18" x14ac:dyDescent="0.2">
      <c r="A677" s="1">
        <v>142285</v>
      </c>
      <c r="B677" s="1" t="s">
        <v>750</v>
      </c>
      <c r="C677" s="1" t="s">
        <v>407</v>
      </c>
      <c r="D677" s="1">
        <v>0.75529999999999997</v>
      </c>
      <c r="E677" s="1">
        <v>7747</v>
      </c>
      <c r="F677" s="1">
        <v>28320</v>
      </c>
      <c r="G677" s="1">
        <v>0.57279999999999998</v>
      </c>
      <c r="H677" s="1">
        <v>0.75590000000000002</v>
      </c>
      <c r="I677" s="1">
        <v>0.23480000000000001</v>
      </c>
      <c r="J677" s="1">
        <v>54670</v>
      </c>
      <c r="K677" s="1">
        <v>21982</v>
      </c>
      <c r="L677" s="1">
        <v>10288</v>
      </c>
      <c r="M677" s="1">
        <v>18</v>
      </c>
      <c r="N677" s="1" t="s">
        <v>28</v>
      </c>
      <c r="O677" s="1" t="s">
        <v>42</v>
      </c>
      <c r="P677" s="1" t="s">
        <v>22</v>
      </c>
      <c r="Q677" s="1" t="s">
        <v>23</v>
      </c>
      <c r="R677">
        <v>0.5223665198394718</v>
      </c>
    </row>
    <row r="678" spans="1:18" x14ac:dyDescent="0.2">
      <c r="A678" s="1">
        <v>165866</v>
      </c>
      <c r="B678" s="1" t="s">
        <v>751</v>
      </c>
      <c r="C678" s="1" t="s">
        <v>129</v>
      </c>
      <c r="D678" s="1">
        <v>0.83609999999999995</v>
      </c>
      <c r="E678" s="1">
        <v>2566</v>
      </c>
      <c r="F678" s="1">
        <v>18000</v>
      </c>
      <c r="G678" s="1">
        <v>0.47799999999999998</v>
      </c>
      <c r="H678" s="1">
        <v>0.70989999999999998</v>
      </c>
      <c r="I678" s="1">
        <v>0.36880000000000002</v>
      </c>
      <c r="J678" s="1">
        <v>52349</v>
      </c>
      <c r="K678" s="1">
        <v>25000</v>
      </c>
      <c r="L678" s="1">
        <v>11240</v>
      </c>
      <c r="M678" s="1">
        <v>12</v>
      </c>
      <c r="N678" s="1" t="s">
        <v>28</v>
      </c>
      <c r="O678" s="1" t="s">
        <v>29</v>
      </c>
      <c r="P678" s="1" t="s">
        <v>39</v>
      </c>
      <c r="Q678" s="1" t="s">
        <v>23</v>
      </c>
      <c r="R678">
        <v>0.5216930721441162</v>
      </c>
    </row>
    <row r="679" spans="1:18" x14ac:dyDescent="0.2">
      <c r="A679" s="1">
        <v>213385</v>
      </c>
      <c r="B679" s="1" t="s">
        <v>752</v>
      </c>
      <c r="C679" s="1" t="s">
        <v>98</v>
      </c>
      <c r="D679" s="1">
        <v>0.3145</v>
      </c>
      <c r="E679" s="1">
        <v>2757</v>
      </c>
      <c r="F679" s="1">
        <v>65398</v>
      </c>
      <c r="G679" s="1">
        <v>0.87590000000000001</v>
      </c>
      <c r="H679" s="1">
        <v>0.89670000000000005</v>
      </c>
      <c r="I679" s="1">
        <v>0.11650000000000001</v>
      </c>
      <c r="J679" s="1">
        <v>91410</v>
      </c>
      <c r="K679" s="1">
        <v>16000</v>
      </c>
      <c r="L679" s="1">
        <v>12663</v>
      </c>
      <c r="M679" s="1">
        <v>10</v>
      </c>
      <c r="N679" s="1" t="s">
        <v>20</v>
      </c>
      <c r="O679" s="1" t="s">
        <v>21</v>
      </c>
      <c r="P679" s="1" t="s">
        <v>39</v>
      </c>
      <c r="Q679" s="1" t="s">
        <v>23</v>
      </c>
      <c r="R679">
        <v>0.52109093129885031</v>
      </c>
    </row>
    <row r="680" spans="1:18" x14ac:dyDescent="0.2">
      <c r="A680" s="1">
        <v>101912</v>
      </c>
      <c r="B680" s="1" t="s">
        <v>753</v>
      </c>
      <c r="C680" s="1" t="s">
        <v>177</v>
      </c>
      <c r="D680" s="1">
        <v>0.45219999999999999</v>
      </c>
      <c r="E680" s="1">
        <v>1153</v>
      </c>
      <c r="F680" s="1">
        <v>22512</v>
      </c>
      <c r="G680" s="1">
        <v>0.44619999999999999</v>
      </c>
      <c r="H680" s="1">
        <v>0.71130000000000004</v>
      </c>
      <c r="I680" s="1">
        <v>0.44369999999999998</v>
      </c>
      <c r="J680" s="1">
        <v>42488</v>
      </c>
      <c r="K680" s="1">
        <v>27000</v>
      </c>
      <c r="L680" s="1">
        <v>5513</v>
      </c>
      <c r="M680" s="1">
        <v>14</v>
      </c>
      <c r="N680" s="1" t="s">
        <v>20</v>
      </c>
      <c r="O680" s="1" t="s">
        <v>29</v>
      </c>
      <c r="P680" s="1" t="s">
        <v>30</v>
      </c>
      <c r="Q680" s="1" t="s">
        <v>31</v>
      </c>
      <c r="R680">
        <v>0.52063408624166874</v>
      </c>
    </row>
    <row r="681" spans="1:18" x14ac:dyDescent="0.2">
      <c r="A681" s="1">
        <v>104586</v>
      </c>
      <c r="B681" s="1" t="s">
        <v>754</v>
      </c>
      <c r="C681" s="1" t="s">
        <v>216</v>
      </c>
      <c r="D681" s="1">
        <v>0.76580000000000004</v>
      </c>
      <c r="E681" s="1">
        <v>3218</v>
      </c>
      <c r="F681" s="1">
        <v>44149</v>
      </c>
      <c r="G681" s="1">
        <v>0.67759999999999998</v>
      </c>
      <c r="H681" s="1">
        <v>0.8216</v>
      </c>
      <c r="I681" s="1">
        <v>0.1825</v>
      </c>
      <c r="J681" s="1">
        <v>84131</v>
      </c>
      <c r="K681" s="1">
        <v>23666</v>
      </c>
      <c r="L681" s="1">
        <v>10066</v>
      </c>
      <c r="M681" s="1">
        <v>17</v>
      </c>
      <c r="N681" s="1" t="s">
        <v>20</v>
      </c>
      <c r="O681" s="1" t="s">
        <v>29</v>
      </c>
      <c r="P681" s="1" t="s">
        <v>22</v>
      </c>
      <c r="Q681" s="1" t="s">
        <v>23</v>
      </c>
      <c r="R681">
        <v>0.52053588739901591</v>
      </c>
    </row>
    <row r="682" spans="1:18" x14ac:dyDescent="0.2">
      <c r="A682" s="1">
        <v>168005</v>
      </c>
      <c r="B682" s="1" t="s">
        <v>755</v>
      </c>
      <c r="C682" s="1" t="s">
        <v>129</v>
      </c>
      <c r="D682" s="1">
        <v>0.82330000000000003</v>
      </c>
      <c r="E682" s="1">
        <v>4268</v>
      </c>
      <c r="F682" s="1">
        <v>47550</v>
      </c>
      <c r="G682" s="1">
        <v>0.60880000000000001</v>
      </c>
      <c r="H682" s="1">
        <v>0.75429999999999997</v>
      </c>
      <c r="I682" s="1">
        <v>0.29949999999999999</v>
      </c>
      <c r="J682" s="1">
        <v>67506</v>
      </c>
      <c r="K682" s="1">
        <v>26889</v>
      </c>
      <c r="L682" s="1">
        <v>12891</v>
      </c>
      <c r="M682" s="1">
        <v>15</v>
      </c>
      <c r="N682" s="1" t="s">
        <v>20</v>
      </c>
      <c r="O682" s="1" t="s">
        <v>29</v>
      </c>
      <c r="P682" s="1" t="s">
        <v>39</v>
      </c>
      <c r="Q682" s="1" t="s">
        <v>23</v>
      </c>
      <c r="R682">
        <v>0.52024361280014142</v>
      </c>
    </row>
    <row r="683" spans="1:18" x14ac:dyDescent="0.2">
      <c r="A683" s="1">
        <v>195128</v>
      </c>
      <c r="B683" s="1" t="s">
        <v>756</v>
      </c>
      <c r="C683" s="1" t="s">
        <v>58</v>
      </c>
      <c r="D683" s="1">
        <v>0.53259999999999996</v>
      </c>
      <c r="E683" s="1">
        <v>1244</v>
      </c>
      <c r="F683" s="1">
        <v>38164</v>
      </c>
      <c r="G683" s="1">
        <v>0.56100000000000005</v>
      </c>
      <c r="H683" s="1">
        <v>0.77890000000000004</v>
      </c>
      <c r="I683" s="1">
        <v>0.4204</v>
      </c>
      <c r="J683" s="1">
        <v>58316</v>
      </c>
      <c r="K683" s="1">
        <v>22000</v>
      </c>
      <c r="L683" s="1">
        <v>6600</v>
      </c>
      <c r="M683" s="1">
        <v>10</v>
      </c>
      <c r="N683" s="1" t="s">
        <v>20</v>
      </c>
      <c r="O683" s="1" t="s">
        <v>29</v>
      </c>
      <c r="P683" s="1" t="s">
        <v>39</v>
      </c>
      <c r="Q683" s="1" t="s">
        <v>23</v>
      </c>
      <c r="R683">
        <v>0.52001512293970575</v>
      </c>
    </row>
    <row r="684" spans="1:18" x14ac:dyDescent="0.2">
      <c r="A684" s="1">
        <v>123651</v>
      </c>
      <c r="B684" s="1" t="s">
        <v>757</v>
      </c>
      <c r="C684" s="1" t="s">
        <v>33</v>
      </c>
      <c r="D684" s="1">
        <v>0.62439999999999996</v>
      </c>
      <c r="E684" s="1">
        <v>1933</v>
      </c>
      <c r="F684" s="1">
        <v>41700</v>
      </c>
      <c r="G684" s="1">
        <v>0.56769999999999998</v>
      </c>
      <c r="H684" s="1">
        <v>0.7006</v>
      </c>
      <c r="I684" s="1">
        <v>0.43780000000000002</v>
      </c>
      <c r="J684" s="1">
        <v>59541</v>
      </c>
      <c r="K684" s="1">
        <v>22000</v>
      </c>
      <c r="L684" s="1">
        <v>9494</v>
      </c>
      <c r="M684" s="1">
        <v>13</v>
      </c>
      <c r="N684" s="1" t="s">
        <v>20</v>
      </c>
      <c r="O684" s="1" t="s">
        <v>29</v>
      </c>
      <c r="P684" s="1" t="s">
        <v>22</v>
      </c>
      <c r="Q684" s="1" t="s">
        <v>23</v>
      </c>
      <c r="R684">
        <v>0.51955924785362106</v>
      </c>
    </row>
    <row r="685" spans="1:18" x14ac:dyDescent="0.2">
      <c r="A685" s="1">
        <v>207847</v>
      </c>
      <c r="B685" s="1" t="s">
        <v>758</v>
      </c>
      <c r="C685" s="1" t="s">
        <v>224</v>
      </c>
      <c r="D685" s="1">
        <v>0.76429999999999998</v>
      </c>
      <c r="E685" s="1">
        <v>3018</v>
      </c>
      <c r="F685" s="1">
        <v>16740</v>
      </c>
      <c r="G685" s="1">
        <v>0.31540000000000001</v>
      </c>
      <c r="H685" s="1">
        <v>0.63429999999999997</v>
      </c>
      <c r="I685" s="1">
        <v>0.41599999999999998</v>
      </c>
      <c r="J685" s="1">
        <v>45079</v>
      </c>
      <c r="K685" s="1">
        <v>17000</v>
      </c>
      <c r="L685" s="1">
        <v>7173</v>
      </c>
      <c r="M685" s="1">
        <v>25</v>
      </c>
      <c r="N685" s="1" t="s">
        <v>28</v>
      </c>
      <c r="O685" s="1" t="s">
        <v>42</v>
      </c>
      <c r="P685" s="1" t="s">
        <v>30</v>
      </c>
      <c r="Q685" s="1" t="s">
        <v>31</v>
      </c>
      <c r="R685">
        <v>0.51890034542475372</v>
      </c>
    </row>
    <row r="686" spans="1:18" x14ac:dyDescent="0.2">
      <c r="A686" s="1">
        <v>191205</v>
      </c>
      <c r="B686" s="1" t="s">
        <v>759</v>
      </c>
      <c r="C686" s="1" t="s">
        <v>58</v>
      </c>
      <c r="D686" s="1">
        <v>0.53820000000000001</v>
      </c>
      <c r="E686" s="1">
        <v>547</v>
      </c>
      <c r="F686" s="1">
        <v>30250</v>
      </c>
      <c r="G686" s="1">
        <v>0.55320000000000003</v>
      </c>
      <c r="H686" s="1">
        <v>0.6966</v>
      </c>
      <c r="I686" s="1">
        <v>0.34439999999999998</v>
      </c>
      <c r="J686" s="1">
        <v>35887</v>
      </c>
      <c r="K686" s="1">
        <v>21500</v>
      </c>
      <c r="L686" s="1">
        <v>5870</v>
      </c>
      <c r="M686" s="1">
        <v>11</v>
      </c>
      <c r="N686" s="1" t="s">
        <v>142</v>
      </c>
      <c r="O686" s="1" t="s">
        <v>21</v>
      </c>
      <c r="P686" s="1" t="s">
        <v>39</v>
      </c>
      <c r="Q686" s="1" t="s">
        <v>31</v>
      </c>
      <c r="R686">
        <v>0.51885394161020892</v>
      </c>
    </row>
    <row r="687" spans="1:18" x14ac:dyDescent="0.2">
      <c r="A687" s="1">
        <v>167996</v>
      </c>
      <c r="B687" s="1" t="s">
        <v>760</v>
      </c>
      <c r="C687" s="1" t="s">
        <v>129</v>
      </c>
      <c r="D687" s="1">
        <v>0.66279999999999994</v>
      </c>
      <c r="E687" s="1">
        <v>2528</v>
      </c>
      <c r="F687" s="1">
        <v>57490</v>
      </c>
      <c r="G687" s="1">
        <v>0.76</v>
      </c>
      <c r="H687" s="1">
        <v>0.83960000000000001</v>
      </c>
      <c r="I687" s="1">
        <v>0.1706</v>
      </c>
      <c r="J687" s="1">
        <v>77745</v>
      </c>
      <c r="K687" s="1">
        <v>25000</v>
      </c>
      <c r="L687" s="1">
        <v>10720</v>
      </c>
      <c r="M687" s="1">
        <v>12</v>
      </c>
      <c r="N687" s="1" t="s">
        <v>20</v>
      </c>
      <c r="O687" s="1" t="s">
        <v>21</v>
      </c>
      <c r="P687" s="1" t="s">
        <v>39</v>
      </c>
      <c r="Q687" s="1" t="s">
        <v>23</v>
      </c>
      <c r="R687">
        <v>0.51874104836748358</v>
      </c>
    </row>
    <row r="688" spans="1:18" x14ac:dyDescent="0.2">
      <c r="A688" s="1">
        <v>236328</v>
      </c>
      <c r="B688" s="1" t="s">
        <v>761</v>
      </c>
      <c r="C688" s="1" t="s">
        <v>171</v>
      </c>
      <c r="D688" s="1">
        <v>0.72250000000000003</v>
      </c>
      <c r="E688" s="1">
        <v>1594</v>
      </c>
      <c r="F688" s="1">
        <v>62898</v>
      </c>
      <c r="G688" s="1">
        <v>0.67989999999999995</v>
      </c>
      <c r="H688" s="1">
        <v>0.84019999999999995</v>
      </c>
      <c r="I688" s="1">
        <v>0.17280000000000001</v>
      </c>
      <c r="J688" s="1">
        <v>69594</v>
      </c>
      <c r="K688" s="1">
        <v>25000</v>
      </c>
      <c r="L688" s="1">
        <v>10726</v>
      </c>
      <c r="M688" s="1">
        <v>10</v>
      </c>
      <c r="N688" s="1" t="s">
        <v>20</v>
      </c>
      <c r="O688" s="1" t="s">
        <v>29</v>
      </c>
      <c r="P688" s="1" t="s">
        <v>22</v>
      </c>
      <c r="Q688" s="1" t="s">
        <v>23</v>
      </c>
      <c r="R688">
        <v>0.5186252497657895</v>
      </c>
    </row>
    <row r="689" spans="1:18" x14ac:dyDescent="0.2">
      <c r="A689" s="1">
        <v>199032</v>
      </c>
      <c r="B689" s="1" t="s">
        <v>762</v>
      </c>
      <c r="C689" s="1" t="s">
        <v>86</v>
      </c>
      <c r="D689" s="1">
        <v>0.69199999999999995</v>
      </c>
      <c r="E689" s="1">
        <v>762</v>
      </c>
      <c r="F689" s="1">
        <v>36450</v>
      </c>
      <c r="G689" s="1">
        <v>0.50309999999999999</v>
      </c>
      <c r="H689" s="1">
        <v>0.58879999999999999</v>
      </c>
      <c r="I689" s="1">
        <v>0.39129999999999998</v>
      </c>
      <c r="J689" s="1">
        <v>45151</v>
      </c>
      <c r="K689" s="1">
        <v>25813</v>
      </c>
      <c r="L689" s="1">
        <v>6390</v>
      </c>
      <c r="M689" s="1">
        <v>11</v>
      </c>
      <c r="N689" s="1" t="s">
        <v>20</v>
      </c>
      <c r="O689" s="1" t="s">
        <v>21</v>
      </c>
      <c r="P689" s="1" t="s">
        <v>30</v>
      </c>
      <c r="Q689" s="1" t="s">
        <v>31</v>
      </c>
      <c r="R689">
        <v>0.51801256406817686</v>
      </c>
    </row>
    <row r="690" spans="1:18" x14ac:dyDescent="0.2">
      <c r="A690" s="1">
        <v>151801</v>
      </c>
      <c r="B690" s="1" t="s">
        <v>763</v>
      </c>
      <c r="C690" s="1" t="s">
        <v>102</v>
      </c>
      <c r="D690" s="1">
        <v>0.88939999999999997</v>
      </c>
      <c r="E690" s="1">
        <v>1974</v>
      </c>
      <c r="F690" s="1">
        <v>32352</v>
      </c>
      <c r="G690" s="1">
        <v>0.66710000000000003</v>
      </c>
      <c r="H690" s="1">
        <v>0.82899999999999996</v>
      </c>
      <c r="I690" s="1">
        <v>0.27079999999999999</v>
      </c>
      <c r="J690" s="1">
        <v>59986</v>
      </c>
      <c r="K690" s="1">
        <v>24250</v>
      </c>
      <c r="L690" s="1">
        <v>8247</v>
      </c>
      <c r="M690" s="1">
        <v>12</v>
      </c>
      <c r="N690" s="1" t="s">
        <v>20</v>
      </c>
      <c r="O690" s="1" t="s">
        <v>42</v>
      </c>
      <c r="P690" s="1" t="s">
        <v>22</v>
      </c>
      <c r="Q690" s="1" t="s">
        <v>23</v>
      </c>
      <c r="R690">
        <v>0.51794256461933474</v>
      </c>
    </row>
    <row r="691" spans="1:18" x14ac:dyDescent="0.2">
      <c r="A691" s="1">
        <v>214148</v>
      </c>
      <c r="B691" s="1" t="s">
        <v>764</v>
      </c>
      <c r="C691" s="1" t="s">
        <v>98</v>
      </c>
      <c r="D691" s="1">
        <v>0.56459999999999999</v>
      </c>
      <c r="E691" s="1">
        <v>535</v>
      </c>
      <c r="F691" s="1">
        <v>52812</v>
      </c>
      <c r="G691" s="1">
        <v>0.57140000000000002</v>
      </c>
      <c r="H691" s="1">
        <v>0.80559999999999998</v>
      </c>
      <c r="I691" s="1">
        <v>0.43330000000000002</v>
      </c>
      <c r="J691" s="1">
        <v>37839</v>
      </c>
      <c r="K691" s="1">
        <v>26000</v>
      </c>
      <c r="L691" s="1">
        <v>8081</v>
      </c>
      <c r="M691" s="1">
        <v>9</v>
      </c>
      <c r="N691" s="1" t="s">
        <v>20</v>
      </c>
      <c r="O691" s="1" t="s">
        <v>29</v>
      </c>
      <c r="P691" s="1" t="s">
        <v>39</v>
      </c>
      <c r="Q691" s="1" t="s">
        <v>31</v>
      </c>
      <c r="R691">
        <v>0.51755830590119078</v>
      </c>
    </row>
    <row r="692" spans="1:18" x14ac:dyDescent="0.2">
      <c r="A692" s="1">
        <v>176017</v>
      </c>
      <c r="B692" s="1" t="s">
        <v>765</v>
      </c>
      <c r="C692" s="1" t="s">
        <v>169</v>
      </c>
      <c r="D692" s="1">
        <v>0.96579999999999999</v>
      </c>
      <c r="E692" s="1">
        <v>21473</v>
      </c>
      <c r="F692" s="1">
        <v>28600</v>
      </c>
      <c r="G692" s="1">
        <v>0.71740000000000004</v>
      </c>
      <c r="H692" s="1">
        <v>0.87209999999999999</v>
      </c>
      <c r="I692" s="1">
        <v>0.21729999999999999</v>
      </c>
      <c r="J692" s="1">
        <v>50994</v>
      </c>
      <c r="K692" s="1">
        <v>20000</v>
      </c>
      <c r="L692" s="1">
        <v>10330</v>
      </c>
      <c r="M692" s="1">
        <v>18</v>
      </c>
      <c r="N692" s="1" t="s">
        <v>28</v>
      </c>
      <c r="O692" s="1" t="s">
        <v>42</v>
      </c>
      <c r="P692" s="1" t="s">
        <v>30</v>
      </c>
      <c r="Q692" s="1" t="s">
        <v>23</v>
      </c>
      <c r="R692">
        <v>0.51682504814418662</v>
      </c>
    </row>
    <row r="693" spans="1:18" x14ac:dyDescent="0.2">
      <c r="A693" s="1">
        <v>153320</v>
      </c>
      <c r="B693" s="1" t="s">
        <v>766</v>
      </c>
      <c r="C693" s="1" t="s">
        <v>81</v>
      </c>
      <c r="D693" s="1">
        <v>0.67520000000000002</v>
      </c>
      <c r="E693" s="1">
        <v>405</v>
      </c>
      <c r="F693" s="1">
        <v>20270</v>
      </c>
      <c r="G693" s="1">
        <v>0.67530000000000001</v>
      </c>
      <c r="H693" s="1">
        <v>0.76619999999999999</v>
      </c>
      <c r="I693" s="1">
        <v>0.3533</v>
      </c>
      <c r="J693" s="1">
        <v>40650</v>
      </c>
      <c r="K693" s="1">
        <v>12971</v>
      </c>
      <c r="L693" s="1">
        <v>5909</v>
      </c>
      <c r="M693" s="1">
        <v>14</v>
      </c>
      <c r="N693" s="1" t="s">
        <v>20</v>
      </c>
      <c r="O693" s="1" t="s">
        <v>21</v>
      </c>
      <c r="P693" s="1" t="s">
        <v>22</v>
      </c>
      <c r="Q693" s="1" t="s">
        <v>31</v>
      </c>
      <c r="R693">
        <v>0.51677029579991163</v>
      </c>
    </row>
    <row r="694" spans="1:18" x14ac:dyDescent="0.2">
      <c r="A694" s="1">
        <v>157447</v>
      </c>
      <c r="B694" s="1" t="s">
        <v>767</v>
      </c>
      <c r="C694" s="1" t="s">
        <v>104</v>
      </c>
      <c r="D694" s="1">
        <v>0.67649999999999999</v>
      </c>
      <c r="E694" s="1">
        <v>8246</v>
      </c>
      <c r="F694" s="1">
        <v>21912</v>
      </c>
      <c r="G694" s="1">
        <v>0.52239999999999998</v>
      </c>
      <c r="H694" s="1">
        <v>0.75509999999999999</v>
      </c>
      <c r="I694" s="1">
        <v>0.25230000000000002</v>
      </c>
      <c r="J694" s="1">
        <v>50220</v>
      </c>
      <c r="K694" s="1">
        <v>23000</v>
      </c>
      <c r="L694" s="1">
        <v>8693</v>
      </c>
      <c r="M694" s="1">
        <v>19</v>
      </c>
      <c r="N694" s="1" t="s">
        <v>28</v>
      </c>
      <c r="O694" s="1" t="s">
        <v>21</v>
      </c>
      <c r="P694" s="1" t="s">
        <v>30</v>
      </c>
      <c r="Q694" s="1" t="s">
        <v>23</v>
      </c>
      <c r="R694">
        <v>0.51522190654998545</v>
      </c>
    </row>
    <row r="695" spans="1:18" x14ac:dyDescent="0.2">
      <c r="A695" s="1">
        <v>225548</v>
      </c>
      <c r="B695" s="1" t="s">
        <v>768</v>
      </c>
      <c r="C695" s="1" t="s">
        <v>36</v>
      </c>
      <c r="D695" s="1">
        <v>0.67369999999999997</v>
      </c>
      <c r="E695" s="1">
        <v>713</v>
      </c>
      <c r="F695" s="1">
        <v>34982</v>
      </c>
      <c r="G695" s="1">
        <v>0.27979999999999999</v>
      </c>
      <c r="H695" s="1">
        <v>0.51739999999999997</v>
      </c>
      <c r="I695" s="1">
        <v>0.44269999999999998</v>
      </c>
      <c r="J695" s="1">
        <v>48376</v>
      </c>
      <c r="K695" s="1">
        <v>26793</v>
      </c>
      <c r="L695" s="1">
        <v>6842</v>
      </c>
      <c r="M695" s="1">
        <v>10</v>
      </c>
      <c r="N695" s="1" t="s">
        <v>20</v>
      </c>
      <c r="O695" s="1" t="s">
        <v>42</v>
      </c>
      <c r="P695" s="1" t="s">
        <v>30</v>
      </c>
      <c r="Q695" s="1" t="s">
        <v>31</v>
      </c>
      <c r="R695">
        <v>0.51481829792715161</v>
      </c>
    </row>
    <row r="696" spans="1:18" x14ac:dyDescent="0.2">
      <c r="A696" s="1">
        <v>196112</v>
      </c>
      <c r="B696" s="1" t="s">
        <v>769</v>
      </c>
      <c r="C696" s="1" t="s">
        <v>58</v>
      </c>
      <c r="D696" s="1">
        <v>0.8135</v>
      </c>
      <c r="E696" s="1">
        <v>1849</v>
      </c>
      <c r="F696" s="1">
        <v>21215</v>
      </c>
      <c r="G696" s="1">
        <v>0.55079999999999996</v>
      </c>
      <c r="H696" s="1">
        <v>0.6915</v>
      </c>
      <c r="I696" s="1">
        <v>0.39650000000000002</v>
      </c>
      <c r="J696" s="1">
        <v>64355</v>
      </c>
      <c r="K696" s="1">
        <v>17250</v>
      </c>
      <c r="L696" s="1">
        <v>9835</v>
      </c>
      <c r="M696" s="1">
        <v>13</v>
      </c>
      <c r="N696" s="1" t="s">
        <v>28</v>
      </c>
      <c r="O696" s="1" t="s">
        <v>21</v>
      </c>
      <c r="P696" s="1" t="s">
        <v>39</v>
      </c>
      <c r="Q696" s="1" t="s">
        <v>23</v>
      </c>
      <c r="R696">
        <v>0.514367934808033</v>
      </c>
    </row>
    <row r="697" spans="1:18" x14ac:dyDescent="0.2">
      <c r="A697" s="1">
        <v>216764</v>
      </c>
      <c r="B697" s="1" t="s">
        <v>770</v>
      </c>
      <c r="C697" s="1" t="s">
        <v>98</v>
      </c>
      <c r="D697" s="1">
        <v>0.78400000000000003</v>
      </c>
      <c r="E697" s="1">
        <v>14164</v>
      </c>
      <c r="F697" s="1">
        <v>22599</v>
      </c>
      <c r="G697" s="1">
        <v>0.70509999999999995</v>
      </c>
      <c r="H697" s="1">
        <v>0.83109999999999995</v>
      </c>
      <c r="I697" s="1">
        <v>0.254</v>
      </c>
      <c r="J697" s="1">
        <v>61258</v>
      </c>
      <c r="K697" s="1">
        <v>23500</v>
      </c>
      <c r="L697" s="1">
        <v>11216</v>
      </c>
      <c r="M697" s="1">
        <v>20</v>
      </c>
      <c r="N697" s="1" t="s">
        <v>28</v>
      </c>
      <c r="O697" s="1" t="s">
        <v>21</v>
      </c>
      <c r="P697" s="1" t="s">
        <v>39</v>
      </c>
      <c r="Q697" s="1" t="s">
        <v>23</v>
      </c>
      <c r="R697">
        <v>0.51386068024667875</v>
      </c>
    </row>
    <row r="698" spans="1:18" x14ac:dyDescent="0.2">
      <c r="A698" s="1">
        <v>166452</v>
      </c>
      <c r="B698" s="1" t="s">
        <v>771</v>
      </c>
      <c r="C698" s="1" t="s">
        <v>129</v>
      </c>
      <c r="D698" s="1">
        <v>0.96870000000000001</v>
      </c>
      <c r="E698" s="1">
        <v>1122</v>
      </c>
      <c r="F698" s="1">
        <v>34256</v>
      </c>
      <c r="G698" s="1">
        <v>0.58020000000000005</v>
      </c>
      <c r="H698" s="1">
        <v>0.7228</v>
      </c>
      <c r="I698" s="1">
        <v>0.30549999999999999</v>
      </c>
      <c r="J698" s="1">
        <v>51173</v>
      </c>
      <c r="K698" s="1">
        <v>21000</v>
      </c>
      <c r="L698" s="1">
        <v>8813</v>
      </c>
      <c r="M698" s="1">
        <v>10</v>
      </c>
      <c r="N698" s="1" t="s">
        <v>20</v>
      </c>
      <c r="O698" s="1" t="s">
        <v>29</v>
      </c>
      <c r="P698" s="1" t="s">
        <v>39</v>
      </c>
      <c r="Q698" s="1" t="s">
        <v>23</v>
      </c>
      <c r="R698">
        <v>0.51287378138454909</v>
      </c>
    </row>
    <row r="699" spans="1:18" x14ac:dyDescent="0.2">
      <c r="A699" s="1">
        <v>230603</v>
      </c>
      <c r="B699" s="1" t="s">
        <v>772</v>
      </c>
      <c r="C699" s="1" t="s">
        <v>286</v>
      </c>
      <c r="D699" s="1">
        <v>0.81789999999999996</v>
      </c>
      <c r="E699" s="1">
        <v>9289</v>
      </c>
      <c r="F699" s="1">
        <v>21192</v>
      </c>
      <c r="G699" s="1">
        <v>0.60670000000000002</v>
      </c>
      <c r="H699" s="1">
        <v>0.75519999999999998</v>
      </c>
      <c r="I699" s="1">
        <v>0.24879999999999999</v>
      </c>
      <c r="J699" s="1">
        <v>50296</v>
      </c>
      <c r="K699" s="1">
        <v>12500</v>
      </c>
      <c r="L699" s="1">
        <v>8847</v>
      </c>
      <c r="M699" s="1">
        <v>22</v>
      </c>
      <c r="N699" s="1" t="s">
        <v>28</v>
      </c>
      <c r="O699" s="1" t="s">
        <v>42</v>
      </c>
      <c r="P699" s="1" t="s">
        <v>22</v>
      </c>
      <c r="Q699" s="1" t="s">
        <v>23</v>
      </c>
      <c r="R699">
        <v>0.51283382806634947</v>
      </c>
    </row>
    <row r="700" spans="1:18" x14ac:dyDescent="0.2">
      <c r="A700" s="1">
        <v>460871</v>
      </c>
      <c r="B700" s="1" t="s">
        <v>773</v>
      </c>
      <c r="C700" s="1" t="s">
        <v>52</v>
      </c>
      <c r="D700" s="1">
        <v>0.9</v>
      </c>
      <c r="E700" s="1">
        <v>557</v>
      </c>
      <c r="F700" s="1">
        <v>20785</v>
      </c>
      <c r="G700" s="1">
        <v>1</v>
      </c>
      <c r="H700" s="1">
        <v>1</v>
      </c>
      <c r="I700" s="1">
        <v>0.44440000000000002</v>
      </c>
      <c r="J700" s="1">
        <v>92405</v>
      </c>
      <c r="K700" s="1">
        <v>20919</v>
      </c>
      <c r="L700" s="1">
        <v>8978</v>
      </c>
      <c r="M700" s="1">
        <v>9</v>
      </c>
      <c r="N700" s="1" t="s">
        <v>142</v>
      </c>
      <c r="O700" s="1" t="s">
        <v>21</v>
      </c>
      <c r="P700" s="1" t="s">
        <v>30</v>
      </c>
      <c r="Q700" s="1" t="s">
        <v>23</v>
      </c>
      <c r="R700">
        <v>0.5113120287720655</v>
      </c>
    </row>
    <row r="701" spans="1:18" x14ac:dyDescent="0.2">
      <c r="A701" s="1">
        <v>187967</v>
      </c>
      <c r="B701" s="1" t="s">
        <v>774</v>
      </c>
      <c r="C701" s="1" t="s">
        <v>436</v>
      </c>
      <c r="D701" s="1">
        <v>0.44490000000000002</v>
      </c>
      <c r="E701" s="1">
        <v>995</v>
      </c>
      <c r="F701" s="1">
        <v>27247</v>
      </c>
      <c r="G701" s="1">
        <v>0.57050000000000001</v>
      </c>
      <c r="H701" s="1">
        <v>0.77029999999999998</v>
      </c>
      <c r="I701" s="1">
        <v>0.29499999999999998</v>
      </c>
      <c r="J701" s="1">
        <v>76489</v>
      </c>
      <c r="K701" s="1">
        <v>19085</v>
      </c>
      <c r="L701" s="1">
        <v>10264</v>
      </c>
      <c r="M701" s="1">
        <v>9</v>
      </c>
      <c r="N701" s="1" t="s">
        <v>28</v>
      </c>
      <c r="O701" s="1" t="s">
        <v>42</v>
      </c>
      <c r="P701" s="1" t="s">
        <v>22</v>
      </c>
      <c r="Q701" s="1" t="s">
        <v>23</v>
      </c>
      <c r="R701">
        <v>0.51042649928129202</v>
      </c>
    </row>
    <row r="702" spans="1:18" x14ac:dyDescent="0.2">
      <c r="A702" s="1">
        <v>153001</v>
      </c>
      <c r="B702" s="1" t="s">
        <v>775</v>
      </c>
      <c r="C702" s="1" t="s">
        <v>81</v>
      </c>
      <c r="D702" s="1">
        <v>0.77610000000000001</v>
      </c>
      <c r="E702" s="1">
        <v>1366</v>
      </c>
      <c r="F702" s="1">
        <v>41798</v>
      </c>
      <c r="G702" s="1">
        <v>0.6169</v>
      </c>
      <c r="H702" s="1">
        <v>0.76039999999999996</v>
      </c>
      <c r="I702" s="1">
        <v>0.43759999999999999</v>
      </c>
      <c r="J702" s="1">
        <v>49156</v>
      </c>
      <c r="K702" s="1">
        <v>25000</v>
      </c>
      <c r="L702" s="1">
        <v>6912</v>
      </c>
      <c r="M702" s="1">
        <v>13</v>
      </c>
      <c r="N702" s="1" t="s">
        <v>20</v>
      </c>
      <c r="O702" s="1" t="s">
        <v>42</v>
      </c>
      <c r="P702" s="1" t="s">
        <v>22</v>
      </c>
      <c r="Q702" s="1" t="s">
        <v>31</v>
      </c>
      <c r="R702">
        <v>0.51039563353081863</v>
      </c>
    </row>
    <row r="703" spans="1:18" x14ac:dyDescent="0.2">
      <c r="A703" s="1">
        <v>109785</v>
      </c>
      <c r="B703" s="1" t="s">
        <v>776</v>
      </c>
      <c r="C703" s="1" t="s">
        <v>33</v>
      </c>
      <c r="D703" s="1">
        <v>0.88429999999999997</v>
      </c>
      <c r="E703" s="1">
        <v>2759</v>
      </c>
      <c r="F703" s="1">
        <v>44458</v>
      </c>
      <c r="G703" s="1">
        <v>0.6179</v>
      </c>
      <c r="H703" s="1">
        <v>0.84019999999999995</v>
      </c>
      <c r="I703" s="1">
        <v>0.35149999999999998</v>
      </c>
      <c r="J703" s="1">
        <v>66677</v>
      </c>
      <c r="K703" s="1">
        <v>23219</v>
      </c>
      <c r="L703" s="1">
        <v>10419</v>
      </c>
      <c r="M703" s="1">
        <v>9</v>
      </c>
      <c r="N703" s="1" t="s">
        <v>20</v>
      </c>
      <c r="O703" s="1" t="s">
        <v>21</v>
      </c>
      <c r="P703" s="1" t="s">
        <v>22</v>
      </c>
      <c r="Q703" s="1" t="s">
        <v>23</v>
      </c>
      <c r="R703">
        <v>0.50970630200750755</v>
      </c>
    </row>
    <row r="704" spans="1:18" x14ac:dyDescent="0.2">
      <c r="A704" s="1">
        <v>207041</v>
      </c>
      <c r="B704" s="1" t="s">
        <v>777</v>
      </c>
      <c r="C704" s="1" t="s">
        <v>224</v>
      </c>
      <c r="D704" s="1">
        <v>0.58150000000000002</v>
      </c>
      <c r="E704" s="1">
        <v>2467</v>
      </c>
      <c r="F704" s="1">
        <v>17842</v>
      </c>
      <c r="G704" s="1">
        <v>0.34420000000000001</v>
      </c>
      <c r="H704" s="1">
        <v>0.60609999999999997</v>
      </c>
      <c r="I704" s="1">
        <v>0.45</v>
      </c>
      <c r="J704" s="1">
        <v>44962</v>
      </c>
      <c r="K704" s="1">
        <v>17671</v>
      </c>
      <c r="L704" s="1">
        <v>5650</v>
      </c>
      <c r="M704" s="1">
        <v>18</v>
      </c>
      <c r="N704" s="1" t="s">
        <v>28</v>
      </c>
      <c r="O704" s="1" t="s">
        <v>42</v>
      </c>
      <c r="P704" s="1" t="s">
        <v>30</v>
      </c>
      <c r="Q704" s="1" t="s">
        <v>31</v>
      </c>
      <c r="R704">
        <v>0.50856925343730741</v>
      </c>
    </row>
    <row r="705" spans="1:18" x14ac:dyDescent="0.2">
      <c r="A705" s="1">
        <v>196291</v>
      </c>
      <c r="B705" s="1" t="s">
        <v>778</v>
      </c>
      <c r="C705" s="1" t="s">
        <v>58</v>
      </c>
      <c r="D705" s="1">
        <v>0.72409999999999997</v>
      </c>
      <c r="E705" s="1">
        <v>1285</v>
      </c>
      <c r="F705" s="1">
        <v>19159</v>
      </c>
      <c r="G705" s="1">
        <v>0.64390000000000003</v>
      </c>
      <c r="H705" s="1">
        <v>0.83460000000000001</v>
      </c>
      <c r="I705" s="1">
        <v>0.22120000000000001</v>
      </c>
      <c r="J705" s="1">
        <v>95951</v>
      </c>
      <c r="K705" s="1">
        <v>23250</v>
      </c>
      <c r="L705" s="1">
        <v>8873</v>
      </c>
      <c r="M705" s="1">
        <v>15</v>
      </c>
      <c r="N705" s="1" t="s">
        <v>28</v>
      </c>
      <c r="O705" s="1" t="s">
        <v>29</v>
      </c>
      <c r="P705" s="1" t="s">
        <v>39</v>
      </c>
      <c r="Q705" s="1" t="s">
        <v>23</v>
      </c>
      <c r="R705">
        <v>0.50855099332614595</v>
      </c>
    </row>
    <row r="706" spans="1:18" x14ac:dyDescent="0.2">
      <c r="A706" s="1">
        <v>191968</v>
      </c>
      <c r="B706" s="1" t="s">
        <v>779</v>
      </c>
      <c r="C706" s="1" t="s">
        <v>58</v>
      </c>
      <c r="D706" s="1">
        <v>0.69010000000000005</v>
      </c>
      <c r="E706" s="1">
        <v>4242</v>
      </c>
      <c r="F706" s="1">
        <v>53540</v>
      </c>
      <c r="G706" s="1">
        <v>0.76229999999999998</v>
      </c>
      <c r="H706" s="1">
        <v>0.84670000000000001</v>
      </c>
      <c r="I706" s="1">
        <v>0.1905</v>
      </c>
      <c r="J706" s="1">
        <v>63548</v>
      </c>
      <c r="K706" s="1">
        <v>24000</v>
      </c>
      <c r="L706" s="1">
        <v>9844</v>
      </c>
      <c r="M706" s="1">
        <v>10</v>
      </c>
      <c r="N706" s="1" t="s">
        <v>20</v>
      </c>
      <c r="O706" s="1" t="s">
        <v>21</v>
      </c>
      <c r="P706" s="1" t="s">
        <v>39</v>
      </c>
      <c r="Q706" s="1" t="s">
        <v>23</v>
      </c>
      <c r="R706">
        <v>0.50852665959743393</v>
      </c>
    </row>
    <row r="707" spans="1:18" x14ac:dyDescent="0.2">
      <c r="A707" s="1">
        <v>212674</v>
      </c>
      <c r="B707" s="1" t="s">
        <v>780</v>
      </c>
      <c r="C707" s="1" t="s">
        <v>98</v>
      </c>
      <c r="D707" s="1">
        <v>0.38900000000000001</v>
      </c>
      <c r="E707" s="1">
        <v>2099</v>
      </c>
      <c r="F707" s="1">
        <v>66640</v>
      </c>
      <c r="G707" s="1">
        <v>0.82530000000000003</v>
      </c>
      <c r="H707" s="1">
        <v>0.91210000000000002</v>
      </c>
      <c r="I707" s="1">
        <v>0.2099</v>
      </c>
      <c r="J707" s="1">
        <v>71517</v>
      </c>
      <c r="K707" s="1">
        <v>26999</v>
      </c>
      <c r="L707" s="1">
        <v>10433</v>
      </c>
      <c r="M707" s="1">
        <v>10</v>
      </c>
      <c r="N707" s="1" t="s">
        <v>20</v>
      </c>
      <c r="O707" s="1" t="s">
        <v>42</v>
      </c>
      <c r="P707" s="1" t="s">
        <v>39</v>
      </c>
      <c r="Q707" s="1" t="s">
        <v>23</v>
      </c>
      <c r="R707">
        <v>0.50782081671030788</v>
      </c>
    </row>
    <row r="708" spans="1:18" x14ac:dyDescent="0.2">
      <c r="A708" s="1">
        <v>199069</v>
      </c>
      <c r="B708" s="1" t="s">
        <v>781</v>
      </c>
      <c r="C708" s="1" t="s">
        <v>86</v>
      </c>
      <c r="D708" s="1">
        <v>0.75749999999999995</v>
      </c>
      <c r="E708" s="1">
        <v>1796</v>
      </c>
      <c r="F708" s="1">
        <v>27366</v>
      </c>
      <c r="G708" s="1">
        <v>0.51780000000000004</v>
      </c>
      <c r="H708" s="1">
        <v>0.71650000000000003</v>
      </c>
      <c r="I708" s="1">
        <v>0.4471</v>
      </c>
      <c r="J708" s="1">
        <v>47139</v>
      </c>
      <c r="K708" s="1">
        <v>27209</v>
      </c>
      <c r="L708" s="1">
        <v>7025</v>
      </c>
      <c r="M708" s="1">
        <v>17</v>
      </c>
      <c r="N708" s="1" t="s">
        <v>20</v>
      </c>
      <c r="O708" s="1" t="s">
        <v>42</v>
      </c>
      <c r="P708" s="1" t="s">
        <v>30</v>
      </c>
      <c r="Q708" s="1" t="s">
        <v>31</v>
      </c>
      <c r="R708">
        <v>0.50751425307583098</v>
      </c>
    </row>
    <row r="709" spans="1:18" x14ac:dyDescent="0.2">
      <c r="A709" s="1">
        <v>191533</v>
      </c>
      <c r="B709" s="1" t="s">
        <v>782</v>
      </c>
      <c r="C709" s="1" t="s">
        <v>58</v>
      </c>
      <c r="D709" s="1">
        <v>0.69599999999999995</v>
      </c>
      <c r="E709" s="1">
        <v>1087</v>
      </c>
      <c r="F709" s="1">
        <v>54962</v>
      </c>
      <c r="G709" s="1">
        <v>0.53320000000000001</v>
      </c>
      <c r="H709" s="1">
        <v>0.74439999999999995</v>
      </c>
      <c r="I709" s="1">
        <v>0.35610000000000003</v>
      </c>
      <c r="J709" s="1">
        <v>61107</v>
      </c>
      <c r="K709" s="1">
        <v>27000</v>
      </c>
      <c r="L709" s="1">
        <v>7918</v>
      </c>
      <c r="M709" s="1">
        <v>10</v>
      </c>
      <c r="N709" s="1" t="s">
        <v>20</v>
      </c>
      <c r="O709" s="1" t="s">
        <v>42</v>
      </c>
      <c r="P709" s="1" t="s">
        <v>39</v>
      </c>
      <c r="Q709" s="1" t="s">
        <v>23</v>
      </c>
      <c r="R709">
        <v>0.50473329631077757</v>
      </c>
    </row>
    <row r="710" spans="1:18" x14ac:dyDescent="0.2">
      <c r="A710" s="1">
        <v>204264</v>
      </c>
      <c r="B710" s="1" t="s">
        <v>783</v>
      </c>
      <c r="C710" s="1" t="s">
        <v>19</v>
      </c>
      <c r="D710" s="1">
        <v>0.81840000000000002</v>
      </c>
      <c r="E710" s="1">
        <v>1376</v>
      </c>
      <c r="F710" s="1">
        <v>32665</v>
      </c>
      <c r="G710" s="1">
        <v>0.56369999999999998</v>
      </c>
      <c r="H710" s="1">
        <v>0.73460000000000003</v>
      </c>
      <c r="I710" s="1">
        <v>0.3911</v>
      </c>
      <c r="J710" s="1">
        <v>48440</v>
      </c>
      <c r="K710" s="1">
        <v>25369</v>
      </c>
      <c r="L710" s="1">
        <v>7587</v>
      </c>
      <c r="M710" s="1">
        <v>14</v>
      </c>
      <c r="N710" s="1" t="s">
        <v>20</v>
      </c>
      <c r="O710" s="1" t="s">
        <v>42</v>
      </c>
      <c r="P710" s="1" t="s">
        <v>22</v>
      </c>
      <c r="Q710" s="1" t="s">
        <v>31</v>
      </c>
      <c r="R710">
        <v>0.50465138189383874</v>
      </c>
    </row>
    <row r="711" spans="1:18" x14ac:dyDescent="0.2">
      <c r="A711" s="1">
        <v>156295</v>
      </c>
      <c r="B711" s="1" t="s">
        <v>784</v>
      </c>
      <c r="C711" s="1" t="s">
        <v>104</v>
      </c>
      <c r="D711" s="1">
        <v>0.19339999999999999</v>
      </c>
      <c r="E711" s="1">
        <v>1513</v>
      </c>
      <c r="F711" s="1">
        <v>51658</v>
      </c>
      <c r="G711" s="1">
        <v>0.58220000000000005</v>
      </c>
      <c r="H711" s="1">
        <v>0.79179999999999995</v>
      </c>
      <c r="I711" s="1">
        <v>0.83730000000000004</v>
      </c>
      <c r="J711" s="1">
        <v>43150</v>
      </c>
      <c r="K711" s="1">
        <v>3591</v>
      </c>
      <c r="L711" s="1">
        <v>9259</v>
      </c>
      <c r="M711" s="1">
        <v>9</v>
      </c>
      <c r="N711" s="1" t="s">
        <v>20</v>
      </c>
      <c r="O711" s="1" t="s">
        <v>42</v>
      </c>
      <c r="P711" s="1" t="s">
        <v>30</v>
      </c>
      <c r="Q711" s="1" t="s">
        <v>31</v>
      </c>
      <c r="R711">
        <v>0.5041744086920491</v>
      </c>
    </row>
    <row r="712" spans="1:18" x14ac:dyDescent="0.2">
      <c r="A712" s="1">
        <v>162760</v>
      </c>
      <c r="B712" s="1" t="s">
        <v>785</v>
      </c>
      <c r="C712" s="1" t="s">
        <v>61</v>
      </c>
      <c r="D712" s="1">
        <v>0.77769999999999995</v>
      </c>
      <c r="E712" s="1">
        <v>1194</v>
      </c>
      <c r="F712" s="1">
        <v>47700</v>
      </c>
      <c r="G712" s="1">
        <v>0.56899999999999995</v>
      </c>
      <c r="H712" s="1">
        <v>0.67989999999999995</v>
      </c>
      <c r="I712" s="1">
        <v>0.37059999999999998</v>
      </c>
      <c r="J712" s="1">
        <v>57089</v>
      </c>
      <c r="K712" s="1">
        <v>25000</v>
      </c>
      <c r="L712" s="1">
        <v>8361</v>
      </c>
      <c r="M712" s="1">
        <v>10</v>
      </c>
      <c r="N712" s="1" t="s">
        <v>20</v>
      </c>
      <c r="O712" s="1" t="s">
        <v>29</v>
      </c>
      <c r="P712" s="1" t="s">
        <v>30</v>
      </c>
      <c r="Q712" s="1" t="s">
        <v>23</v>
      </c>
      <c r="R712">
        <v>0.50391281828765644</v>
      </c>
    </row>
    <row r="713" spans="1:18" x14ac:dyDescent="0.2">
      <c r="A713" s="1">
        <v>212115</v>
      </c>
      <c r="B713" s="1" t="s">
        <v>786</v>
      </c>
      <c r="C713" s="1" t="s">
        <v>98</v>
      </c>
      <c r="D713" s="1">
        <v>0.92049999999999998</v>
      </c>
      <c r="E713" s="1">
        <v>4814</v>
      </c>
      <c r="F713" s="1">
        <v>19502</v>
      </c>
      <c r="G713" s="1">
        <v>0.43120000000000003</v>
      </c>
      <c r="H713" s="1">
        <v>0.72130000000000005</v>
      </c>
      <c r="I713" s="1">
        <v>0.41489999999999999</v>
      </c>
      <c r="J713" s="1">
        <v>56148</v>
      </c>
      <c r="K713" s="1">
        <v>24218</v>
      </c>
      <c r="L713" s="1">
        <v>10957</v>
      </c>
      <c r="M713" s="1">
        <v>21</v>
      </c>
      <c r="N713" s="1" t="s">
        <v>28</v>
      </c>
      <c r="O713" s="1" t="s">
        <v>42</v>
      </c>
      <c r="P713" s="1" t="s">
        <v>39</v>
      </c>
      <c r="Q713" s="1" t="s">
        <v>23</v>
      </c>
      <c r="R713">
        <v>0.50349294439738701</v>
      </c>
    </row>
    <row r="714" spans="1:18" x14ac:dyDescent="0.2">
      <c r="A714" s="1">
        <v>486901</v>
      </c>
      <c r="B714" s="1" t="s">
        <v>787</v>
      </c>
      <c r="C714" s="1" t="s">
        <v>163</v>
      </c>
      <c r="D714" s="1">
        <v>0.72289999999999999</v>
      </c>
      <c r="E714" s="1">
        <v>818</v>
      </c>
      <c r="F714" s="1">
        <v>40450</v>
      </c>
      <c r="G714" s="1">
        <v>0.63429999999999997</v>
      </c>
      <c r="H714" s="1">
        <v>0.81510000000000005</v>
      </c>
      <c r="I714" s="1">
        <v>0.23980000000000001</v>
      </c>
      <c r="J714" s="1">
        <v>46641</v>
      </c>
      <c r="K714" s="1">
        <v>25219</v>
      </c>
      <c r="L714" s="1">
        <v>6980</v>
      </c>
      <c r="M714" s="1">
        <v>10</v>
      </c>
      <c r="N714" s="1" t="s">
        <v>20</v>
      </c>
      <c r="O714" s="1" t="s">
        <v>21</v>
      </c>
      <c r="P714" s="1" t="s">
        <v>30</v>
      </c>
      <c r="Q714" s="1" t="s">
        <v>31</v>
      </c>
      <c r="R714">
        <v>0.50182379754929096</v>
      </c>
    </row>
    <row r="715" spans="1:18" x14ac:dyDescent="0.2">
      <c r="A715" s="1">
        <v>102270</v>
      </c>
      <c r="B715" s="1" t="s">
        <v>788</v>
      </c>
      <c r="C715" s="1" t="s">
        <v>177</v>
      </c>
      <c r="D715" s="1">
        <v>0.62250000000000005</v>
      </c>
      <c r="E715" s="1">
        <v>706</v>
      </c>
      <c r="F715" s="1">
        <v>12126</v>
      </c>
      <c r="G715" s="1">
        <v>0.25</v>
      </c>
      <c r="H715" s="1">
        <v>0.52810000000000001</v>
      </c>
      <c r="I715" s="1">
        <v>0.76300000000000001</v>
      </c>
      <c r="J715" s="1">
        <v>35421</v>
      </c>
      <c r="K715" s="1">
        <v>29067</v>
      </c>
      <c r="L715" s="1">
        <v>6164</v>
      </c>
      <c r="M715" s="1">
        <v>13</v>
      </c>
      <c r="N715" s="1" t="s">
        <v>20</v>
      </c>
      <c r="O715" s="1" t="s">
        <v>29</v>
      </c>
      <c r="P715" s="1" t="s">
        <v>30</v>
      </c>
      <c r="Q715" s="1" t="s">
        <v>31</v>
      </c>
      <c r="R715">
        <v>0.49839496883317624</v>
      </c>
    </row>
    <row r="716" spans="1:18" x14ac:dyDescent="0.2">
      <c r="A716" s="1">
        <v>231651</v>
      </c>
      <c r="B716" s="1" t="s">
        <v>789</v>
      </c>
      <c r="C716" s="1" t="s">
        <v>52</v>
      </c>
      <c r="D716" s="1">
        <v>0.38119999999999998</v>
      </c>
      <c r="E716" s="1">
        <v>4729</v>
      </c>
      <c r="F716" s="1">
        <v>21650</v>
      </c>
      <c r="G716" s="1">
        <v>0.56920000000000004</v>
      </c>
      <c r="H716" s="1">
        <v>0.74580000000000002</v>
      </c>
      <c r="I716" s="1">
        <v>0.51149999999999995</v>
      </c>
      <c r="J716" s="1">
        <v>44498</v>
      </c>
      <c r="K716" s="1">
        <v>24534</v>
      </c>
      <c r="L716" s="1">
        <v>8375</v>
      </c>
      <c r="M716" s="1">
        <v>18</v>
      </c>
      <c r="N716" s="1" t="s">
        <v>20</v>
      </c>
      <c r="O716" s="1" t="s">
        <v>29</v>
      </c>
      <c r="P716" s="1" t="s">
        <v>30</v>
      </c>
      <c r="Q716" s="1" t="s">
        <v>31</v>
      </c>
      <c r="R716">
        <v>0.4977302255462942</v>
      </c>
    </row>
    <row r="717" spans="1:18" x14ac:dyDescent="0.2">
      <c r="A717" s="1">
        <v>143288</v>
      </c>
      <c r="B717" s="1" t="s">
        <v>790</v>
      </c>
      <c r="C717" s="1" t="s">
        <v>25</v>
      </c>
      <c r="D717" s="1">
        <v>0.63190000000000002</v>
      </c>
      <c r="E717" s="1">
        <v>471</v>
      </c>
      <c r="F717" s="1">
        <v>28149</v>
      </c>
      <c r="G717" s="1">
        <v>0.57489999999999997</v>
      </c>
      <c r="H717" s="1">
        <v>0.67210000000000003</v>
      </c>
      <c r="I717" s="1">
        <v>0.49869999999999998</v>
      </c>
      <c r="J717" s="1">
        <v>46802</v>
      </c>
      <c r="K717" s="1">
        <v>24242</v>
      </c>
      <c r="L717" s="1">
        <v>8514</v>
      </c>
      <c r="M717" s="1">
        <v>11</v>
      </c>
      <c r="N717" s="1" t="s">
        <v>20</v>
      </c>
      <c r="O717" s="1" t="s">
        <v>42</v>
      </c>
      <c r="P717" s="1" t="s">
        <v>22</v>
      </c>
      <c r="Q717" s="1" t="s">
        <v>31</v>
      </c>
      <c r="R717">
        <v>0.49740153155062694</v>
      </c>
    </row>
    <row r="718" spans="1:18" x14ac:dyDescent="0.2">
      <c r="A718" s="1">
        <v>147369</v>
      </c>
      <c r="B718" s="1" t="s">
        <v>791</v>
      </c>
      <c r="C718" s="1" t="s">
        <v>25</v>
      </c>
      <c r="D718" s="1">
        <v>0.82689999999999997</v>
      </c>
      <c r="E718" s="1">
        <v>1510</v>
      </c>
      <c r="F718" s="1">
        <v>15786</v>
      </c>
      <c r="G718" s="1">
        <v>0.62329999999999997</v>
      </c>
      <c r="H718" s="1">
        <v>0.83899999999999997</v>
      </c>
      <c r="I718" s="1">
        <v>0.36270000000000002</v>
      </c>
      <c r="J718" s="1">
        <v>45399</v>
      </c>
      <c r="K718" s="1">
        <v>18149</v>
      </c>
      <c r="L718" s="1">
        <v>9213</v>
      </c>
      <c r="M718" s="1">
        <v>14</v>
      </c>
      <c r="N718" s="1" t="s">
        <v>20</v>
      </c>
      <c r="O718" s="1" t="s">
        <v>29</v>
      </c>
      <c r="P718" s="1" t="s">
        <v>22</v>
      </c>
      <c r="Q718" s="1" t="s">
        <v>31</v>
      </c>
      <c r="R718">
        <v>0.49302762401594913</v>
      </c>
    </row>
    <row r="719" spans="1:18" x14ac:dyDescent="0.2">
      <c r="A719" s="1">
        <v>199111</v>
      </c>
      <c r="B719" s="1" t="s">
        <v>792</v>
      </c>
      <c r="C719" s="1" t="s">
        <v>86</v>
      </c>
      <c r="D719" s="1">
        <v>0.91920000000000002</v>
      </c>
      <c r="E719" s="1">
        <v>2910</v>
      </c>
      <c r="F719" s="1">
        <v>24849</v>
      </c>
      <c r="G719" s="1">
        <v>0.54479999999999995</v>
      </c>
      <c r="H719" s="1">
        <v>0.72089999999999999</v>
      </c>
      <c r="I719" s="1">
        <v>0.32369999999999999</v>
      </c>
      <c r="J719" s="1">
        <v>44030</v>
      </c>
      <c r="K719" s="1">
        <v>20500</v>
      </c>
      <c r="L719" s="1">
        <v>9155</v>
      </c>
      <c r="M719" s="1">
        <v>13</v>
      </c>
      <c r="N719" s="1" t="s">
        <v>28</v>
      </c>
      <c r="O719" s="1" t="s">
        <v>29</v>
      </c>
      <c r="P719" s="1" t="s">
        <v>30</v>
      </c>
      <c r="Q719" s="1" t="s">
        <v>31</v>
      </c>
      <c r="R719">
        <v>0.49144499472372094</v>
      </c>
    </row>
    <row r="720" spans="1:18" x14ac:dyDescent="0.2">
      <c r="A720" s="1">
        <v>221740</v>
      </c>
      <c r="B720" s="1" t="s">
        <v>793</v>
      </c>
      <c r="C720" s="1" t="s">
        <v>163</v>
      </c>
      <c r="D720" s="1">
        <v>0.81089999999999995</v>
      </c>
      <c r="E720" s="1">
        <v>10074</v>
      </c>
      <c r="F720" s="1">
        <v>18512</v>
      </c>
      <c r="G720" s="1">
        <v>0.50239999999999996</v>
      </c>
      <c r="H720" s="1">
        <v>0.72519999999999996</v>
      </c>
      <c r="I720" s="1">
        <v>0.32800000000000001</v>
      </c>
      <c r="J720" s="1">
        <v>51151</v>
      </c>
      <c r="K720" s="1">
        <v>19500</v>
      </c>
      <c r="L720" s="1">
        <v>10181</v>
      </c>
      <c r="M720" s="1">
        <v>18</v>
      </c>
      <c r="N720" s="1" t="s">
        <v>28</v>
      </c>
      <c r="O720" s="1" t="s">
        <v>29</v>
      </c>
      <c r="P720" s="1" t="s">
        <v>30</v>
      </c>
      <c r="Q720" s="1" t="s">
        <v>23</v>
      </c>
      <c r="R720">
        <v>0.49122721064032349</v>
      </c>
    </row>
    <row r="721" spans="1:18" x14ac:dyDescent="0.2">
      <c r="A721" s="1">
        <v>240107</v>
      </c>
      <c r="B721" s="1" t="s">
        <v>794</v>
      </c>
      <c r="C721" s="1" t="s">
        <v>50</v>
      </c>
      <c r="D721" s="1">
        <v>0.72430000000000005</v>
      </c>
      <c r="E721" s="1">
        <v>1249</v>
      </c>
      <c r="F721" s="1">
        <v>34250</v>
      </c>
      <c r="G721" s="1">
        <v>0.68379999999999996</v>
      </c>
      <c r="H721" s="1">
        <v>0.76190000000000002</v>
      </c>
      <c r="I721" s="1">
        <v>0.2626</v>
      </c>
      <c r="J721" s="1">
        <v>55660</v>
      </c>
      <c r="K721" s="1">
        <v>25000</v>
      </c>
      <c r="L721" s="1">
        <v>7309</v>
      </c>
      <c r="M721" s="1">
        <v>10</v>
      </c>
      <c r="N721" s="1" t="s">
        <v>20</v>
      </c>
      <c r="O721" s="1" t="s">
        <v>29</v>
      </c>
      <c r="P721" s="1" t="s">
        <v>22</v>
      </c>
      <c r="Q721" s="1" t="s">
        <v>23</v>
      </c>
      <c r="R721">
        <v>0.48998144802895027</v>
      </c>
    </row>
    <row r="722" spans="1:18" x14ac:dyDescent="0.2">
      <c r="A722" s="1">
        <v>204796</v>
      </c>
      <c r="B722" s="1" t="s">
        <v>795</v>
      </c>
      <c r="C722" s="1" t="s">
        <v>19</v>
      </c>
      <c r="D722" s="1">
        <v>0.60570000000000002</v>
      </c>
      <c r="E722" s="1">
        <v>45638</v>
      </c>
      <c r="F722" s="1">
        <v>40022</v>
      </c>
      <c r="G722" s="1">
        <v>0.87719999999999998</v>
      </c>
      <c r="H722" s="1">
        <v>0.94230000000000003</v>
      </c>
      <c r="I722" s="1">
        <v>0.2016</v>
      </c>
      <c r="J722" s="1">
        <v>60409</v>
      </c>
      <c r="K722" s="1">
        <v>19976</v>
      </c>
      <c r="L722" s="1">
        <v>14386</v>
      </c>
      <c r="M722" s="1">
        <v>16</v>
      </c>
      <c r="N722" s="1" t="s">
        <v>28</v>
      </c>
      <c r="O722" s="1" t="s">
        <v>29</v>
      </c>
      <c r="P722" s="1" t="s">
        <v>22</v>
      </c>
      <c r="Q722" s="1" t="s">
        <v>23</v>
      </c>
      <c r="R722">
        <v>0.48994867398199826</v>
      </c>
    </row>
    <row r="723" spans="1:18" x14ac:dyDescent="0.2">
      <c r="A723" s="1">
        <v>206941</v>
      </c>
      <c r="B723" s="1" t="s">
        <v>796</v>
      </c>
      <c r="C723" s="1" t="s">
        <v>224</v>
      </c>
      <c r="D723" s="1">
        <v>0.78120000000000001</v>
      </c>
      <c r="E723" s="1">
        <v>10170</v>
      </c>
      <c r="F723" s="1">
        <v>19704</v>
      </c>
      <c r="G723" s="1">
        <v>0.36759999999999998</v>
      </c>
      <c r="H723" s="1">
        <v>0.65229999999999999</v>
      </c>
      <c r="I723" s="1">
        <v>0.3649</v>
      </c>
      <c r="J723" s="1">
        <v>48351</v>
      </c>
      <c r="K723" s="1">
        <v>21000</v>
      </c>
      <c r="L723" s="1">
        <v>8207</v>
      </c>
      <c r="M723" s="1">
        <v>18</v>
      </c>
      <c r="N723" s="1" t="s">
        <v>28</v>
      </c>
      <c r="O723" s="1" t="s">
        <v>21</v>
      </c>
      <c r="P723" s="1" t="s">
        <v>30</v>
      </c>
      <c r="Q723" s="1" t="s">
        <v>31</v>
      </c>
      <c r="R723">
        <v>0.4898833537629893</v>
      </c>
    </row>
    <row r="724" spans="1:18" x14ac:dyDescent="0.2">
      <c r="A724" s="1">
        <v>196194</v>
      </c>
      <c r="B724" s="1" t="s">
        <v>797</v>
      </c>
      <c r="C724" s="1" t="s">
        <v>58</v>
      </c>
      <c r="D724" s="1">
        <v>0.80549999999999999</v>
      </c>
      <c r="E724" s="1">
        <v>5473</v>
      </c>
      <c r="F724" s="1">
        <v>18735</v>
      </c>
      <c r="G724" s="1">
        <v>0.60360000000000003</v>
      </c>
      <c r="H724" s="1">
        <v>0.70450000000000002</v>
      </c>
      <c r="I724" s="1">
        <v>0.39650000000000002</v>
      </c>
      <c r="J724" s="1">
        <v>57566</v>
      </c>
      <c r="K724" s="1">
        <v>20880</v>
      </c>
      <c r="L724" s="1">
        <v>8147</v>
      </c>
      <c r="M724" s="1">
        <v>15</v>
      </c>
      <c r="N724" s="1" t="s">
        <v>28</v>
      </c>
      <c r="O724" s="1" t="s">
        <v>42</v>
      </c>
      <c r="P724" s="1" t="s">
        <v>39</v>
      </c>
      <c r="Q724" s="1" t="s">
        <v>23</v>
      </c>
      <c r="R724">
        <v>0.48967333637988275</v>
      </c>
    </row>
    <row r="725" spans="1:18" x14ac:dyDescent="0.2">
      <c r="A725" s="1">
        <v>163462</v>
      </c>
      <c r="B725" s="1" t="s">
        <v>798</v>
      </c>
      <c r="C725" s="1" t="s">
        <v>61</v>
      </c>
      <c r="D725" s="1">
        <v>0.73809999999999998</v>
      </c>
      <c r="E725" s="1">
        <v>1768</v>
      </c>
      <c r="F725" s="1">
        <v>48630</v>
      </c>
      <c r="G725" s="1">
        <v>0.65390000000000004</v>
      </c>
      <c r="H725" s="1">
        <v>0.7077</v>
      </c>
      <c r="I725" s="1">
        <v>0.31130000000000002</v>
      </c>
      <c r="J725" s="1">
        <v>64072</v>
      </c>
      <c r="K725" s="1">
        <v>25391</v>
      </c>
      <c r="L725" s="1">
        <v>7399</v>
      </c>
      <c r="M725" s="1">
        <v>13</v>
      </c>
      <c r="N725" s="1" t="s">
        <v>20</v>
      </c>
      <c r="O725" s="1" t="s">
        <v>42</v>
      </c>
      <c r="P725" s="1" t="s">
        <v>30</v>
      </c>
      <c r="Q725" s="1" t="s">
        <v>23</v>
      </c>
      <c r="R725">
        <v>0.48965373350845798</v>
      </c>
    </row>
    <row r="726" spans="1:18" x14ac:dyDescent="0.2">
      <c r="A726" s="1">
        <v>184773</v>
      </c>
      <c r="B726" s="1" t="s">
        <v>799</v>
      </c>
      <c r="C726" s="1" t="s">
        <v>66</v>
      </c>
      <c r="D726" s="1">
        <v>0.78839999999999999</v>
      </c>
      <c r="E726" s="1">
        <v>1195</v>
      </c>
      <c r="F726" s="1">
        <v>37260</v>
      </c>
      <c r="G726" s="1">
        <v>0.53569999999999995</v>
      </c>
      <c r="H726" s="1">
        <v>0.7611</v>
      </c>
      <c r="I726" s="1">
        <v>0.33150000000000002</v>
      </c>
      <c r="J726" s="1">
        <v>53096</v>
      </c>
      <c r="K726" s="1">
        <v>21816</v>
      </c>
      <c r="L726" s="1">
        <v>8457</v>
      </c>
      <c r="M726" s="1">
        <v>11</v>
      </c>
      <c r="N726" s="1" t="s">
        <v>20</v>
      </c>
      <c r="O726" s="1" t="s">
        <v>29</v>
      </c>
      <c r="P726" s="1" t="s">
        <v>39</v>
      </c>
      <c r="Q726" s="1" t="s">
        <v>23</v>
      </c>
      <c r="R726">
        <v>0.48929990146357927</v>
      </c>
    </row>
    <row r="727" spans="1:18" x14ac:dyDescent="0.2">
      <c r="A727" s="1">
        <v>122409</v>
      </c>
      <c r="B727" s="1" t="s">
        <v>800</v>
      </c>
      <c r="C727" s="1" t="s">
        <v>33</v>
      </c>
      <c r="D727" s="1">
        <v>0.3619</v>
      </c>
      <c r="E727" s="1">
        <v>35377</v>
      </c>
      <c r="F727" s="1">
        <v>21328</v>
      </c>
      <c r="G727" s="1">
        <v>0.76429999999999998</v>
      </c>
      <c r="H727" s="1">
        <v>0.90629999999999999</v>
      </c>
      <c r="I727" s="1">
        <v>0.31740000000000002</v>
      </c>
      <c r="J727" s="1">
        <v>64909</v>
      </c>
      <c r="K727" s="1">
        <v>15000</v>
      </c>
      <c r="L727" s="1">
        <v>13042</v>
      </c>
      <c r="M727" s="1">
        <v>27</v>
      </c>
      <c r="N727" s="1" t="s">
        <v>28</v>
      </c>
      <c r="O727" s="1" t="s">
        <v>29</v>
      </c>
      <c r="P727" s="1" t="s">
        <v>22</v>
      </c>
      <c r="Q727" s="1" t="s">
        <v>23</v>
      </c>
      <c r="R727">
        <v>0.48906391732350518</v>
      </c>
    </row>
    <row r="728" spans="1:18" x14ac:dyDescent="0.2">
      <c r="A728" s="1">
        <v>141264</v>
      </c>
      <c r="B728" s="1" t="s">
        <v>801</v>
      </c>
      <c r="C728" s="1" t="s">
        <v>126</v>
      </c>
      <c r="D728" s="1">
        <v>0.72289999999999999</v>
      </c>
      <c r="E728" s="1">
        <v>6622</v>
      </c>
      <c r="F728" s="1">
        <v>17836</v>
      </c>
      <c r="G728" s="1">
        <v>0.42359999999999998</v>
      </c>
      <c r="H728" s="1">
        <v>0.71870000000000001</v>
      </c>
      <c r="I728" s="1">
        <v>0.52280000000000004</v>
      </c>
      <c r="J728" s="1">
        <v>49361</v>
      </c>
      <c r="K728" s="1">
        <v>24779</v>
      </c>
      <c r="L728" s="1">
        <v>8606</v>
      </c>
      <c r="M728" s="1">
        <v>17</v>
      </c>
      <c r="N728" s="1" t="s">
        <v>28</v>
      </c>
      <c r="O728" s="1" t="s">
        <v>29</v>
      </c>
      <c r="P728" s="1" t="s">
        <v>30</v>
      </c>
      <c r="Q728" s="1" t="s">
        <v>31</v>
      </c>
      <c r="R728">
        <v>0.48895234580723701</v>
      </c>
    </row>
    <row r="729" spans="1:18" x14ac:dyDescent="0.2">
      <c r="A729" s="1">
        <v>185572</v>
      </c>
      <c r="B729" s="1" t="s">
        <v>802</v>
      </c>
      <c r="C729" s="1" t="s">
        <v>66</v>
      </c>
      <c r="D729" s="1">
        <v>0.89019999999999999</v>
      </c>
      <c r="E729" s="1">
        <v>3684</v>
      </c>
      <c r="F729" s="1">
        <v>46552</v>
      </c>
      <c r="G729" s="1">
        <v>0.71899999999999997</v>
      </c>
      <c r="H729" s="1">
        <v>0.79859999999999998</v>
      </c>
      <c r="I729" s="1">
        <v>0.30449999999999999</v>
      </c>
      <c r="J729" s="1">
        <v>67991</v>
      </c>
      <c r="K729" s="1">
        <v>27000</v>
      </c>
      <c r="L729" s="1">
        <v>10388</v>
      </c>
      <c r="M729" s="1">
        <v>12</v>
      </c>
      <c r="N729" s="1" t="s">
        <v>20</v>
      </c>
      <c r="O729" s="1" t="s">
        <v>21</v>
      </c>
      <c r="P729" s="1" t="s">
        <v>39</v>
      </c>
      <c r="Q729" s="1" t="s">
        <v>23</v>
      </c>
      <c r="R729">
        <v>0.48864141268252703</v>
      </c>
    </row>
    <row r="730" spans="1:18" x14ac:dyDescent="0.2">
      <c r="A730" s="1">
        <v>181446</v>
      </c>
      <c r="B730" s="1" t="s">
        <v>803</v>
      </c>
      <c r="C730" s="1" t="s">
        <v>221</v>
      </c>
      <c r="D730" s="1">
        <v>0.79820000000000002</v>
      </c>
      <c r="E730" s="1">
        <v>1453</v>
      </c>
      <c r="F730" s="1">
        <v>43572</v>
      </c>
      <c r="G730" s="1">
        <v>0.66120000000000001</v>
      </c>
      <c r="H730" s="1">
        <v>0.75</v>
      </c>
      <c r="I730" s="1">
        <v>0.3357</v>
      </c>
      <c r="J730" s="1">
        <v>56405</v>
      </c>
      <c r="K730" s="1">
        <v>26970</v>
      </c>
      <c r="L730" s="1">
        <v>6745</v>
      </c>
      <c r="M730" s="1">
        <v>12</v>
      </c>
      <c r="N730" s="1" t="s">
        <v>20</v>
      </c>
      <c r="O730" s="1" t="s">
        <v>29</v>
      </c>
      <c r="P730" s="1" t="s">
        <v>22</v>
      </c>
      <c r="Q730" s="1" t="s">
        <v>23</v>
      </c>
      <c r="R730">
        <v>0.48823604569151735</v>
      </c>
    </row>
    <row r="731" spans="1:18" x14ac:dyDescent="0.2">
      <c r="A731" s="1">
        <v>159717</v>
      </c>
      <c r="B731" s="1" t="s">
        <v>804</v>
      </c>
      <c r="C731" s="1" t="s">
        <v>46</v>
      </c>
      <c r="D731" s="1">
        <v>0.78269999999999995</v>
      </c>
      <c r="E731" s="1">
        <v>5005</v>
      </c>
      <c r="F731" s="1">
        <v>9989</v>
      </c>
      <c r="G731" s="1">
        <v>0.47039999999999998</v>
      </c>
      <c r="H731" s="1">
        <v>0.68440000000000001</v>
      </c>
      <c r="I731" s="1">
        <v>0.34589999999999999</v>
      </c>
      <c r="J731" s="1">
        <v>46453</v>
      </c>
      <c r="K731" s="1">
        <v>23000</v>
      </c>
      <c r="L731" s="1">
        <v>7591</v>
      </c>
      <c r="M731" s="1">
        <v>20</v>
      </c>
      <c r="N731" s="1" t="s">
        <v>28</v>
      </c>
      <c r="O731" s="1" t="s">
        <v>29</v>
      </c>
      <c r="P731" s="1" t="s">
        <v>30</v>
      </c>
      <c r="Q731" s="1" t="s">
        <v>31</v>
      </c>
      <c r="R731">
        <v>0.48745984822242239</v>
      </c>
    </row>
    <row r="732" spans="1:18" x14ac:dyDescent="0.2">
      <c r="A732" s="1">
        <v>139968</v>
      </c>
      <c r="B732" s="1" t="s">
        <v>805</v>
      </c>
      <c r="C732" s="1" t="s">
        <v>126</v>
      </c>
      <c r="D732" s="1">
        <v>0.85899999999999999</v>
      </c>
      <c r="E732" s="1">
        <v>2544</v>
      </c>
      <c r="F732" s="1">
        <v>10948</v>
      </c>
      <c r="G732" s="1">
        <v>0.20430000000000001</v>
      </c>
      <c r="H732" s="1">
        <v>0.51219999999999999</v>
      </c>
      <c r="I732" s="1">
        <v>0.48430000000000001</v>
      </c>
      <c r="J732" s="1">
        <v>37871</v>
      </c>
      <c r="K732" s="1">
        <v>17500</v>
      </c>
      <c r="L732" s="1">
        <v>7589</v>
      </c>
      <c r="M732" s="1">
        <v>20</v>
      </c>
      <c r="N732" s="1" t="s">
        <v>28</v>
      </c>
      <c r="O732" s="1" t="s">
        <v>42</v>
      </c>
      <c r="P732" s="1" t="s">
        <v>30</v>
      </c>
      <c r="Q732" s="1" t="s">
        <v>31</v>
      </c>
      <c r="R732">
        <v>0.48716098216402204</v>
      </c>
    </row>
    <row r="733" spans="1:18" x14ac:dyDescent="0.2">
      <c r="A733" s="1">
        <v>487375</v>
      </c>
      <c r="B733" s="1" t="s">
        <v>806</v>
      </c>
      <c r="C733" s="1" t="s">
        <v>336</v>
      </c>
      <c r="D733" s="1">
        <v>1</v>
      </c>
      <c r="E733" s="1">
        <v>1222</v>
      </c>
      <c r="F733" s="1">
        <v>23531</v>
      </c>
      <c r="G733" s="1">
        <v>0.81820000000000004</v>
      </c>
      <c r="H733" s="1">
        <v>0.76919999999999999</v>
      </c>
      <c r="I733" s="1">
        <v>0.53380000000000005</v>
      </c>
      <c r="J733" s="1">
        <v>34657</v>
      </c>
      <c r="K733" s="1">
        <v>9500</v>
      </c>
      <c r="L733" s="1">
        <v>8004</v>
      </c>
      <c r="M733" s="1">
        <v>20</v>
      </c>
      <c r="N733" s="1" t="s">
        <v>142</v>
      </c>
      <c r="O733" s="1" t="s">
        <v>21</v>
      </c>
      <c r="P733" s="1" t="s">
        <v>22</v>
      </c>
      <c r="Q733" s="1" t="s">
        <v>31</v>
      </c>
      <c r="R733">
        <v>0.4864600549938527</v>
      </c>
    </row>
    <row r="734" spans="1:18" x14ac:dyDescent="0.2">
      <c r="A734" s="1">
        <v>206084</v>
      </c>
      <c r="B734" s="1" t="s">
        <v>807</v>
      </c>
      <c r="C734" s="1" t="s">
        <v>19</v>
      </c>
      <c r="D734" s="1">
        <v>0.92020000000000002</v>
      </c>
      <c r="E734" s="1">
        <v>9770</v>
      </c>
      <c r="F734" s="1">
        <v>22104</v>
      </c>
      <c r="G734" s="1">
        <v>0.57040000000000002</v>
      </c>
      <c r="H734" s="1">
        <v>0.77300000000000002</v>
      </c>
      <c r="I734" s="1">
        <v>0.27460000000000001</v>
      </c>
      <c r="J734" s="1">
        <v>50632</v>
      </c>
      <c r="K734" s="1">
        <v>22250</v>
      </c>
      <c r="L734" s="1">
        <v>10195</v>
      </c>
      <c r="M734" s="1">
        <v>18</v>
      </c>
      <c r="N734" s="1" t="s">
        <v>28</v>
      </c>
      <c r="O734" s="1" t="s">
        <v>29</v>
      </c>
      <c r="P734" s="1" t="s">
        <v>22</v>
      </c>
      <c r="Q734" s="1" t="s">
        <v>23</v>
      </c>
      <c r="R734">
        <v>0.48619175589968777</v>
      </c>
    </row>
    <row r="735" spans="1:18" x14ac:dyDescent="0.2">
      <c r="A735" s="1">
        <v>102234</v>
      </c>
      <c r="B735" s="1" t="s">
        <v>808</v>
      </c>
      <c r="C735" s="1" t="s">
        <v>177</v>
      </c>
      <c r="D735" s="1">
        <v>0.76570000000000005</v>
      </c>
      <c r="E735" s="1">
        <v>782</v>
      </c>
      <c r="F735" s="1">
        <v>24054</v>
      </c>
      <c r="G735" s="1">
        <v>0.52100000000000002</v>
      </c>
      <c r="H735" s="1">
        <v>0.70230000000000004</v>
      </c>
      <c r="I735" s="1">
        <v>0.31609999999999999</v>
      </c>
      <c r="J735" s="1">
        <v>51500</v>
      </c>
      <c r="K735" s="1">
        <v>27000</v>
      </c>
      <c r="L735" s="1">
        <v>7892</v>
      </c>
      <c r="M735" s="1">
        <v>11</v>
      </c>
      <c r="N735" s="1" t="s">
        <v>20</v>
      </c>
      <c r="O735" s="1" t="s">
        <v>29</v>
      </c>
      <c r="P735" s="1" t="s">
        <v>30</v>
      </c>
      <c r="Q735" s="1" t="s">
        <v>23</v>
      </c>
      <c r="R735">
        <v>0.48616018341055733</v>
      </c>
    </row>
    <row r="736" spans="1:18" x14ac:dyDescent="0.2">
      <c r="A736" s="1">
        <v>230047</v>
      </c>
      <c r="B736" s="1" t="s">
        <v>809</v>
      </c>
      <c r="C736" s="1" t="s">
        <v>240</v>
      </c>
      <c r="D736" s="1">
        <v>0.46960000000000002</v>
      </c>
      <c r="E736" s="1">
        <v>2889</v>
      </c>
      <c r="F736" s="1">
        <v>6630</v>
      </c>
      <c r="G736" s="1">
        <v>0.52639999999999998</v>
      </c>
      <c r="H736" s="1">
        <v>0.73540000000000005</v>
      </c>
      <c r="I736" s="1">
        <v>0.151</v>
      </c>
      <c r="J736" s="1">
        <v>52064</v>
      </c>
      <c r="K736" s="1">
        <v>9413</v>
      </c>
      <c r="L736" s="1">
        <v>10793</v>
      </c>
      <c r="M736" s="1">
        <v>18</v>
      </c>
      <c r="N736" s="1" t="s">
        <v>20</v>
      </c>
      <c r="O736" s="1" t="s">
        <v>42</v>
      </c>
      <c r="P736" s="1" t="s">
        <v>22</v>
      </c>
      <c r="Q736" s="1" t="s">
        <v>23</v>
      </c>
      <c r="R736">
        <v>0.48495974557395394</v>
      </c>
    </row>
    <row r="737" spans="1:18" x14ac:dyDescent="0.2">
      <c r="A737" s="1">
        <v>220075</v>
      </c>
      <c r="B737" s="1" t="s">
        <v>810</v>
      </c>
      <c r="C737" s="1" t="s">
        <v>163</v>
      </c>
      <c r="D737" s="1">
        <v>0.8619</v>
      </c>
      <c r="E737" s="1">
        <v>10004</v>
      </c>
      <c r="F737" s="1">
        <v>14522</v>
      </c>
      <c r="G737" s="1">
        <v>0.53210000000000002</v>
      </c>
      <c r="H737" s="1">
        <v>0.75719999999999998</v>
      </c>
      <c r="I737" s="1">
        <v>0.3483</v>
      </c>
      <c r="J737" s="1">
        <v>44859</v>
      </c>
      <c r="K737" s="1">
        <v>19442</v>
      </c>
      <c r="L737" s="1">
        <v>8574</v>
      </c>
      <c r="M737" s="1">
        <v>15</v>
      </c>
      <c r="N737" s="1" t="s">
        <v>28</v>
      </c>
      <c r="O737" s="1" t="s">
        <v>29</v>
      </c>
      <c r="P737" s="1" t="s">
        <v>30</v>
      </c>
      <c r="Q737" s="1" t="s">
        <v>31</v>
      </c>
      <c r="R737">
        <v>0.48397432088185488</v>
      </c>
    </row>
    <row r="738" spans="1:18" x14ac:dyDescent="0.2">
      <c r="A738" s="1">
        <v>152530</v>
      </c>
      <c r="B738" s="1" t="s">
        <v>811</v>
      </c>
      <c r="C738" s="1" t="s">
        <v>102</v>
      </c>
      <c r="D738" s="1">
        <v>0.73529999999999995</v>
      </c>
      <c r="E738" s="1">
        <v>2025</v>
      </c>
      <c r="F738" s="1">
        <v>40490</v>
      </c>
      <c r="G738" s="1">
        <v>0.73809999999999998</v>
      </c>
      <c r="H738" s="1">
        <v>0.89290000000000003</v>
      </c>
      <c r="I738" s="1">
        <v>0.13489999999999999</v>
      </c>
      <c r="J738" s="1">
        <v>52198</v>
      </c>
      <c r="K738" s="1">
        <v>20500</v>
      </c>
      <c r="L738" s="1">
        <v>7744</v>
      </c>
      <c r="M738" s="1">
        <v>14</v>
      </c>
      <c r="N738" s="1" t="s">
        <v>20</v>
      </c>
      <c r="O738" s="1" t="s">
        <v>42</v>
      </c>
      <c r="P738" s="1" t="s">
        <v>22</v>
      </c>
      <c r="Q738" s="1" t="s">
        <v>23</v>
      </c>
      <c r="R738">
        <v>0.48297877882365137</v>
      </c>
    </row>
    <row r="739" spans="1:18" x14ac:dyDescent="0.2">
      <c r="A739" s="1">
        <v>231554</v>
      </c>
      <c r="B739" s="1" t="s">
        <v>812</v>
      </c>
      <c r="C739" s="1" t="s">
        <v>52</v>
      </c>
      <c r="D739" s="1">
        <v>0.59309999999999996</v>
      </c>
      <c r="E739" s="1">
        <v>614</v>
      </c>
      <c r="F739" s="1">
        <v>26770</v>
      </c>
      <c r="G739" s="1">
        <v>0.17780000000000001</v>
      </c>
      <c r="H739" s="1">
        <v>0.6149</v>
      </c>
      <c r="I739" s="1">
        <v>0.51359999999999995</v>
      </c>
      <c r="J739" s="1">
        <v>48896</v>
      </c>
      <c r="K739" s="1">
        <v>21855</v>
      </c>
      <c r="L739" s="1">
        <v>5619</v>
      </c>
      <c r="M739" s="1">
        <v>14</v>
      </c>
      <c r="N739" s="1" t="s">
        <v>20</v>
      </c>
      <c r="O739" s="1" t="s">
        <v>42</v>
      </c>
      <c r="P739" s="1" t="s">
        <v>30</v>
      </c>
      <c r="Q739" s="1" t="s">
        <v>31</v>
      </c>
      <c r="R739">
        <v>0.48287015148547519</v>
      </c>
    </row>
    <row r="740" spans="1:18" x14ac:dyDescent="0.2">
      <c r="A740" s="1">
        <v>123165</v>
      </c>
      <c r="B740" s="1" t="s">
        <v>813</v>
      </c>
      <c r="C740" s="1" t="s">
        <v>33</v>
      </c>
      <c r="D740" s="1">
        <v>0.38290000000000002</v>
      </c>
      <c r="E740" s="1">
        <v>1113</v>
      </c>
      <c r="F740" s="1">
        <v>65950</v>
      </c>
      <c r="G740" s="1">
        <v>0.82540000000000002</v>
      </c>
      <c r="H740" s="1">
        <v>0.93820000000000003</v>
      </c>
      <c r="I740" s="1">
        <v>0.11</v>
      </c>
      <c r="J740" s="1">
        <v>77539</v>
      </c>
      <c r="K740" s="1">
        <v>13500</v>
      </c>
      <c r="L740" s="1">
        <v>13213</v>
      </c>
      <c r="M740" s="1">
        <v>10</v>
      </c>
      <c r="N740" s="1" t="s">
        <v>20</v>
      </c>
      <c r="O740" s="1" t="s">
        <v>21</v>
      </c>
      <c r="P740" s="1" t="s">
        <v>22</v>
      </c>
      <c r="Q740" s="1" t="s">
        <v>23</v>
      </c>
      <c r="R740">
        <v>0.48271031081010729</v>
      </c>
    </row>
    <row r="741" spans="1:18" x14ac:dyDescent="0.2">
      <c r="A741" s="1">
        <v>166629</v>
      </c>
      <c r="B741" s="1" t="s">
        <v>814</v>
      </c>
      <c r="C741" s="1" t="s">
        <v>129</v>
      </c>
      <c r="D741" s="1">
        <v>0.59730000000000005</v>
      </c>
      <c r="E741" s="1">
        <v>23671</v>
      </c>
      <c r="F741" s="1">
        <v>40449</v>
      </c>
      <c r="G741" s="1">
        <v>0.83260000000000001</v>
      </c>
      <c r="H741" s="1">
        <v>0.91910000000000003</v>
      </c>
      <c r="I741" s="1">
        <v>0.19939999999999999</v>
      </c>
      <c r="J741" s="1">
        <v>71631</v>
      </c>
      <c r="K741" s="1">
        <v>22763</v>
      </c>
      <c r="L741" s="1">
        <v>14663</v>
      </c>
      <c r="M741" s="1">
        <v>17</v>
      </c>
      <c r="N741" s="1" t="s">
        <v>28</v>
      </c>
      <c r="O741" s="1" t="s">
        <v>29</v>
      </c>
      <c r="P741" s="1" t="s">
        <v>39</v>
      </c>
      <c r="Q741" s="1" t="s">
        <v>23</v>
      </c>
      <c r="R741">
        <v>0.48200561720939972</v>
      </c>
    </row>
    <row r="742" spans="1:18" x14ac:dyDescent="0.2">
      <c r="A742" s="1">
        <v>212577</v>
      </c>
      <c r="B742" s="1" t="s">
        <v>815</v>
      </c>
      <c r="C742" s="1" t="s">
        <v>98</v>
      </c>
      <c r="D742" s="1">
        <v>0.28189999999999998</v>
      </c>
      <c r="E742" s="1">
        <v>1799</v>
      </c>
      <c r="F742" s="1">
        <v>70794</v>
      </c>
      <c r="G742" s="1">
        <v>0.8377</v>
      </c>
      <c r="H742" s="1">
        <v>0.90239999999999998</v>
      </c>
      <c r="I742" s="1">
        <v>0.158</v>
      </c>
      <c r="J742" s="1">
        <v>76124</v>
      </c>
      <c r="K742" s="1">
        <v>19000</v>
      </c>
      <c r="L742" s="1">
        <v>11293</v>
      </c>
      <c r="M742" s="1">
        <v>9</v>
      </c>
      <c r="N742" s="1" t="s">
        <v>20</v>
      </c>
      <c r="O742" s="1" t="s">
        <v>29</v>
      </c>
      <c r="P742" s="1" t="s">
        <v>39</v>
      </c>
      <c r="Q742" s="1" t="s">
        <v>23</v>
      </c>
      <c r="R742">
        <v>0.48118328672542587</v>
      </c>
    </row>
    <row r="743" spans="1:18" x14ac:dyDescent="0.2">
      <c r="A743" s="1">
        <v>162007</v>
      </c>
      <c r="B743" s="1" t="s">
        <v>816</v>
      </c>
      <c r="C743" s="1" t="s">
        <v>61</v>
      </c>
      <c r="D743" s="1">
        <v>0.72409999999999997</v>
      </c>
      <c r="E743" s="1">
        <v>5043</v>
      </c>
      <c r="F743" s="1">
        <v>19938</v>
      </c>
      <c r="G743" s="1">
        <v>0.38200000000000001</v>
      </c>
      <c r="H743" s="1">
        <v>0.68189999999999995</v>
      </c>
      <c r="I743" s="1">
        <v>0.44350000000000001</v>
      </c>
      <c r="J743" s="1">
        <v>54537</v>
      </c>
      <c r="K743" s="1">
        <v>22985</v>
      </c>
      <c r="L743" s="1">
        <v>11118</v>
      </c>
      <c r="M743" s="1">
        <v>15</v>
      </c>
      <c r="N743" s="1" t="s">
        <v>28</v>
      </c>
      <c r="O743" s="1" t="s">
        <v>21</v>
      </c>
      <c r="P743" s="1" t="s">
        <v>30</v>
      </c>
      <c r="Q743" s="1" t="s">
        <v>23</v>
      </c>
      <c r="R743">
        <v>0.48094340026418492</v>
      </c>
    </row>
    <row r="744" spans="1:18" x14ac:dyDescent="0.2">
      <c r="A744" s="1">
        <v>190761</v>
      </c>
      <c r="B744" s="1" t="s">
        <v>817</v>
      </c>
      <c r="C744" s="1" t="s">
        <v>58</v>
      </c>
      <c r="D744" s="1">
        <v>0.63300000000000001</v>
      </c>
      <c r="E744" s="1">
        <v>1105</v>
      </c>
      <c r="F744" s="1">
        <v>34220</v>
      </c>
      <c r="G744" s="1">
        <v>0.52510000000000001</v>
      </c>
      <c r="H744" s="1">
        <v>0.66439999999999999</v>
      </c>
      <c r="I744" s="1">
        <v>0.4839</v>
      </c>
      <c r="J744" s="1">
        <v>61171</v>
      </c>
      <c r="K744" s="1">
        <v>25000</v>
      </c>
      <c r="L744" s="1">
        <v>8662</v>
      </c>
      <c r="M744" s="1">
        <v>13</v>
      </c>
      <c r="N744" s="1" t="s">
        <v>20</v>
      </c>
      <c r="O744" s="1" t="s">
        <v>21</v>
      </c>
      <c r="P744" s="1" t="s">
        <v>39</v>
      </c>
      <c r="Q744" s="1" t="s">
        <v>23</v>
      </c>
      <c r="R744">
        <v>0.48072144610147927</v>
      </c>
    </row>
    <row r="745" spans="1:18" x14ac:dyDescent="0.2">
      <c r="A745" s="1">
        <v>106704</v>
      </c>
      <c r="B745" s="1" t="s">
        <v>818</v>
      </c>
      <c r="C745" s="1" t="s">
        <v>70</v>
      </c>
      <c r="D745" s="1">
        <v>0.89490000000000003</v>
      </c>
      <c r="E745" s="1">
        <v>7762</v>
      </c>
      <c r="F745" s="1">
        <v>18023</v>
      </c>
      <c r="G745" s="1">
        <v>0.5353</v>
      </c>
      <c r="H745" s="1">
        <v>0.73309999999999997</v>
      </c>
      <c r="I745" s="1">
        <v>0.37980000000000003</v>
      </c>
      <c r="J745" s="1">
        <v>45938</v>
      </c>
      <c r="K745" s="1">
        <v>20346</v>
      </c>
      <c r="L745" s="1">
        <v>7499</v>
      </c>
      <c r="M745" s="1">
        <v>15</v>
      </c>
      <c r="N745" s="1" t="s">
        <v>28</v>
      </c>
      <c r="O745" s="1" t="s">
        <v>29</v>
      </c>
      <c r="P745" s="1" t="s">
        <v>30</v>
      </c>
      <c r="Q745" s="1" t="s">
        <v>31</v>
      </c>
      <c r="R745">
        <v>0.48035534807187352</v>
      </c>
    </row>
    <row r="746" spans="1:18" x14ac:dyDescent="0.2">
      <c r="A746" s="1">
        <v>178402</v>
      </c>
      <c r="B746" s="1" t="s">
        <v>819</v>
      </c>
      <c r="C746" s="1" t="s">
        <v>77</v>
      </c>
      <c r="D746" s="1">
        <v>0.7218</v>
      </c>
      <c r="E746" s="1">
        <v>6817</v>
      </c>
      <c r="F746" s="1">
        <v>30227</v>
      </c>
      <c r="G746" s="1">
        <v>0.55459999999999998</v>
      </c>
      <c r="H746" s="1">
        <v>0.75360000000000005</v>
      </c>
      <c r="I746" s="1">
        <v>0.26390000000000002</v>
      </c>
      <c r="J746" s="1">
        <v>59637</v>
      </c>
      <c r="K746" s="1">
        <v>18750</v>
      </c>
      <c r="L746" s="1">
        <v>11063</v>
      </c>
      <c r="M746" s="1">
        <v>13</v>
      </c>
      <c r="N746" s="1" t="s">
        <v>28</v>
      </c>
      <c r="O746" s="1" t="s">
        <v>29</v>
      </c>
      <c r="P746" s="1" t="s">
        <v>22</v>
      </c>
      <c r="Q746" s="1" t="s">
        <v>23</v>
      </c>
      <c r="R746">
        <v>0.48034773242239892</v>
      </c>
    </row>
    <row r="747" spans="1:18" x14ac:dyDescent="0.2">
      <c r="A747" s="1">
        <v>231581</v>
      </c>
      <c r="B747" s="1" t="s">
        <v>820</v>
      </c>
      <c r="C747" s="1" t="s">
        <v>52</v>
      </c>
      <c r="D747" s="1">
        <v>0.91720000000000002</v>
      </c>
      <c r="E747" s="1">
        <v>1400</v>
      </c>
      <c r="F747" s="1">
        <v>16090</v>
      </c>
      <c r="G747" s="1">
        <v>0.53049999999999997</v>
      </c>
      <c r="H747" s="1">
        <v>0.75290000000000001</v>
      </c>
      <c r="I747" s="1">
        <v>0.29830000000000001</v>
      </c>
      <c r="J747" s="1">
        <v>53453</v>
      </c>
      <c r="K747" s="1">
        <v>26000</v>
      </c>
      <c r="L747" s="1">
        <v>7326</v>
      </c>
      <c r="M747" s="1">
        <v>13</v>
      </c>
      <c r="N747" s="1" t="s">
        <v>20</v>
      </c>
      <c r="O747" s="1" t="s">
        <v>21</v>
      </c>
      <c r="P747" s="1" t="s">
        <v>30</v>
      </c>
      <c r="Q747" s="1" t="s">
        <v>23</v>
      </c>
      <c r="R747">
        <v>0.47817350178790119</v>
      </c>
    </row>
    <row r="748" spans="1:18" x14ac:dyDescent="0.2">
      <c r="A748" s="1">
        <v>192448</v>
      </c>
      <c r="B748" s="1" t="s">
        <v>821</v>
      </c>
      <c r="C748" s="1" t="s">
        <v>58</v>
      </c>
      <c r="D748" s="1">
        <v>0.86160000000000003</v>
      </c>
      <c r="E748" s="1">
        <v>5520</v>
      </c>
      <c r="F748" s="1">
        <v>42432</v>
      </c>
      <c r="G748" s="1">
        <v>0.57069999999999999</v>
      </c>
      <c r="H748" s="1">
        <v>0.77190000000000003</v>
      </c>
      <c r="I748" s="1">
        <v>0.1714</v>
      </c>
      <c r="J748" s="1">
        <v>59950</v>
      </c>
      <c r="K748" s="1">
        <v>23577</v>
      </c>
      <c r="L748" s="1">
        <v>13296</v>
      </c>
      <c r="M748" s="1">
        <v>15</v>
      </c>
      <c r="N748" s="1" t="s">
        <v>20</v>
      </c>
      <c r="O748" s="1" t="s">
        <v>21</v>
      </c>
      <c r="P748" s="1" t="s">
        <v>39</v>
      </c>
      <c r="Q748" s="1" t="s">
        <v>23</v>
      </c>
      <c r="R748">
        <v>0.47745447563273058</v>
      </c>
    </row>
    <row r="749" spans="1:18" x14ac:dyDescent="0.2">
      <c r="A749" s="1">
        <v>206604</v>
      </c>
      <c r="B749" s="1" t="s">
        <v>822</v>
      </c>
      <c r="C749" s="1" t="s">
        <v>19</v>
      </c>
      <c r="D749" s="1">
        <v>0.96330000000000005</v>
      </c>
      <c r="E749" s="1">
        <v>6762</v>
      </c>
      <c r="F749" s="1">
        <v>21222</v>
      </c>
      <c r="G749" s="1">
        <v>0.41689999999999999</v>
      </c>
      <c r="H749" s="1">
        <v>0.67930000000000001</v>
      </c>
      <c r="I749" s="1">
        <v>0.34470000000000001</v>
      </c>
      <c r="J749" s="1">
        <v>49500</v>
      </c>
      <c r="K749" s="1">
        <v>22750</v>
      </c>
      <c r="L749" s="1">
        <v>10222</v>
      </c>
      <c r="M749" s="1">
        <v>16</v>
      </c>
      <c r="N749" s="1" t="s">
        <v>28</v>
      </c>
      <c r="O749" s="1" t="s">
        <v>21</v>
      </c>
      <c r="P749" s="1" t="s">
        <v>22</v>
      </c>
      <c r="Q749" s="1" t="s">
        <v>31</v>
      </c>
      <c r="R749">
        <v>0.47626991650842643</v>
      </c>
    </row>
    <row r="750" spans="1:18" x14ac:dyDescent="0.2">
      <c r="A750" s="1">
        <v>197911</v>
      </c>
      <c r="B750" s="1" t="s">
        <v>823</v>
      </c>
      <c r="C750" s="1" t="s">
        <v>86</v>
      </c>
      <c r="D750" s="1">
        <v>0.94199999999999995</v>
      </c>
      <c r="E750" s="1">
        <v>982</v>
      </c>
      <c r="F750" s="1">
        <v>37250</v>
      </c>
      <c r="G750" s="1">
        <v>0.45850000000000002</v>
      </c>
      <c r="H750" s="1">
        <v>0.65480000000000005</v>
      </c>
      <c r="I750" s="1">
        <v>0.37319999999999998</v>
      </c>
      <c r="J750" s="1">
        <v>47913</v>
      </c>
      <c r="K750" s="1">
        <v>25877</v>
      </c>
      <c r="L750" s="1">
        <v>6671</v>
      </c>
      <c r="M750" s="1">
        <v>14</v>
      </c>
      <c r="N750" s="1" t="s">
        <v>20</v>
      </c>
      <c r="O750" s="1" t="s">
        <v>42</v>
      </c>
      <c r="P750" s="1" t="s">
        <v>30</v>
      </c>
      <c r="Q750" s="1" t="s">
        <v>31</v>
      </c>
      <c r="R750">
        <v>0.47589681475884038</v>
      </c>
    </row>
    <row r="751" spans="1:18" x14ac:dyDescent="0.2">
      <c r="A751" s="1">
        <v>475608</v>
      </c>
      <c r="B751" s="1" t="s">
        <v>824</v>
      </c>
      <c r="C751" s="1" t="s">
        <v>36</v>
      </c>
      <c r="D751" s="1">
        <v>1</v>
      </c>
      <c r="E751" s="1">
        <v>132</v>
      </c>
      <c r="F751" s="1">
        <v>15750</v>
      </c>
      <c r="G751" s="1">
        <v>0.5</v>
      </c>
      <c r="H751" s="1">
        <v>1</v>
      </c>
      <c r="I751" s="1">
        <v>0.42370000000000002</v>
      </c>
      <c r="J751" s="1">
        <v>43185</v>
      </c>
      <c r="K751" s="1">
        <v>25346</v>
      </c>
      <c r="L751" s="1">
        <v>6560</v>
      </c>
      <c r="M751" s="1">
        <v>5</v>
      </c>
      <c r="N751" s="1" t="s">
        <v>20</v>
      </c>
      <c r="O751" s="1" t="s">
        <v>29</v>
      </c>
      <c r="P751" s="1" t="s">
        <v>30</v>
      </c>
      <c r="Q751" s="1" t="s">
        <v>31</v>
      </c>
      <c r="R751">
        <v>0.47561670510521215</v>
      </c>
    </row>
    <row r="752" spans="1:18" x14ac:dyDescent="0.2">
      <c r="A752" s="1">
        <v>215062</v>
      </c>
      <c r="B752" s="1" t="s">
        <v>825</v>
      </c>
      <c r="C752" s="1" t="s">
        <v>98</v>
      </c>
      <c r="D752" s="1">
        <v>5.3999999999999999E-2</v>
      </c>
      <c r="E752" s="1">
        <v>10650</v>
      </c>
      <c r="F752" s="1">
        <v>68686</v>
      </c>
      <c r="G752" s="1">
        <v>0.96540000000000004</v>
      </c>
      <c r="H752" s="1">
        <v>0.98880000000000001</v>
      </c>
      <c r="I752" s="1">
        <v>0.1653</v>
      </c>
      <c r="J752" s="1">
        <v>111371</v>
      </c>
      <c r="K752" s="1">
        <v>15715</v>
      </c>
      <c r="L752" s="1">
        <v>22117</v>
      </c>
      <c r="M752" s="1">
        <v>8</v>
      </c>
      <c r="N752" s="1" t="s">
        <v>20</v>
      </c>
      <c r="O752" s="1" t="s">
        <v>29</v>
      </c>
      <c r="P752" s="1" t="s">
        <v>39</v>
      </c>
      <c r="Q752" s="1" t="s">
        <v>23</v>
      </c>
      <c r="R752">
        <v>0.47533215424558828</v>
      </c>
    </row>
    <row r="753" spans="1:18" x14ac:dyDescent="0.2">
      <c r="A753" s="1">
        <v>199865</v>
      </c>
      <c r="B753" s="1" t="s">
        <v>826</v>
      </c>
      <c r="C753" s="1" t="s">
        <v>86</v>
      </c>
      <c r="D753" s="1">
        <v>0.71340000000000003</v>
      </c>
      <c r="E753" s="1">
        <v>707</v>
      </c>
      <c r="F753" s="1">
        <v>41500</v>
      </c>
      <c r="G753" s="1">
        <v>0.42</v>
      </c>
      <c r="H753" s="1">
        <v>0.70920000000000005</v>
      </c>
      <c r="I753" s="1">
        <v>0.39600000000000002</v>
      </c>
      <c r="J753" s="1">
        <v>36260</v>
      </c>
      <c r="K753" s="1">
        <v>25000</v>
      </c>
      <c r="L753" s="1">
        <v>6280</v>
      </c>
      <c r="M753" s="1">
        <v>12</v>
      </c>
      <c r="N753" s="1" t="s">
        <v>20</v>
      </c>
      <c r="O753" s="1" t="s">
        <v>42</v>
      </c>
      <c r="P753" s="1" t="s">
        <v>30</v>
      </c>
      <c r="Q753" s="1" t="s">
        <v>31</v>
      </c>
      <c r="R753">
        <v>0.47476419324962205</v>
      </c>
    </row>
    <row r="754" spans="1:18" x14ac:dyDescent="0.2">
      <c r="A754" s="1">
        <v>162061</v>
      </c>
      <c r="B754" s="1" t="s">
        <v>827</v>
      </c>
      <c r="C754" s="1" t="s">
        <v>61</v>
      </c>
      <c r="D754" s="1">
        <v>0.74350000000000005</v>
      </c>
      <c r="E754" s="1">
        <v>315</v>
      </c>
      <c r="F754" s="1">
        <v>27592</v>
      </c>
      <c r="G754" s="1">
        <v>0.42680000000000001</v>
      </c>
      <c r="H754" s="1">
        <v>0.7681</v>
      </c>
      <c r="I754" s="1">
        <v>0.39179999999999998</v>
      </c>
      <c r="J754" s="1">
        <v>85035</v>
      </c>
      <c r="K754" s="1">
        <v>20264</v>
      </c>
      <c r="L754" s="1">
        <v>5625</v>
      </c>
      <c r="M754" s="1">
        <v>9</v>
      </c>
      <c r="N754" s="1" t="s">
        <v>20</v>
      </c>
      <c r="O754" s="1" t="s">
        <v>21</v>
      </c>
      <c r="P754" s="1" t="s">
        <v>30</v>
      </c>
      <c r="Q754" s="1" t="s">
        <v>23</v>
      </c>
      <c r="R754">
        <v>0.4736810668851299</v>
      </c>
    </row>
    <row r="755" spans="1:18" x14ac:dyDescent="0.2">
      <c r="A755" s="1">
        <v>231165</v>
      </c>
      <c r="B755" s="1" t="s">
        <v>828</v>
      </c>
      <c r="C755" s="1" t="s">
        <v>451</v>
      </c>
      <c r="D755" s="1">
        <v>0.81669999999999998</v>
      </c>
      <c r="E755" s="1">
        <v>3590</v>
      </c>
      <c r="F755" s="1">
        <v>22296</v>
      </c>
      <c r="G755" s="1">
        <v>0.47220000000000001</v>
      </c>
      <c r="H755" s="1">
        <v>0.67830000000000001</v>
      </c>
      <c r="I755" s="1">
        <v>0.34129999999999999</v>
      </c>
      <c r="J755" s="1">
        <v>50331</v>
      </c>
      <c r="K755" s="1">
        <v>15000</v>
      </c>
      <c r="L755" s="1">
        <v>7714</v>
      </c>
      <c r="M755" s="1">
        <v>13</v>
      </c>
      <c r="N755" s="1" t="s">
        <v>28</v>
      </c>
      <c r="O755" s="1" t="s">
        <v>42</v>
      </c>
      <c r="P755" s="1" t="s">
        <v>39</v>
      </c>
      <c r="Q755" s="1" t="s">
        <v>23</v>
      </c>
      <c r="R755">
        <v>0.4733319326130293</v>
      </c>
    </row>
    <row r="756" spans="1:18" x14ac:dyDescent="0.2">
      <c r="A756" s="1">
        <v>198507</v>
      </c>
      <c r="B756" s="1" t="s">
        <v>829</v>
      </c>
      <c r="C756" s="1" t="s">
        <v>86</v>
      </c>
      <c r="D756" s="1">
        <v>0.64219999999999999</v>
      </c>
      <c r="E756" s="1">
        <v>1975</v>
      </c>
      <c r="F756" s="1">
        <v>10536</v>
      </c>
      <c r="G756" s="1">
        <v>0.43509999999999999</v>
      </c>
      <c r="H756" s="1">
        <v>0.76880000000000004</v>
      </c>
      <c r="I756" s="1">
        <v>0.53520000000000001</v>
      </c>
      <c r="J756" s="1">
        <v>40026</v>
      </c>
      <c r="K756" s="1">
        <v>21463</v>
      </c>
      <c r="L756" s="1">
        <v>8621</v>
      </c>
      <c r="M756" s="1">
        <v>19</v>
      </c>
      <c r="N756" s="1" t="s">
        <v>28</v>
      </c>
      <c r="O756" s="1" t="s">
        <v>42</v>
      </c>
      <c r="P756" s="1" t="s">
        <v>30</v>
      </c>
      <c r="Q756" s="1" t="s">
        <v>31</v>
      </c>
      <c r="R756">
        <v>0.47287454387607164</v>
      </c>
    </row>
    <row r="757" spans="1:18" x14ac:dyDescent="0.2">
      <c r="A757" s="1">
        <v>139311</v>
      </c>
      <c r="B757" s="1" t="s">
        <v>830</v>
      </c>
      <c r="C757" s="1" t="s">
        <v>126</v>
      </c>
      <c r="D757" s="1">
        <v>0.6845</v>
      </c>
      <c r="E757" s="1">
        <v>4348</v>
      </c>
      <c r="F757" s="1">
        <v>16532</v>
      </c>
      <c r="G757" s="1">
        <v>0.39860000000000001</v>
      </c>
      <c r="H757" s="1">
        <v>0.70879999999999999</v>
      </c>
      <c r="I757" s="1">
        <v>0.52170000000000005</v>
      </c>
      <c r="J757" s="1">
        <v>49179</v>
      </c>
      <c r="K757" s="1">
        <v>25706</v>
      </c>
      <c r="L757" s="1">
        <v>8662</v>
      </c>
      <c r="M757" s="1">
        <v>20</v>
      </c>
      <c r="N757" s="1" t="s">
        <v>28</v>
      </c>
      <c r="O757" s="1" t="s">
        <v>21</v>
      </c>
      <c r="P757" s="1" t="s">
        <v>30</v>
      </c>
      <c r="Q757" s="1" t="s">
        <v>31</v>
      </c>
      <c r="R757">
        <v>0.47261342769837389</v>
      </c>
    </row>
    <row r="758" spans="1:18" x14ac:dyDescent="0.2">
      <c r="A758" s="1">
        <v>182980</v>
      </c>
      <c r="B758" s="1" t="s">
        <v>831</v>
      </c>
      <c r="C758" s="1" t="s">
        <v>38</v>
      </c>
      <c r="D758" s="1">
        <v>0.92130000000000001</v>
      </c>
      <c r="E758" s="1">
        <v>1022</v>
      </c>
      <c r="F758" s="1">
        <v>41938</v>
      </c>
      <c r="G758" s="1">
        <v>0.34510000000000002</v>
      </c>
      <c r="H758" s="1">
        <v>0.61280000000000001</v>
      </c>
      <c r="I758" s="1">
        <v>0.36</v>
      </c>
      <c r="J758" s="1">
        <v>42092</v>
      </c>
      <c r="K758" s="1">
        <v>26000</v>
      </c>
      <c r="L758" s="1">
        <v>7656</v>
      </c>
      <c r="M758" s="1">
        <v>8</v>
      </c>
      <c r="N758" s="1" t="s">
        <v>20</v>
      </c>
      <c r="O758" s="1" t="s">
        <v>42</v>
      </c>
      <c r="P758" s="1" t="s">
        <v>39</v>
      </c>
      <c r="Q758" s="1" t="s">
        <v>31</v>
      </c>
      <c r="R758">
        <v>0.46971434923157873</v>
      </c>
    </row>
    <row r="759" spans="1:18" x14ac:dyDescent="0.2">
      <c r="A759" s="1">
        <v>385619</v>
      </c>
      <c r="B759" s="1" t="s">
        <v>832</v>
      </c>
      <c r="C759" s="1" t="s">
        <v>27</v>
      </c>
      <c r="D759" s="1">
        <v>0.8145</v>
      </c>
      <c r="E759" s="1">
        <v>2789</v>
      </c>
      <c r="F759" s="1">
        <v>21680</v>
      </c>
      <c r="G759" s="1">
        <v>0.61360000000000003</v>
      </c>
      <c r="H759" s="1">
        <v>0.73650000000000004</v>
      </c>
      <c r="I759" s="1">
        <v>0.72009999999999996</v>
      </c>
      <c r="J759" s="1">
        <v>47597</v>
      </c>
      <c r="K759" s="1">
        <v>38996</v>
      </c>
      <c r="L759" s="1">
        <v>5277</v>
      </c>
      <c r="M759" s="1">
        <v>17</v>
      </c>
      <c r="N759" s="1" t="s">
        <v>20</v>
      </c>
      <c r="O759" s="1" t="s">
        <v>29</v>
      </c>
      <c r="P759" s="1" t="s">
        <v>30</v>
      </c>
      <c r="Q759" s="1" t="s">
        <v>31</v>
      </c>
      <c r="R759">
        <v>0.46936818756466747</v>
      </c>
    </row>
    <row r="760" spans="1:18" x14ac:dyDescent="0.2">
      <c r="A760" s="1">
        <v>228459</v>
      </c>
      <c r="B760" s="1" t="s">
        <v>833</v>
      </c>
      <c r="C760" s="1" t="s">
        <v>36</v>
      </c>
      <c r="D760" s="1">
        <v>0.89319999999999999</v>
      </c>
      <c r="E760" s="1">
        <v>36177</v>
      </c>
      <c r="F760" s="1">
        <v>22930</v>
      </c>
      <c r="G760" s="1">
        <v>0.55279999999999996</v>
      </c>
      <c r="H760" s="1">
        <v>0.80079999999999996</v>
      </c>
      <c r="I760" s="1">
        <v>0.37240000000000001</v>
      </c>
      <c r="J760" s="1">
        <v>56906</v>
      </c>
      <c r="K760" s="1">
        <v>21000</v>
      </c>
      <c r="L760" s="1">
        <v>9186</v>
      </c>
      <c r="M760" s="1">
        <v>21</v>
      </c>
      <c r="N760" s="1" t="s">
        <v>28</v>
      </c>
      <c r="O760" s="1" t="s">
        <v>29</v>
      </c>
      <c r="P760" s="1" t="s">
        <v>30</v>
      </c>
      <c r="Q760" s="1" t="s">
        <v>23</v>
      </c>
      <c r="R760">
        <v>0.46922169983087503</v>
      </c>
    </row>
    <row r="761" spans="1:18" x14ac:dyDescent="0.2">
      <c r="A761" s="1">
        <v>207263</v>
      </c>
      <c r="B761" s="1" t="s">
        <v>834</v>
      </c>
      <c r="C761" s="1" t="s">
        <v>224</v>
      </c>
      <c r="D761" s="1">
        <v>0.99590000000000001</v>
      </c>
      <c r="E761" s="1">
        <v>4772</v>
      </c>
      <c r="F761" s="1">
        <v>17290</v>
      </c>
      <c r="G761" s="1">
        <v>0.35360000000000003</v>
      </c>
      <c r="H761" s="1">
        <v>0.60499999999999998</v>
      </c>
      <c r="I761" s="1">
        <v>0.45090000000000002</v>
      </c>
      <c r="J761" s="1">
        <v>45379</v>
      </c>
      <c r="K761" s="1">
        <v>17367</v>
      </c>
      <c r="L761" s="1">
        <v>8084</v>
      </c>
      <c r="M761" s="1">
        <v>16</v>
      </c>
      <c r="N761" s="1" t="s">
        <v>28</v>
      </c>
      <c r="O761" s="1" t="s">
        <v>42</v>
      </c>
      <c r="P761" s="1" t="s">
        <v>30</v>
      </c>
      <c r="Q761" s="1" t="s">
        <v>31</v>
      </c>
      <c r="R761">
        <v>0.46888072528826696</v>
      </c>
    </row>
    <row r="762" spans="1:18" x14ac:dyDescent="0.2">
      <c r="A762" s="1">
        <v>200484</v>
      </c>
      <c r="B762" s="1" t="s">
        <v>835</v>
      </c>
      <c r="C762" s="1" t="s">
        <v>836</v>
      </c>
      <c r="D762" s="1">
        <v>0.25750000000000001</v>
      </c>
      <c r="E762" s="1">
        <v>141</v>
      </c>
      <c r="F762" s="1">
        <v>19700</v>
      </c>
      <c r="G762" s="1">
        <v>0.45950000000000002</v>
      </c>
      <c r="H762" s="1">
        <v>0.62860000000000005</v>
      </c>
      <c r="I762" s="1">
        <v>0.61809999999999998</v>
      </c>
      <c r="J762" s="1">
        <v>35604</v>
      </c>
      <c r="K762" s="1">
        <v>22531</v>
      </c>
      <c r="L762" s="1">
        <v>5047</v>
      </c>
      <c r="M762" s="1">
        <v>9</v>
      </c>
      <c r="N762" s="1" t="s">
        <v>20</v>
      </c>
      <c r="O762" s="1" t="s">
        <v>42</v>
      </c>
      <c r="P762" s="1" t="s">
        <v>22</v>
      </c>
      <c r="Q762" s="1" t="s">
        <v>31</v>
      </c>
      <c r="R762">
        <v>0.46873716885131123</v>
      </c>
    </row>
    <row r="763" spans="1:18" x14ac:dyDescent="0.2">
      <c r="A763" s="1">
        <v>167260</v>
      </c>
      <c r="B763" s="1" t="s">
        <v>837</v>
      </c>
      <c r="C763" s="1" t="s">
        <v>129</v>
      </c>
      <c r="D763" s="1">
        <v>0.80840000000000001</v>
      </c>
      <c r="E763" s="1">
        <v>1163</v>
      </c>
      <c r="F763" s="1">
        <v>42705</v>
      </c>
      <c r="G763" s="1">
        <v>0.62609999999999999</v>
      </c>
      <c r="H763" s="1">
        <v>0.72460000000000002</v>
      </c>
      <c r="I763" s="1">
        <v>0.25519999999999998</v>
      </c>
      <c r="J763" s="1">
        <v>58063</v>
      </c>
      <c r="K763" s="1">
        <v>27000</v>
      </c>
      <c r="L763" s="1">
        <v>9714</v>
      </c>
      <c r="M763" s="1">
        <v>15</v>
      </c>
      <c r="N763" s="1" t="s">
        <v>20</v>
      </c>
      <c r="O763" s="1" t="s">
        <v>21</v>
      </c>
      <c r="P763" s="1" t="s">
        <v>39</v>
      </c>
      <c r="Q763" s="1" t="s">
        <v>23</v>
      </c>
      <c r="R763">
        <v>0.46764424278435279</v>
      </c>
    </row>
    <row r="764" spans="1:18" x14ac:dyDescent="0.2">
      <c r="A764" s="1">
        <v>216038</v>
      </c>
      <c r="B764" s="1" t="s">
        <v>838</v>
      </c>
      <c r="C764" s="1" t="s">
        <v>98</v>
      </c>
      <c r="D764" s="1">
        <v>0.7147</v>
      </c>
      <c r="E764" s="1">
        <v>6788</v>
      </c>
      <c r="F764" s="1">
        <v>14676</v>
      </c>
      <c r="G764" s="1">
        <v>0.65569999999999995</v>
      </c>
      <c r="H764" s="1">
        <v>0.84009999999999996</v>
      </c>
      <c r="I764" s="1">
        <v>0.30520000000000003</v>
      </c>
      <c r="J764" s="1">
        <v>53032</v>
      </c>
      <c r="K764" s="1">
        <v>25000</v>
      </c>
      <c r="L764" s="1">
        <v>11014</v>
      </c>
      <c r="M764" s="1">
        <v>20</v>
      </c>
      <c r="N764" s="1" t="s">
        <v>28</v>
      </c>
      <c r="O764" s="1" t="s">
        <v>42</v>
      </c>
      <c r="P764" s="1" t="s">
        <v>39</v>
      </c>
      <c r="Q764" s="1" t="s">
        <v>23</v>
      </c>
      <c r="R764">
        <v>0.4665193244431588</v>
      </c>
    </row>
    <row r="765" spans="1:18" x14ac:dyDescent="0.2">
      <c r="A765" s="1">
        <v>228325</v>
      </c>
      <c r="B765" s="1" t="s">
        <v>839</v>
      </c>
      <c r="C765" s="1" t="s">
        <v>36</v>
      </c>
      <c r="D765" s="1">
        <v>0.89019999999999999</v>
      </c>
      <c r="E765" s="1">
        <v>1479</v>
      </c>
      <c r="F765" s="1">
        <v>25064</v>
      </c>
      <c r="G765" s="1">
        <v>0.41560000000000002</v>
      </c>
      <c r="H765" s="1">
        <v>0.75160000000000005</v>
      </c>
      <c r="I765" s="1">
        <v>0.47799999999999998</v>
      </c>
      <c r="J765" s="1">
        <v>46238</v>
      </c>
      <c r="K765" s="1">
        <v>24725</v>
      </c>
      <c r="L765" s="1">
        <v>6539</v>
      </c>
      <c r="M765" s="1">
        <v>15</v>
      </c>
      <c r="N765" s="1" t="s">
        <v>20</v>
      </c>
      <c r="O765" s="1" t="s">
        <v>21</v>
      </c>
      <c r="P765" s="1" t="s">
        <v>30</v>
      </c>
      <c r="Q765" s="1" t="s">
        <v>31</v>
      </c>
      <c r="R765">
        <v>0.46569858429458633</v>
      </c>
    </row>
    <row r="766" spans="1:18" x14ac:dyDescent="0.2">
      <c r="A766" s="1">
        <v>218414</v>
      </c>
      <c r="B766" s="1" t="s">
        <v>840</v>
      </c>
      <c r="C766" s="1" t="s">
        <v>155</v>
      </c>
      <c r="D766" s="1">
        <v>0.89790000000000003</v>
      </c>
      <c r="E766" s="1">
        <v>1479</v>
      </c>
      <c r="F766" s="1">
        <v>31100</v>
      </c>
      <c r="G766" s="1">
        <v>0.45140000000000002</v>
      </c>
      <c r="H766" s="1">
        <v>0.6925</v>
      </c>
      <c r="I766" s="1">
        <v>0.48699999999999999</v>
      </c>
      <c r="J766" s="1">
        <v>48040</v>
      </c>
      <c r="K766" s="1">
        <v>26805</v>
      </c>
      <c r="L766" s="1">
        <v>7467</v>
      </c>
      <c r="M766" s="1">
        <v>15</v>
      </c>
      <c r="N766" s="1" t="s">
        <v>20</v>
      </c>
      <c r="O766" s="1" t="s">
        <v>42</v>
      </c>
      <c r="P766" s="1" t="s">
        <v>30</v>
      </c>
      <c r="Q766" s="1" t="s">
        <v>31</v>
      </c>
      <c r="R766">
        <v>0.46534626885828823</v>
      </c>
    </row>
    <row r="767" spans="1:18" x14ac:dyDescent="0.2">
      <c r="A767" s="1">
        <v>192703</v>
      </c>
      <c r="B767" s="1" t="s">
        <v>841</v>
      </c>
      <c r="C767" s="1" t="s">
        <v>58</v>
      </c>
      <c r="D767" s="1">
        <v>0.78939999999999999</v>
      </c>
      <c r="E767" s="1">
        <v>2744</v>
      </c>
      <c r="F767" s="1">
        <v>53400</v>
      </c>
      <c r="G767" s="1">
        <v>0.6371</v>
      </c>
      <c r="H767" s="1">
        <v>0.75980000000000003</v>
      </c>
      <c r="I767" s="1">
        <v>0.36</v>
      </c>
      <c r="J767" s="1">
        <v>86316</v>
      </c>
      <c r="K767" s="1">
        <v>26000</v>
      </c>
      <c r="L767" s="1">
        <v>12755</v>
      </c>
      <c r="M767" s="1">
        <v>15</v>
      </c>
      <c r="N767" s="1" t="s">
        <v>20</v>
      </c>
      <c r="O767" s="1" t="s">
        <v>29</v>
      </c>
      <c r="P767" s="1" t="s">
        <v>39</v>
      </c>
      <c r="Q767" s="1" t="s">
        <v>23</v>
      </c>
      <c r="R767">
        <v>0.46512463753576438</v>
      </c>
    </row>
    <row r="768" spans="1:18" x14ac:dyDescent="0.2">
      <c r="A768" s="1">
        <v>190983</v>
      </c>
      <c r="B768" s="1" t="s">
        <v>842</v>
      </c>
      <c r="C768" s="1" t="s">
        <v>58</v>
      </c>
      <c r="D768" s="1">
        <v>0.76959999999999995</v>
      </c>
      <c r="E768" s="1">
        <v>708</v>
      </c>
      <c r="F768" s="1">
        <v>38976</v>
      </c>
      <c r="G768" s="1">
        <v>0.64710000000000001</v>
      </c>
      <c r="H768" s="1">
        <v>0.69750000000000001</v>
      </c>
      <c r="I768" s="1">
        <v>0.37909999999999999</v>
      </c>
      <c r="J768" s="1">
        <v>57550</v>
      </c>
      <c r="K768" s="1">
        <v>27000</v>
      </c>
      <c r="L768" s="1">
        <v>5191</v>
      </c>
      <c r="M768" s="1">
        <v>11</v>
      </c>
      <c r="N768" s="1" t="s">
        <v>20</v>
      </c>
      <c r="O768" s="1" t="s">
        <v>29</v>
      </c>
      <c r="P768" s="1" t="s">
        <v>39</v>
      </c>
      <c r="Q768" s="1" t="s">
        <v>23</v>
      </c>
      <c r="R768">
        <v>0.46503224229679618</v>
      </c>
    </row>
    <row r="769" spans="1:18" x14ac:dyDescent="0.2">
      <c r="A769" s="1">
        <v>179955</v>
      </c>
      <c r="B769" s="1" t="s">
        <v>843</v>
      </c>
      <c r="C769" s="1" t="s">
        <v>77</v>
      </c>
      <c r="D769" s="1">
        <v>0.3836</v>
      </c>
      <c r="E769" s="1">
        <v>924</v>
      </c>
      <c r="F769" s="1">
        <v>20610</v>
      </c>
      <c r="G769" s="1">
        <v>0.67659999999999998</v>
      </c>
      <c r="H769" s="1">
        <v>0.73799999999999999</v>
      </c>
      <c r="I769" s="1">
        <v>0.31569999999999998</v>
      </c>
      <c r="J769" s="1">
        <v>59268</v>
      </c>
      <c r="K769" s="1">
        <v>24498</v>
      </c>
      <c r="L769" s="1">
        <v>7488</v>
      </c>
      <c r="M769" s="1">
        <v>10</v>
      </c>
      <c r="N769" s="1" t="s">
        <v>20</v>
      </c>
      <c r="O769" s="1" t="s">
        <v>21</v>
      </c>
      <c r="P769" s="1" t="s">
        <v>22</v>
      </c>
      <c r="Q769" s="1" t="s">
        <v>23</v>
      </c>
      <c r="R769">
        <v>0.46215198680762837</v>
      </c>
    </row>
    <row r="770" spans="1:18" x14ac:dyDescent="0.2">
      <c r="A770" s="1">
        <v>212197</v>
      </c>
      <c r="B770" s="1" t="s">
        <v>844</v>
      </c>
      <c r="C770" s="1" t="s">
        <v>98</v>
      </c>
      <c r="D770" s="1">
        <v>0.77869999999999995</v>
      </c>
      <c r="E770" s="1">
        <v>1868</v>
      </c>
      <c r="F770" s="1">
        <v>37950</v>
      </c>
      <c r="G770" s="1">
        <v>0.76170000000000004</v>
      </c>
      <c r="H770" s="1">
        <v>0.83720000000000006</v>
      </c>
      <c r="I770" s="1">
        <v>0.2084</v>
      </c>
      <c r="J770" s="1">
        <v>62399</v>
      </c>
      <c r="K770" s="1">
        <v>27000</v>
      </c>
      <c r="L770" s="1">
        <v>9109</v>
      </c>
      <c r="M770" s="1">
        <v>13</v>
      </c>
      <c r="N770" s="1" t="s">
        <v>20</v>
      </c>
      <c r="O770" s="1" t="s">
        <v>21</v>
      </c>
      <c r="P770" s="1" t="s">
        <v>39</v>
      </c>
      <c r="Q770" s="1" t="s">
        <v>23</v>
      </c>
      <c r="R770">
        <v>0.4614575637181092</v>
      </c>
    </row>
    <row r="771" spans="1:18" x14ac:dyDescent="0.2">
      <c r="A771" s="1">
        <v>198695</v>
      </c>
      <c r="B771" s="1" t="s">
        <v>845</v>
      </c>
      <c r="C771" s="1" t="s">
        <v>86</v>
      </c>
      <c r="D771" s="1">
        <v>0.75309999999999999</v>
      </c>
      <c r="E771" s="1">
        <v>5129</v>
      </c>
      <c r="F771" s="1">
        <v>45312</v>
      </c>
      <c r="G771" s="1">
        <v>0.73699999999999999</v>
      </c>
      <c r="H771" s="1">
        <v>0.85350000000000004</v>
      </c>
      <c r="I771" s="1">
        <v>0.11849999999999999</v>
      </c>
      <c r="J771" s="1">
        <v>61389</v>
      </c>
      <c r="K771" s="1">
        <v>24575</v>
      </c>
      <c r="L771" s="1">
        <v>9147</v>
      </c>
      <c r="M771" s="1">
        <v>21</v>
      </c>
      <c r="N771" s="1" t="s">
        <v>20</v>
      </c>
      <c r="O771" s="1" t="s">
        <v>29</v>
      </c>
      <c r="P771" s="1" t="s">
        <v>30</v>
      </c>
      <c r="Q771" s="1" t="s">
        <v>23</v>
      </c>
      <c r="R771">
        <v>0.4613903878523582</v>
      </c>
    </row>
    <row r="772" spans="1:18" x14ac:dyDescent="0.2">
      <c r="A772" s="1">
        <v>171100</v>
      </c>
      <c r="B772" s="1" t="s">
        <v>846</v>
      </c>
      <c r="C772" s="1" t="s">
        <v>109</v>
      </c>
      <c r="D772" s="1">
        <v>0.84799999999999998</v>
      </c>
      <c r="E772" s="1">
        <v>40922</v>
      </c>
      <c r="F772" s="1">
        <v>43842</v>
      </c>
      <c r="G772" s="1">
        <v>0.80720000000000003</v>
      </c>
      <c r="H772" s="1">
        <v>0.90049999999999997</v>
      </c>
      <c r="I772" s="1">
        <v>0.2009</v>
      </c>
      <c r="J772" s="1">
        <v>67253</v>
      </c>
      <c r="K772" s="1">
        <v>23250</v>
      </c>
      <c r="L772" s="1">
        <v>13468</v>
      </c>
      <c r="M772" s="1">
        <v>17</v>
      </c>
      <c r="N772" s="1" t="s">
        <v>28</v>
      </c>
      <c r="O772" s="1" t="s">
        <v>29</v>
      </c>
      <c r="P772" s="1" t="s">
        <v>22</v>
      </c>
      <c r="Q772" s="1" t="s">
        <v>23</v>
      </c>
      <c r="R772">
        <v>0.46094034422682584</v>
      </c>
    </row>
    <row r="773" spans="1:18" x14ac:dyDescent="0.2">
      <c r="A773" s="1">
        <v>482556</v>
      </c>
      <c r="B773" s="1" t="s">
        <v>847</v>
      </c>
      <c r="C773" s="1" t="s">
        <v>66</v>
      </c>
      <c r="D773" s="1">
        <v>1</v>
      </c>
      <c r="E773" s="1">
        <v>62</v>
      </c>
      <c r="F773" s="1">
        <v>17408</v>
      </c>
      <c r="G773" s="1">
        <v>0.71430000000000005</v>
      </c>
      <c r="H773" s="1">
        <v>1</v>
      </c>
      <c r="I773" s="1">
        <v>0.70589999999999997</v>
      </c>
      <c r="J773" s="1">
        <v>45987</v>
      </c>
      <c r="K773" s="1">
        <v>24807</v>
      </c>
      <c r="L773" s="1">
        <v>12428</v>
      </c>
      <c r="M773" s="1">
        <v>2</v>
      </c>
      <c r="N773" s="1" t="s">
        <v>142</v>
      </c>
      <c r="O773" s="1" t="s">
        <v>21</v>
      </c>
      <c r="P773" s="1" t="s">
        <v>39</v>
      </c>
      <c r="Q773" s="1" t="s">
        <v>31</v>
      </c>
      <c r="R773">
        <v>0.46071361069144467</v>
      </c>
    </row>
    <row r="774" spans="1:18" x14ac:dyDescent="0.2">
      <c r="A774" s="1">
        <v>210331</v>
      </c>
      <c r="B774" s="1" t="s">
        <v>848</v>
      </c>
      <c r="C774" s="1" t="s">
        <v>79</v>
      </c>
      <c r="D774" s="1">
        <v>0.93899999999999995</v>
      </c>
      <c r="E774" s="1">
        <v>678</v>
      </c>
      <c r="F774" s="1">
        <v>40280</v>
      </c>
      <c r="G774" s="1">
        <v>0.60589999999999999</v>
      </c>
      <c r="H774" s="1">
        <v>0.77700000000000002</v>
      </c>
      <c r="I774" s="1">
        <v>0.24970000000000001</v>
      </c>
      <c r="J774" s="1">
        <v>48917</v>
      </c>
      <c r="K774" s="1">
        <v>22625</v>
      </c>
      <c r="L774" s="1">
        <v>6449</v>
      </c>
      <c r="M774" s="1">
        <v>17</v>
      </c>
      <c r="N774" s="1" t="s">
        <v>20</v>
      </c>
      <c r="O774" s="1" t="s">
        <v>29</v>
      </c>
      <c r="P774" s="1" t="s">
        <v>22</v>
      </c>
      <c r="Q774" s="1" t="s">
        <v>31</v>
      </c>
      <c r="R774">
        <v>0.4571821404313835</v>
      </c>
    </row>
    <row r="775" spans="1:18" x14ac:dyDescent="0.2">
      <c r="A775" s="1">
        <v>239390</v>
      </c>
      <c r="B775" s="1" t="s">
        <v>849</v>
      </c>
      <c r="C775" s="1" t="s">
        <v>50</v>
      </c>
      <c r="D775" s="1">
        <v>0.62329999999999997</v>
      </c>
      <c r="E775" s="1">
        <v>631</v>
      </c>
      <c r="F775" s="1">
        <v>35420</v>
      </c>
      <c r="G775" s="1">
        <v>0.42959999999999998</v>
      </c>
      <c r="H775" s="1">
        <v>0.67249999999999999</v>
      </c>
      <c r="I775" s="1">
        <v>0.59409999999999996</v>
      </c>
      <c r="J775" s="1">
        <v>48745</v>
      </c>
      <c r="K775" s="1">
        <v>25288</v>
      </c>
      <c r="L775" s="1">
        <v>6776</v>
      </c>
      <c r="M775" s="1">
        <v>9</v>
      </c>
      <c r="N775" s="1" t="s">
        <v>20</v>
      </c>
      <c r="O775" s="1" t="s">
        <v>29</v>
      </c>
      <c r="P775" s="1" t="s">
        <v>22</v>
      </c>
      <c r="Q775" s="1" t="s">
        <v>31</v>
      </c>
      <c r="R775">
        <v>0.45579442593095287</v>
      </c>
    </row>
    <row r="776" spans="1:18" x14ac:dyDescent="0.2">
      <c r="A776" s="1">
        <v>101587</v>
      </c>
      <c r="B776" s="1" t="s">
        <v>850</v>
      </c>
      <c r="C776" s="1" t="s">
        <v>177</v>
      </c>
      <c r="D776" s="1">
        <v>0.42649999999999999</v>
      </c>
      <c r="E776" s="1">
        <v>2974</v>
      </c>
      <c r="F776" s="1">
        <v>20090</v>
      </c>
      <c r="G776" s="1">
        <v>0.34699999999999998</v>
      </c>
      <c r="H776" s="1">
        <v>0.64880000000000004</v>
      </c>
      <c r="I776" s="1">
        <v>0.58169999999999999</v>
      </c>
      <c r="J776" s="1">
        <v>44232</v>
      </c>
      <c r="K776" s="1">
        <v>24944</v>
      </c>
      <c r="L776" s="1">
        <v>8001</v>
      </c>
      <c r="M776" s="1">
        <v>19</v>
      </c>
      <c r="N776" s="1" t="s">
        <v>28</v>
      </c>
      <c r="O776" s="1" t="s">
        <v>42</v>
      </c>
      <c r="P776" s="1" t="s">
        <v>30</v>
      </c>
      <c r="Q776" s="1" t="s">
        <v>31</v>
      </c>
      <c r="R776">
        <v>0.45415655320191217</v>
      </c>
    </row>
    <row r="777" spans="1:18" x14ac:dyDescent="0.2">
      <c r="A777" s="1">
        <v>166674</v>
      </c>
      <c r="B777" s="1" t="s">
        <v>851</v>
      </c>
      <c r="C777" s="1" t="s">
        <v>129</v>
      </c>
      <c r="D777" s="1">
        <v>0.76270000000000004</v>
      </c>
      <c r="E777" s="1">
        <v>1831</v>
      </c>
      <c r="F777" s="1">
        <v>43400</v>
      </c>
      <c r="G777" s="1">
        <v>0.68869999999999998</v>
      </c>
      <c r="H777" s="1">
        <v>0.89100000000000001</v>
      </c>
      <c r="I777" s="1">
        <v>0.29530000000000001</v>
      </c>
      <c r="J777" s="1">
        <v>43582</v>
      </c>
      <c r="K777" s="1">
        <v>25755</v>
      </c>
      <c r="L777" s="1">
        <v>10690</v>
      </c>
      <c r="M777" s="1">
        <v>9</v>
      </c>
      <c r="N777" s="1" t="s">
        <v>28</v>
      </c>
      <c r="O777" s="1" t="s">
        <v>29</v>
      </c>
      <c r="P777" s="1" t="s">
        <v>39</v>
      </c>
      <c r="Q777" s="1" t="s">
        <v>31</v>
      </c>
      <c r="R777">
        <v>0.45351788922899283</v>
      </c>
    </row>
    <row r="778" spans="1:18" x14ac:dyDescent="0.2">
      <c r="A778" s="1">
        <v>475741</v>
      </c>
      <c r="B778" s="1" t="s">
        <v>852</v>
      </c>
      <c r="C778" s="1" t="s">
        <v>102</v>
      </c>
      <c r="D778" s="1">
        <v>1</v>
      </c>
      <c r="E778" s="1">
        <v>144</v>
      </c>
      <c r="F778" s="1">
        <v>19975</v>
      </c>
      <c r="G778" s="1">
        <v>0</v>
      </c>
      <c r="H778" s="1">
        <v>1</v>
      </c>
      <c r="I778" s="1">
        <v>0.55369999999999997</v>
      </c>
      <c r="J778" s="1">
        <v>92405</v>
      </c>
      <c r="K778" s="1">
        <v>20919</v>
      </c>
      <c r="L778" s="1">
        <v>8978</v>
      </c>
      <c r="M778" s="1">
        <v>13</v>
      </c>
      <c r="N778" s="1" t="s">
        <v>142</v>
      </c>
      <c r="O778" s="1" t="s">
        <v>29</v>
      </c>
      <c r="P778" s="1" t="s">
        <v>22</v>
      </c>
      <c r="Q778" s="1" t="s">
        <v>23</v>
      </c>
      <c r="R778">
        <v>0.45252113600224297</v>
      </c>
    </row>
    <row r="779" spans="1:18" x14ac:dyDescent="0.2">
      <c r="A779" s="1">
        <v>201104</v>
      </c>
      <c r="B779" s="1" t="s">
        <v>853</v>
      </c>
      <c r="C779" s="1" t="s">
        <v>19</v>
      </c>
      <c r="D779" s="1">
        <v>0.76400000000000001</v>
      </c>
      <c r="E779" s="1">
        <v>2199</v>
      </c>
      <c r="F779" s="1">
        <v>31210</v>
      </c>
      <c r="G779" s="1">
        <v>0.60629999999999995</v>
      </c>
      <c r="H779" s="1">
        <v>0.76519999999999999</v>
      </c>
      <c r="I779" s="1">
        <v>0.28849999999999998</v>
      </c>
      <c r="J779" s="1">
        <v>52928</v>
      </c>
      <c r="K779" s="1">
        <v>25000</v>
      </c>
      <c r="L779" s="1">
        <v>7701</v>
      </c>
      <c r="M779" s="1">
        <v>14</v>
      </c>
      <c r="N779" s="1" t="s">
        <v>20</v>
      </c>
      <c r="O779" s="1" t="s">
        <v>42</v>
      </c>
      <c r="P779" s="1" t="s">
        <v>22</v>
      </c>
      <c r="Q779" s="1" t="s">
        <v>23</v>
      </c>
      <c r="R779">
        <v>0.45215777602549356</v>
      </c>
    </row>
    <row r="780" spans="1:18" x14ac:dyDescent="0.2">
      <c r="A780" s="1">
        <v>233295</v>
      </c>
      <c r="B780" s="1" t="s">
        <v>854</v>
      </c>
      <c r="C780" s="1" t="s">
        <v>52</v>
      </c>
      <c r="D780" s="1">
        <v>0.86609999999999998</v>
      </c>
      <c r="E780" s="1">
        <v>1639</v>
      </c>
      <c r="F780" s="1">
        <v>49466</v>
      </c>
      <c r="G780" s="1">
        <v>0.70479999999999998</v>
      </c>
      <c r="H780" s="1">
        <v>0.83720000000000006</v>
      </c>
      <c r="I780" s="1">
        <v>0.19869999999999999</v>
      </c>
      <c r="J780" s="1">
        <v>58448</v>
      </c>
      <c r="K780" s="1">
        <v>27000</v>
      </c>
      <c r="L780" s="1">
        <v>9162</v>
      </c>
      <c r="M780" s="1">
        <v>11</v>
      </c>
      <c r="N780" s="1" t="s">
        <v>20</v>
      </c>
      <c r="O780" s="1" t="s">
        <v>21</v>
      </c>
      <c r="P780" s="1" t="s">
        <v>30</v>
      </c>
      <c r="Q780" s="1" t="s">
        <v>23</v>
      </c>
      <c r="R780">
        <v>0.45188279351955485</v>
      </c>
    </row>
    <row r="781" spans="1:18" x14ac:dyDescent="0.2">
      <c r="A781" s="1">
        <v>100724</v>
      </c>
      <c r="B781" s="1" t="s">
        <v>855</v>
      </c>
      <c r="C781" s="1" t="s">
        <v>177</v>
      </c>
      <c r="D781" s="1">
        <v>0.97550000000000003</v>
      </c>
      <c r="E781" s="1">
        <v>3477</v>
      </c>
      <c r="F781" s="1">
        <v>19576</v>
      </c>
      <c r="G781" s="1">
        <v>0.3034</v>
      </c>
      <c r="H781" s="1">
        <v>0.69750000000000001</v>
      </c>
      <c r="I781" s="1">
        <v>0.71340000000000003</v>
      </c>
      <c r="J781" s="1">
        <v>34502</v>
      </c>
      <c r="K781" s="1">
        <v>31000</v>
      </c>
      <c r="L781" s="1">
        <v>8153</v>
      </c>
      <c r="M781" s="1">
        <v>15</v>
      </c>
      <c r="N781" s="1" t="s">
        <v>28</v>
      </c>
      <c r="O781" s="1" t="s">
        <v>29</v>
      </c>
      <c r="P781" s="1" t="s">
        <v>30</v>
      </c>
      <c r="Q781" s="1" t="s">
        <v>31</v>
      </c>
      <c r="R781">
        <v>0.4518652200863833</v>
      </c>
    </row>
    <row r="782" spans="1:18" x14ac:dyDescent="0.2">
      <c r="A782" s="1">
        <v>210669</v>
      </c>
      <c r="B782" s="1" t="s">
        <v>856</v>
      </c>
      <c r="C782" s="1" t="s">
        <v>98</v>
      </c>
      <c r="D782" s="1">
        <v>0.54569999999999996</v>
      </c>
      <c r="E782" s="1">
        <v>1156</v>
      </c>
      <c r="F782" s="1">
        <v>56550</v>
      </c>
      <c r="G782" s="1">
        <v>0.72550000000000003</v>
      </c>
      <c r="H782" s="1">
        <v>0.77939999999999998</v>
      </c>
      <c r="I782" s="1">
        <v>0.28489999999999999</v>
      </c>
      <c r="J782" s="1">
        <v>62069</v>
      </c>
      <c r="K782" s="1">
        <v>27000</v>
      </c>
      <c r="L782" s="1">
        <v>8582</v>
      </c>
      <c r="M782" s="1">
        <v>8</v>
      </c>
      <c r="N782" s="1" t="s">
        <v>20</v>
      </c>
      <c r="O782" s="1" t="s">
        <v>42</v>
      </c>
      <c r="P782" s="1" t="s">
        <v>39</v>
      </c>
      <c r="Q782" s="1" t="s">
        <v>23</v>
      </c>
      <c r="R782">
        <v>0.45129777668405668</v>
      </c>
    </row>
    <row r="783" spans="1:18" x14ac:dyDescent="0.2">
      <c r="A783" s="1">
        <v>232937</v>
      </c>
      <c r="B783" s="1" t="s">
        <v>857</v>
      </c>
      <c r="C783" s="1" t="s">
        <v>52</v>
      </c>
      <c r="D783" s="1">
        <v>0.87770000000000004</v>
      </c>
      <c r="E783" s="1">
        <v>5392</v>
      </c>
      <c r="F783" s="1">
        <v>21682</v>
      </c>
      <c r="G783" s="1">
        <v>0.38500000000000001</v>
      </c>
      <c r="H783" s="1">
        <v>0.72560000000000002</v>
      </c>
      <c r="I783" s="1">
        <v>0.64970000000000006</v>
      </c>
      <c r="J783" s="1">
        <v>44666</v>
      </c>
      <c r="K783" s="1">
        <v>29000</v>
      </c>
      <c r="L783" s="1">
        <v>9767</v>
      </c>
      <c r="M783" s="1">
        <v>15</v>
      </c>
      <c r="N783" s="1" t="s">
        <v>28</v>
      </c>
      <c r="O783" s="1" t="s">
        <v>29</v>
      </c>
      <c r="P783" s="1" t="s">
        <v>30</v>
      </c>
      <c r="Q783" s="1" t="s">
        <v>31</v>
      </c>
      <c r="R783">
        <v>0.45087271121388905</v>
      </c>
    </row>
    <row r="784" spans="1:18" x14ac:dyDescent="0.2">
      <c r="A784" s="1">
        <v>215743</v>
      </c>
      <c r="B784" s="1" t="s">
        <v>858</v>
      </c>
      <c r="C784" s="1" t="s">
        <v>98</v>
      </c>
      <c r="D784" s="1">
        <v>0.76819999999999999</v>
      </c>
      <c r="E784" s="1">
        <v>1557</v>
      </c>
      <c r="F784" s="1">
        <v>44000</v>
      </c>
      <c r="G784" s="1">
        <v>0.74390000000000001</v>
      </c>
      <c r="H784" s="1">
        <v>0.83020000000000005</v>
      </c>
      <c r="I784" s="1">
        <v>0.17699999999999999</v>
      </c>
      <c r="J784" s="1">
        <v>62101</v>
      </c>
      <c r="K784" s="1">
        <v>27000</v>
      </c>
      <c r="L784" s="1">
        <v>7645</v>
      </c>
      <c r="M784" s="1">
        <v>16</v>
      </c>
      <c r="N784" s="1" t="s">
        <v>20</v>
      </c>
      <c r="O784" s="1" t="s">
        <v>42</v>
      </c>
      <c r="P784" s="1" t="s">
        <v>39</v>
      </c>
      <c r="Q784" s="1" t="s">
        <v>23</v>
      </c>
      <c r="R784">
        <v>0.44987928988544079</v>
      </c>
    </row>
    <row r="785" spans="1:18" x14ac:dyDescent="0.2">
      <c r="A785" s="1">
        <v>183211</v>
      </c>
      <c r="B785" s="1" t="s">
        <v>859</v>
      </c>
      <c r="C785" s="1" t="s">
        <v>38</v>
      </c>
      <c r="D785" s="1">
        <v>0.82589999999999997</v>
      </c>
      <c r="E785" s="1">
        <v>1231</v>
      </c>
      <c r="F785" s="1">
        <v>39488</v>
      </c>
      <c r="G785" s="1">
        <v>0.51670000000000005</v>
      </c>
      <c r="H785" s="1">
        <v>0.7571</v>
      </c>
      <c r="I785" s="1">
        <v>0.28310000000000002</v>
      </c>
      <c r="J785" s="1">
        <v>52248</v>
      </c>
      <c r="K785" s="1">
        <v>26956</v>
      </c>
      <c r="L785" s="1">
        <v>8174</v>
      </c>
      <c r="M785" s="1">
        <v>14</v>
      </c>
      <c r="N785" s="1" t="s">
        <v>20</v>
      </c>
      <c r="O785" s="1" t="s">
        <v>29</v>
      </c>
      <c r="P785" s="1" t="s">
        <v>39</v>
      </c>
      <c r="Q785" s="1" t="s">
        <v>23</v>
      </c>
      <c r="R785">
        <v>0.44980562971417803</v>
      </c>
    </row>
    <row r="786" spans="1:18" x14ac:dyDescent="0.2">
      <c r="A786" s="1">
        <v>186432</v>
      </c>
      <c r="B786" s="1" t="s">
        <v>860</v>
      </c>
      <c r="C786" s="1" t="s">
        <v>66</v>
      </c>
      <c r="D786" s="1">
        <v>0.90300000000000002</v>
      </c>
      <c r="E786" s="1">
        <v>2135</v>
      </c>
      <c r="F786" s="1">
        <v>42552</v>
      </c>
      <c r="G786" s="1">
        <v>0.58260000000000001</v>
      </c>
      <c r="H786" s="1">
        <v>0.71779999999999999</v>
      </c>
      <c r="I786" s="1">
        <v>0.51980000000000004</v>
      </c>
      <c r="J786" s="1">
        <v>57815</v>
      </c>
      <c r="K786" s="1">
        <v>20500</v>
      </c>
      <c r="L786" s="1">
        <v>9476</v>
      </c>
      <c r="M786" s="1">
        <v>12</v>
      </c>
      <c r="N786" s="1" t="s">
        <v>20</v>
      </c>
      <c r="O786" s="1" t="s">
        <v>29</v>
      </c>
      <c r="P786" s="1" t="s">
        <v>39</v>
      </c>
      <c r="Q786" s="1" t="s">
        <v>23</v>
      </c>
      <c r="R786">
        <v>0.44871040920060123</v>
      </c>
    </row>
    <row r="787" spans="1:18" x14ac:dyDescent="0.2">
      <c r="A787" s="1">
        <v>145619</v>
      </c>
      <c r="B787" s="1" t="s">
        <v>861</v>
      </c>
      <c r="C787" s="1" t="s">
        <v>25</v>
      </c>
      <c r="D787" s="1">
        <v>0.95230000000000004</v>
      </c>
      <c r="E787" s="1">
        <v>1942</v>
      </c>
      <c r="F787" s="1">
        <v>35940</v>
      </c>
      <c r="G787" s="1">
        <v>0.50329999999999997</v>
      </c>
      <c r="H787" s="1">
        <v>0.66010000000000002</v>
      </c>
      <c r="I787" s="1">
        <v>0.3947</v>
      </c>
      <c r="J787" s="1">
        <v>63446</v>
      </c>
      <c r="K787" s="1">
        <v>22500</v>
      </c>
      <c r="L787" s="1">
        <v>8516</v>
      </c>
      <c r="M787" s="1">
        <v>15</v>
      </c>
      <c r="N787" s="1" t="s">
        <v>20</v>
      </c>
      <c r="O787" s="1" t="s">
        <v>21</v>
      </c>
      <c r="P787" s="1" t="s">
        <v>22</v>
      </c>
      <c r="Q787" s="1" t="s">
        <v>23</v>
      </c>
      <c r="R787">
        <v>0.44846970344190185</v>
      </c>
    </row>
    <row r="788" spans="1:18" x14ac:dyDescent="0.2">
      <c r="A788" s="1">
        <v>170532</v>
      </c>
      <c r="B788" s="1" t="s">
        <v>862</v>
      </c>
      <c r="C788" s="1" t="s">
        <v>109</v>
      </c>
      <c r="D788" s="1">
        <v>0.75319999999999998</v>
      </c>
      <c r="E788" s="1">
        <v>1149</v>
      </c>
      <c r="F788" s="1">
        <v>61050</v>
      </c>
      <c r="G788" s="1">
        <v>0.75980000000000003</v>
      </c>
      <c r="H788" s="1">
        <v>0.84550000000000003</v>
      </c>
      <c r="I788" s="1">
        <v>0.25750000000000001</v>
      </c>
      <c r="J788" s="1">
        <v>65590</v>
      </c>
      <c r="K788" s="1">
        <v>26077</v>
      </c>
      <c r="L788" s="1">
        <v>8916</v>
      </c>
      <c r="M788" s="1">
        <v>10</v>
      </c>
      <c r="N788" s="1" t="s">
        <v>20</v>
      </c>
      <c r="O788" s="1" t="s">
        <v>29</v>
      </c>
      <c r="P788" s="1" t="s">
        <v>22</v>
      </c>
      <c r="Q788" s="1" t="s">
        <v>23</v>
      </c>
      <c r="R788">
        <v>0.44812467962339375</v>
      </c>
    </row>
    <row r="789" spans="1:18" x14ac:dyDescent="0.2">
      <c r="A789" s="1">
        <v>171128</v>
      </c>
      <c r="B789" s="1" t="s">
        <v>863</v>
      </c>
      <c r="C789" s="1" t="s">
        <v>109</v>
      </c>
      <c r="D789" s="1">
        <v>0.92430000000000001</v>
      </c>
      <c r="E789" s="1">
        <v>5955</v>
      </c>
      <c r="F789" s="1">
        <v>42988</v>
      </c>
      <c r="G789" s="1">
        <v>0.68059999999999998</v>
      </c>
      <c r="H789" s="1">
        <v>0.88819999999999999</v>
      </c>
      <c r="I789" s="1">
        <v>0.20230000000000001</v>
      </c>
      <c r="J789" s="1">
        <v>78198</v>
      </c>
      <c r="K789" s="1">
        <v>24990</v>
      </c>
      <c r="L789" s="1">
        <v>11858</v>
      </c>
      <c r="M789" s="1">
        <v>13</v>
      </c>
      <c r="N789" s="1" t="s">
        <v>28</v>
      </c>
      <c r="O789" s="1" t="s">
        <v>42</v>
      </c>
      <c r="P789" s="1" t="s">
        <v>22</v>
      </c>
      <c r="Q789" s="1" t="s">
        <v>23</v>
      </c>
      <c r="R789">
        <v>0.44808747874167465</v>
      </c>
    </row>
    <row r="790" spans="1:18" x14ac:dyDescent="0.2">
      <c r="A790" s="1">
        <v>226587</v>
      </c>
      <c r="B790" s="1" t="s">
        <v>864</v>
      </c>
      <c r="C790" s="1" t="s">
        <v>36</v>
      </c>
      <c r="D790" s="1">
        <v>0.57040000000000002</v>
      </c>
      <c r="E790" s="1">
        <v>1176</v>
      </c>
      <c r="F790" s="1">
        <v>32340</v>
      </c>
      <c r="G790" s="1">
        <v>0.44290000000000002</v>
      </c>
      <c r="H790" s="1">
        <v>0.63519999999999999</v>
      </c>
      <c r="I790" s="1">
        <v>0.2382</v>
      </c>
      <c r="J790" s="1">
        <v>48779</v>
      </c>
      <c r="K790" s="1">
        <v>27000</v>
      </c>
      <c r="L790" s="1">
        <v>7497</v>
      </c>
      <c r="M790" s="1">
        <v>16</v>
      </c>
      <c r="N790" s="1" t="s">
        <v>20</v>
      </c>
      <c r="O790" s="1" t="s">
        <v>29</v>
      </c>
      <c r="P790" s="1" t="s">
        <v>30</v>
      </c>
      <c r="Q790" s="1" t="s">
        <v>31</v>
      </c>
      <c r="R790">
        <v>0.44615871426952947</v>
      </c>
    </row>
    <row r="791" spans="1:18" x14ac:dyDescent="0.2">
      <c r="A791" s="1">
        <v>217235</v>
      </c>
      <c r="B791" s="1" t="s">
        <v>865</v>
      </c>
      <c r="C791" s="1" t="s">
        <v>92</v>
      </c>
      <c r="D791" s="1">
        <v>0.8841</v>
      </c>
      <c r="E791" s="1">
        <v>3868</v>
      </c>
      <c r="F791" s="1">
        <v>42419</v>
      </c>
      <c r="G791" s="1">
        <v>0.55410000000000004</v>
      </c>
      <c r="H791" s="1">
        <v>0.81989999999999996</v>
      </c>
      <c r="I791" s="1">
        <v>0.3004</v>
      </c>
      <c r="J791" s="1">
        <v>43418</v>
      </c>
      <c r="K791" s="1">
        <v>26000</v>
      </c>
      <c r="L791" s="1">
        <v>10624</v>
      </c>
      <c r="M791" s="1">
        <v>14</v>
      </c>
      <c r="N791" s="1" t="s">
        <v>20</v>
      </c>
      <c r="O791" s="1" t="s">
        <v>29</v>
      </c>
      <c r="P791" s="1" t="s">
        <v>39</v>
      </c>
      <c r="Q791" s="1" t="s">
        <v>31</v>
      </c>
      <c r="R791">
        <v>0.44523746909704986</v>
      </c>
    </row>
    <row r="792" spans="1:18" x14ac:dyDescent="0.2">
      <c r="A792" s="1">
        <v>150145</v>
      </c>
      <c r="B792" s="1" t="s">
        <v>377</v>
      </c>
      <c r="C792" s="1" t="s">
        <v>102</v>
      </c>
      <c r="D792" s="1">
        <v>0.97660000000000002</v>
      </c>
      <c r="E792" s="1">
        <v>1008</v>
      </c>
      <c r="F792" s="1">
        <v>34600</v>
      </c>
      <c r="G792" s="1">
        <v>0.53220000000000001</v>
      </c>
      <c r="H792" s="1">
        <v>0.72399999999999998</v>
      </c>
      <c r="I792" s="1">
        <v>0.33489999999999998</v>
      </c>
      <c r="J792" s="1">
        <v>48860</v>
      </c>
      <c r="K792" s="1">
        <v>25000</v>
      </c>
      <c r="L792" s="1">
        <v>6402</v>
      </c>
      <c r="M792" s="1">
        <v>12</v>
      </c>
      <c r="N792" s="1" t="s">
        <v>20</v>
      </c>
      <c r="O792" s="1" t="s">
        <v>29</v>
      </c>
      <c r="P792" s="1" t="s">
        <v>22</v>
      </c>
      <c r="Q792" s="1" t="s">
        <v>31</v>
      </c>
      <c r="R792">
        <v>0.4449904930095836</v>
      </c>
    </row>
    <row r="793" spans="1:18" x14ac:dyDescent="0.2">
      <c r="A793" s="1">
        <v>236939</v>
      </c>
      <c r="B793" s="1" t="s">
        <v>866</v>
      </c>
      <c r="C793" s="1" t="s">
        <v>171</v>
      </c>
      <c r="D793" s="1">
        <v>0.86639999999999995</v>
      </c>
      <c r="E793" s="1">
        <v>21099</v>
      </c>
      <c r="F793" s="1">
        <v>29950</v>
      </c>
      <c r="G793" s="1">
        <v>0.60499999999999998</v>
      </c>
      <c r="H793" s="1">
        <v>0.78339999999999999</v>
      </c>
      <c r="I793" s="1">
        <v>0.27379999999999999</v>
      </c>
      <c r="J793" s="1">
        <v>68905</v>
      </c>
      <c r="K793" s="1">
        <v>19500</v>
      </c>
      <c r="L793" s="1">
        <v>11233</v>
      </c>
      <c r="M793" s="1">
        <v>15</v>
      </c>
      <c r="N793" s="1" t="s">
        <v>28</v>
      </c>
      <c r="O793" s="1" t="s">
        <v>42</v>
      </c>
      <c r="P793" s="1" t="s">
        <v>22</v>
      </c>
      <c r="Q793" s="1" t="s">
        <v>23</v>
      </c>
      <c r="R793">
        <v>0.44379717875849856</v>
      </c>
    </row>
    <row r="794" spans="1:18" x14ac:dyDescent="0.2">
      <c r="A794" s="1">
        <v>196158</v>
      </c>
      <c r="B794" s="1" t="s">
        <v>867</v>
      </c>
      <c r="C794" s="1" t="s">
        <v>58</v>
      </c>
      <c r="D794" s="1">
        <v>0.77700000000000002</v>
      </c>
      <c r="E794" s="1">
        <v>2755</v>
      </c>
      <c r="F794" s="1">
        <v>19771</v>
      </c>
      <c r="G794" s="1">
        <v>0.50209999999999999</v>
      </c>
      <c r="H794" s="1">
        <v>0.76239999999999997</v>
      </c>
      <c r="I794" s="1">
        <v>0.38829999999999998</v>
      </c>
      <c r="J794" s="1">
        <v>54247</v>
      </c>
      <c r="K794" s="1">
        <v>24250</v>
      </c>
      <c r="L794" s="1">
        <v>8123</v>
      </c>
      <c r="M794" s="1">
        <v>11</v>
      </c>
      <c r="N794" s="1" t="s">
        <v>28</v>
      </c>
      <c r="O794" s="1" t="s">
        <v>42</v>
      </c>
      <c r="P794" s="1" t="s">
        <v>39</v>
      </c>
      <c r="Q794" s="1" t="s">
        <v>23</v>
      </c>
      <c r="R794">
        <v>0.44370944069091156</v>
      </c>
    </row>
    <row r="795" spans="1:18" x14ac:dyDescent="0.2">
      <c r="A795" s="1">
        <v>217688</v>
      </c>
      <c r="B795" s="1" t="s">
        <v>868</v>
      </c>
      <c r="C795" s="1" t="s">
        <v>155</v>
      </c>
      <c r="D795" s="1">
        <v>0.96460000000000001</v>
      </c>
      <c r="E795" s="1">
        <v>2893</v>
      </c>
      <c r="F795" s="1">
        <v>32520</v>
      </c>
      <c r="G795" s="1">
        <v>0.47239999999999999</v>
      </c>
      <c r="H795" s="1">
        <v>0.63139999999999996</v>
      </c>
      <c r="I795" s="1">
        <v>0.34489999999999998</v>
      </c>
      <c r="J795" s="1">
        <v>45898</v>
      </c>
      <c r="K795" s="1">
        <v>26471</v>
      </c>
      <c r="L795" s="1">
        <v>6523</v>
      </c>
      <c r="M795" s="1">
        <v>12</v>
      </c>
      <c r="N795" s="1" t="s">
        <v>20</v>
      </c>
      <c r="O795" s="1" t="s">
        <v>29</v>
      </c>
      <c r="P795" s="1" t="s">
        <v>30</v>
      </c>
      <c r="Q795" s="1" t="s">
        <v>31</v>
      </c>
      <c r="R795">
        <v>0.44132980576713321</v>
      </c>
    </row>
    <row r="796" spans="1:18" x14ac:dyDescent="0.2">
      <c r="A796" s="1">
        <v>237057</v>
      </c>
      <c r="B796" s="1" t="s">
        <v>869</v>
      </c>
      <c r="C796" s="1" t="s">
        <v>171</v>
      </c>
      <c r="D796" s="1">
        <v>0.38150000000000001</v>
      </c>
      <c r="E796" s="1">
        <v>1531</v>
      </c>
      <c r="F796" s="1">
        <v>64050</v>
      </c>
      <c r="G796" s="1">
        <v>0.80520000000000003</v>
      </c>
      <c r="H796" s="1">
        <v>0.86709999999999998</v>
      </c>
      <c r="I796" s="1">
        <v>0.16320000000000001</v>
      </c>
      <c r="J796" s="1">
        <v>67589</v>
      </c>
      <c r="K796" s="1">
        <v>18437</v>
      </c>
      <c r="L796" s="1">
        <v>10628</v>
      </c>
      <c r="M796" s="1">
        <v>10</v>
      </c>
      <c r="N796" s="1" t="s">
        <v>20</v>
      </c>
      <c r="O796" s="1" t="s">
        <v>29</v>
      </c>
      <c r="P796" s="1" t="s">
        <v>22</v>
      </c>
      <c r="Q796" s="1" t="s">
        <v>23</v>
      </c>
      <c r="R796">
        <v>0.44007421741956387</v>
      </c>
    </row>
    <row r="797" spans="1:18" x14ac:dyDescent="0.2">
      <c r="A797" s="1">
        <v>191630</v>
      </c>
      <c r="B797" s="1" t="s">
        <v>870</v>
      </c>
      <c r="C797" s="1" t="s">
        <v>58</v>
      </c>
      <c r="D797" s="1">
        <v>0.63990000000000002</v>
      </c>
      <c r="E797" s="1">
        <v>1786</v>
      </c>
      <c r="F797" s="1">
        <v>65117</v>
      </c>
      <c r="G797" s="1">
        <v>0.77249999999999996</v>
      </c>
      <c r="H797" s="1">
        <v>0.86360000000000003</v>
      </c>
      <c r="I797" s="1">
        <v>0.25090000000000001</v>
      </c>
      <c r="J797" s="1">
        <v>68831</v>
      </c>
      <c r="K797" s="1">
        <v>27000</v>
      </c>
      <c r="L797" s="1">
        <v>9559</v>
      </c>
      <c r="M797" s="1">
        <v>11</v>
      </c>
      <c r="N797" s="1" t="s">
        <v>20</v>
      </c>
      <c r="O797" s="1" t="s">
        <v>42</v>
      </c>
      <c r="P797" s="1" t="s">
        <v>39</v>
      </c>
      <c r="Q797" s="1" t="s">
        <v>23</v>
      </c>
      <c r="R797">
        <v>0.43967756245763134</v>
      </c>
    </row>
    <row r="798" spans="1:18" x14ac:dyDescent="0.2">
      <c r="A798" s="1">
        <v>207157</v>
      </c>
      <c r="B798" s="1" t="s">
        <v>871</v>
      </c>
      <c r="C798" s="1" t="s">
        <v>224</v>
      </c>
      <c r="D798" s="1">
        <v>0.5786</v>
      </c>
      <c r="E798" s="1">
        <v>267</v>
      </c>
      <c r="F798" s="1">
        <v>17714</v>
      </c>
      <c r="G798" s="1">
        <v>0.26390000000000002</v>
      </c>
      <c r="H798" s="1">
        <v>0.5625</v>
      </c>
      <c r="I798" s="1">
        <v>0.37369999999999998</v>
      </c>
      <c r="J798" s="1">
        <v>42051</v>
      </c>
      <c r="K798" s="1">
        <v>22626</v>
      </c>
      <c r="L798" s="1">
        <v>3236</v>
      </c>
      <c r="M798" s="1">
        <v>11</v>
      </c>
      <c r="N798" s="1" t="s">
        <v>20</v>
      </c>
      <c r="O798" s="1" t="s">
        <v>21</v>
      </c>
      <c r="P798" s="1" t="s">
        <v>30</v>
      </c>
      <c r="Q798" s="1" t="s">
        <v>31</v>
      </c>
      <c r="R798">
        <v>0.4369464664610736</v>
      </c>
    </row>
    <row r="799" spans="1:18" x14ac:dyDescent="0.2">
      <c r="A799" s="1">
        <v>200059</v>
      </c>
      <c r="B799" s="1" t="s">
        <v>872</v>
      </c>
      <c r="C799" s="1" t="s">
        <v>836</v>
      </c>
      <c r="D799" s="1">
        <v>0.37019999999999997</v>
      </c>
      <c r="E799" s="1">
        <v>1090</v>
      </c>
      <c r="F799" s="1">
        <v>9118</v>
      </c>
      <c r="G799" s="1">
        <v>0.50600000000000001</v>
      </c>
      <c r="H799" s="1">
        <v>0.6744</v>
      </c>
      <c r="I799" s="1">
        <v>0.21479999999999999</v>
      </c>
      <c r="J799" s="1">
        <v>50720</v>
      </c>
      <c r="K799" s="1">
        <v>18442</v>
      </c>
      <c r="L799" s="1">
        <v>7146</v>
      </c>
      <c r="M799" s="1">
        <v>16</v>
      </c>
      <c r="N799" s="1" t="s">
        <v>28</v>
      </c>
      <c r="O799" s="1" t="s">
        <v>42</v>
      </c>
      <c r="P799" s="1" t="s">
        <v>22</v>
      </c>
      <c r="Q799" s="1" t="s">
        <v>23</v>
      </c>
      <c r="R799">
        <v>0.43636705478516025</v>
      </c>
    </row>
    <row r="800" spans="1:18" x14ac:dyDescent="0.2">
      <c r="A800" s="1">
        <v>219602</v>
      </c>
      <c r="B800" s="1" t="s">
        <v>873</v>
      </c>
      <c r="C800" s="1" t="s">
        <v>163</v>
      </c>
      <c r="D800" s="1">
        <v>0.96409999999999996</v>
      </c>
      <c r="E800" s="1">
        <v>7560</v>
      </c>
      <c r="F800" s="1">
        <v>14766</v>
      </c>
      <c r="G800" s="1">
        <v>0.40239999999999998</v>
      </c>
      <c r="H800" s="1">
        <v>0.69969999999999999</v>
      </c>
      <c r="I800" s="1">
        <v>0.435</v>
      </c>
      <c r="J800" s="1">
        <v>44301</v>
      </c>
      <c r="K800" s="1">
        <v>20547</v>
      </c>
      <c r="L800" s="1">
        <v>9044</v>
      </c>
      <c r="M800" s="1">
        <v>14</v>
      </c>
      <c r="N800" s="1" t="s">
        <v>28</v>
      </c>
      <c r="O800" s="1" t="s">
        <v>29</v>
      </c>
      <c r="P800" s="1" t="s">
        <v>30</v>
      </c>
      <c r="Q800" s="1" t="s">
        <v>31</v>
      </c>
      <c r="R800">
        <v>0.4361508797930328</v>
      </c>
    </row>
    <row r="801" spans="1:18" x14ac:dyDescent="0.2">
      <c r="A801" s="1">
        <v>102049</v>
      </c>
      <c r="B801" s="1" t="s">
        <v>874</v>
      </c>
      <c r="C801" s="1" t="s">
        <v>177</v>
      </c>
      <c r="D801" s="1">
        <v>0.8236</v>
      </c>
      <c r="E801" s="1">
        <v>4206</v>
      </c>
      <c r="F801" s="1">
        <v>40150</v>
      </c>
      <c r="G801" s="1">
        <v>0.77039999999999997</v>
      </c>
      <c r="H801" s="1">
        <v>0.92869999999999997</v>
      </c>
      <c r="I801" s="1">
        <v>0.1109</v>
      </c>
      <c r="J801" s="1">
        <v>58469</v>
      </c>
      <c r="K801" s="1">
        <v>19500</v>
      </c>
      <c r="L801" s="1">
        <v>10188</v>
      </c>
      <c r="M801" s="1">
        <v>14</v>
      </c>
      <c r="N801" s="1" t="s">
        <v>20</v>
      </c>
      <c r="O801" s="1" t="s">
        <v>21</v>
      </c>
      <c r="P801" s="1" t="s">
        <v>30</v>
      </c>
      <c r="Q801" s="1" t="s">
        <v>23</v>
      </c>
      <c r="R801">
        <v>0.43461189018785729</v>
      </c>
    </row>
    <row r="802" spans="1:18" x14ac:dyDescent="0.2">
      <c r="A802" s="1">
        <v>153861</v>
      </c>
      <c r="B802" s="1" t="s">
        <v>875</v>
      </c>
      <c r="C802" s="1" t="s">
        <v>81</v>
      </c>
      <c r="D802" s="1">
        <v>0.95699999999999996</v>
      </c>
      <c r="E802" s="1">
        <v>922</v>
      </c>
      <c r="F802" s="1">
        <v>16530</v>
      </c>
      <c r="G802" s="1">
        <v>0.5</v>
      </c>
      <c r="H802" s="1">
        <v>0.6129</v>
      </c>
      <c r="I802" s="1">
        <v>0.56889999999999996</v>
      </c>
      <c r="J802" s="1">
        <v>27981</v>
      </c>
      <c r="K802" s="1">
        <v>24781</v>
      </c>
      <c r="L802" s="1">
        <v>4582</v>
      </c>
      <c r="M802" s="1">
        <v>13</v>
      </c>
      <c r="N802" s="1" t="s">
        <v>20</v>
      </c>
      <c r="O802" s="1" t="s">
        <v>42</v>
      </c>
      <c r="P802" s="1" t="s">
        <v>22</v>
      </c>
      <c r="Q802" s="1" t="s">
        <v>31</v>
      </c>
      <c r="R802">
        <v>0.43446922634669061</v>
      </c>
    </row>
    <row r="803" spans="1:18" x14ac:dyDescent="0.2">
      <c r="A803" s="1">
        <v>214652</v>
      </c>
      <c r="B803" s="1" t="s">
        <v>876</v>
      </c>
      <c r="C803" s="1" t="s">
        <v>98</v>
      </c>
      <c r="D803" s="1">
        <v>0.98519999999999996</v>
      </c>
      <c r="E803" s="1">
        <v>793</v>
      </c>
      <c r="F803" s="1">
        <v>25392</v>
      </c>
      <c r="G803" s="1">
        <v>0.39290000000000003</v>
      </c>
      <c r="H803" s="1">
        <v>0.79310000000000003</v>
      </c>
      <c r="I803" s="1">
        <v>0.41820000000000002</v>
      </c>
      <c r="J803" s="1">
        <v>63435</v>
      </c>
      <c r="K803" s="1">
        <v>25000</v>
      </c>
      <c r="L803" s="1">
        <v>9774</v>
      </c>
      <c r="M803" s="1">
        <v>11</v>
      </c>
      <c r="N803" s="1" t="s">
        <v>28</v>
      </c>
      <c r="O803" s="1" t="s">
        <v>21</v>
      </c>
      <c r="P803" s="1" t="s">
        <v>39</v>
      </c>
      <c r="Q803" s="1" t="s">
        <v>23</v>
      </c>
      <c r="R803">
        <v>0.43418614845108627</v>
      </c>
    </row>
    <row r="804" spans="1:18" x14ac:dyDescent="0.2">
      <c r="A804" s="1">
        <v>183910</v>
      </c>
      <c r="B804" s="1" t="s">
        <v>877</v>
      </c>
      <c r="C804" s="1" t="s">
        <v>66</v>
      </c>
      <c r="D804" s="1">
        <v>0.71340000000000003</v>
      </c>
      <c r="E804" s="1">
        <v>1575</v>
      </c>
      <c r="F804" s="1">
        <v>40848</v>
      </c>
      <c r="G804" s="1">
        <v>0.57489999999999997</v>
      </c>
      <c r="H804" s="1">
        <v>0.77259999999999995</v>
      </c>
      <c r="I804" s="1">
        <v>0.48620000000000002</v>
      </c>
      <c r="J804" s="1">
        <v>53843</v>
      </c>
      <c r="K804" s="1">
        <v>25000</v>
      </c>
      <c r="L804" s="1">
        <v>8318</v>
      </c>
      <c r="M804" s="1">
        <v>12</v>
      </c>
      <c r="N804" s="1" t="s">
        <v>20</v>
      </c>
      <c r="O804" s="1" t="s">
        <v>21</v>
      </c>
      <c r="P804" s="1" t="s">
        <v>39</v>
      </c>
      <c r="Q804" s="1" t="s">
        <v>23</v>
      </c>
      <c r="R804">
        <v>0.43345012302008334</v>
      </c>
    </row>
    <row r="805" spans="1:18" x14ac:dyDescent="0.2">
      <c r="A805" s="1">
        <v>154350</v>
      </c>
      <c r="B805" s="1" t="s">
        <v>878</v>
      </c>
      <c r="C805" s="1" t="s">
        <v>81</v>
      </c>
      <c r="D805" s="1">
        <v>0.86219999999999997</v>
      </c>
      <c r="E805" s="1">
        <v>1227</v>
      </c>
      <c r="F805" s="1">
        <v>47656</v>
      </c>
      <c r="G805" s="1">
        <v>0.63329999999999997</v>
      </c>
      <c r="H805" s="1">
        <v>0.81289999999999996</v>
      </c>
      <c r="I805" s="1">
        <v>0.34560000000000002</v>
      </c>
      <c r="J805" s="1">
        <v>59274</v>
      </c>
      <c r="K805" s="1">
        <v>26000</v>
      </c>
      <c r="L805" s="1">
        <v>6723</v>
      </c>
      <c r="M805" s="1">
        <v>12</v>
      </c>
      <c r="N805" s="1" t="s">
        <v>20</v>
      </c>
      <c r="O805" s="1" t="s">
        <v>42</v>
      </c>
      <c r="P805" s="1" t="s">
        <v>22</v>
      </c>
      <c r="Q805" s="1" t="s">
        <v>23</v>
      </c>
      <c r="R805">
        <v>0.43217820578644628</v>
      </c>
    </row>
    <row r="806" spans="1:18" x14ac:dyDescent="0.2">
      <c r="A806" s="1">
        <v>215947</v>
      </c>
      <c r="B806" s="1" t="s">
        <v>879</v>
      </c>
      <c r="C806" s="1" t="s">
        <v>98</v>
      </c>
      <c r="D806" s="1">
        <v>0.79530000000000001</v>
      </c>
      <c r="E806" s="1">
        <v>1492</v>
      </c>
      <c r="F806" s="1">
        <v>42944</v>
      </c>
      <c r="G806" s="1">
        <v>0.67359999999999998</v>
      </c>
      <c r="H806" s="1">
        <v>0.80879999999999996</v>
      </c>
      <c r="I806" s="1">
        <v>0.31269999999999998</v>
      </c>
      <c r="J806" s="1">
        <v>51748</v>
      </c>
      <c r="K806" s="1">
        <v>27000</v>
      </c>
      <c r="L806" s="1">
        <v>8143</v>
      </c>
      <c r="M806" s="1">
        <v>13</v>
      </c>
      <c r="N806" s="1" t="s">
        <v>20</v>
      </c>
      <c r="O806" s="1" t="s">
        <v>21</v>
      </c>
      <c r="P806" s="1" t="s">
        <v>39</v>
      </c>
      <c r="Q806" s="1" t="s">
        <v>23</v>
      </c>
      <c r="R806">
        <v>0.42926414542995806</v>
      </c>
    </row>
    <row r="807" spans="1:18" x14ac:dyDescent="0.2">
      <c r="A807" s="1">
        <v>197869</v>
      </c>
      <c r="B807" s="1" t="s">
        <v>880</v>
      </c>
      <c r="C807" s="1" t="s">
        <v>86</v>
      </c>
      <c r="D807" s="1">
        <v>0.90139999999999998</v>
      </c>
      <c r="E807" s="1">
        <v>19444</v>
      </c>
      <c r="F807" s="1">
        <v>25212</v>
      </c>
      <c r="G807" s="1">
        <v>0.74529999999999996</v>
      </c>
      <c r="H807" s="1">
        <v>0.83689999999999998</v>
      </c>
      <c r="I807" s="1">
        <v>0.26419999999999999</v>
      </c>
      <c r="J807" s="1">
        <v>51836</v>
      </c>
      <c r="K807" s="1">
        <v>20231</v>
      </c>
      <c r="L807" s="1">
        <v>9281</v>
      </c>
      <c r="M807" s="1">
        <v>16</v>
      </c>
      <c r="N807" s="1" t="s">
        <v>28</v>
      </c>
      <c r="O807" s="1" t="s">
        <v>42</v>
      </c>
      <c r="P807" s="1" t="s">
        <v>30</v>
      </c>
      <c r="Q807" s="1" t="s">
        <v>23</v>
      </c>
      <c r="R807">
        <v>0.42902456983247916</v>
      </c>
    </row>
    <row r="808" spans="1:18" x14ac:dyDescent="0.2">
      <c r="A808" s="1">
        <v>155973</v>
      </c>
      <c r="B808" s="1" t="s">
        <v>881</v>
      </c>
      <c r="C808" s="1" t="s">
        <v>56</v>
      </c>
      <c r="D808" s="1">
        <v>0.64580000000000004</v>
      </c>
      <c r="E808" s="1">
        <v>494</v>
      </c>
      <c r="F808" s="1">
        <v>36200</v>
      </c>
      <c r="G808" s="1">
        <v>0.33739999999999998</v>
      </c>
      <c r="H808" s="1">
        <v>0.52710000000000001</v>
      </c>
      <c r="I808" s="1">
        <v>0.38040000000000002</v>
      </c>
      <c r="J808" s="1">
        <v>54058</v>
      </c>
      <c r="K808" s="1">
        <v>23887</v>
      </c>
      <c r="L808" s="1">
        <v>6159</v>
      </c>
      <c r="M808" s="1">
        <v>15</v>
      </c>
      <c r="N808" s="1" t="s">
        <v>20</v>
      </c>
      <c r="O808" s="1" t="s">
        <v>42</v>
      </c>
      <c r="P808" s="1" t="s">
        <v>22</v>
      </c>
      <c r="Q808" s="1" t="s">
        <v>23</v>
      </c>
      <c r="R808">
        <v>0.42792096309131522</v>
      </c>
    </row>
    <row r="809" spans="1:18" x14ac:dyDescent="0.2">
      <c r="A809" s="1">
        <v>127918</v>
      </c>
      <c r="B809" s="1" t="s">
        <v>882</v>
      </c>
      <c r="C809" s="1" t="s">
        <v>161</v>
      </c>
      <c r="D809" s="1">
        <v>0.86460000000000004</v>
      </c>
      <c r="E809" s="1">
        <v>2627</v>
      </c>
      <c r="F809" s="1">
        <v>46340</v>
      </c>
      <c r="G809" s="1">
        <v>0.61019999999999996</v>
      </c>
      <c r="H809" s="1">
        <v>0.71430000000000005</v>
      </c>
      <c r="I809" s="1">
        <v>0.31830000000000003</v>
      </c>
      <c r="J809" s="1">
        <v>72105</v>
      </c>
      <c r="K809" s="1">
        <v>25000</v>
      </c>
      <c r="L809" s="1">
        <v>8318</v>
      </c>
      <c r="M809" s="1">
        <v>11</v>
      </c>
      <c r="N809" s="1" t="s">
        <v>20</v>
      </c>
      <c r="O809" s="1" t="s">
        <v>29</v>
      </c>
      <c r="P809" s="1" t="s">
        <v>22</v>
      </c>
      <c r="Q809" s="1" t="s">
        <v>23</v>
      </c>
      <c r="R809">
        <v>0.42615466472434138</v>
      </c>
    </row>
    <row r="810" spans="1:18" x14ac:dyDescent="0.2">
      <c r="A810" s="1">
        <v>209612</v>
      </c>
      <c r="B810" s="1" t="s">
        <v>883</v>
      </c>
      <c r="C810" s="1" t="s">
        <v>79</v>
      </c>
      <c r="D810" s="1">
        <v>0.89559999999999995</v>
      </c>
      <c r="E810" s="1">
        <v>1516</v>
      </c>
      <c r="F810" s="1">
        <v>56374</v>
      </c>
      <c r="G810" s="1">
        <v>0.66979999999999995</v>
      </c>
      <c r="H810" s="1">
        <v>0.79449999999999998</v>
      </c>
      <c r="I810" s="1">
        <v>0.2777</v>
      </c>
      <c r="J810" s="1">
        <v>60583</v>
      </c>
      <c r="K810" s="1">
        <v>23223</v>
      </c>
      <c r="L810" s="1">
        <v>9129</v>
      </c>
      <c r="M810" s="1">
        <v>10</v>
      </c>
      <c r="N810" s="1" t="s">
        <v>20</v>
      </c>
      <c r="O810" s="1" t="s">
        <v>21</v>
      </c>
      <c r="P810" s="1" t="s">
        <v>22</v>
      </c>
      <c r="Q810" s="1" t="s">
        <v>23</v>
      </c>
      <c r="R810">
        <v>0.42502747687535491</v>
      </c>
    </row>
    <row r="811" spans="1:18" x14ac:dyDescent="0.2">
      <c r="A811" s="1">
        <v>167729</v>
      </c>
      <c r="B811" s="1" t="s">
        <v>884</v>
      </c>
      <c r="C811" s="1" t="s">
        <v>129</v>
      </c>
      <c r="D811" s="1">
        <v>0.95879999999999999</v>
      </c>
      <c r="E811" s="1">
        <v>4291</v>
      </c>
      <c r="F811" s="1">
        <v>19531</v>
      </c>
      <c r="G811" s="1">
        <v>0.49769999999999998</v>
      </c>
      <c r="H811" s="1">
        <v>0.75249999999999995</v>
      </c>
      <c r="I811" s="1">
        <v>0.3538</v>
      </c>
      <c r="J811" s="1">
        <v>56662</v>
      </c>
      <c r="K811" s="1">
        <v>25000</v>
      </c>
      <c r="L811" s="1">
        <v>10694</v>
      </c>
      <c r="M811" s="1">
        <v>12</v>
      </c>
      <c r="N811" s="1" t="s">
        <v>28</v>
      </c>
      <c r="O811" s="1" t="s">
        <v>21</v>
      </c>
      <c r="P811" s="1" t="s">
        <v>39</v>
      </c>
      <c r="Q811" s="1" t="s">
        <v>23</v>
      </c>
      <c r="R811">
        <v>0.42402402269820227</v>
      </c>
    </row>
    <row r="812" spans="1:18" x14ac:dyDescent="0.2">
      <c r="A812" s="1">
        <v>179566</v>
      </c>
      <c r="B812" s="1" t="s">
        <v>885</v>
      </c>
      <c r="C812" s="1" t="s">
        <v>77</v>
      </c>
      <c r="D812" s="1">
        <v>0.90529999999999999</v>
      </c>
      <c r="E812" s="1">
        <v>13313</v>
      </c>
      <c r="F812" s="1">
        <v>18770</v>
      </c>
      <c r="G812" s="1">
        <v>0.57909999999999995</v>
      </c>
      <c r="H812" s="1">
        <v>0.77249999999999996</v>
      </c>
      <c r="I812" s="1">
        <v>0.22009999999999999</v>
      </c>
      <c r="J812" s="1">
        <v>49827</v>
      </c>
      <c r="K812" s="1">
        <v>21992</v>
      </c>
      <c r="L812" s="1">
        <v>9014</v>
      </c>
      <c r="M812" s="1">
        <v>21</v>
      </c>
      <c r="N812" s="1" t="s">
        <v>28</v>
      </c>
      <c r="O812" s="1" t="s">
        <v>29</v>
      </c>
      <c r="P812" s="1" t="s">
        <v>22</v>
      </c>
      <c r="Q812" s="1" t="s">
        <v>31</v>
      </c>
      <c r="R812">
        <v>0.42343468392861994</v>
      </c>
    </row>
    <row r="813" spans="1:18" x14ac:dyDescent="0.2">
      <c r="A813" s="1">
        <v>190646</v>
      </c>
      <c r="B813" s="1" t="s">
        <v>886</v>
      </c>
      <c r="C813" s="1" t="s">
        <v>58</v>
      </c>
      <c r="D813" s="1">
        <v>0.86050000000000004</v>
      </c>
      <c r="E813" s="1">
        <v>3233</v>
      </c>
      <c r="F813" s="1">
        <v>15302</v>
      </c>
      <c r="G813" s="1">
        <v>0.19769999999999999</v>
      </c>
      <c r="H813" s="1">
        <v>0.49740000000000001</v>
      </c>
      <c r="I813" s="1">
        <v>0.56320000000000003</v>
      </c>
      <c r="J813" s="1">
        <v>46498</v>
      </c>
      <c r="K813" s="1">
        <v>10988</v>
      </c>
      <c r="L813" s="1">
        <v>11999</v>
      </c>
      <c r="M813" s="1">
        <v>13</v>
      </c>
      <c r="N813" s="1" t="s">
        <v>28</v>
      </c>
      <c r="O813" s="1" t="s">
        <v>29</v>
      </c>
      <c r="P813" s="1" t="s">
        <v>39</v>
      </c>
      <c r="Q813" s="1" t="s">
        <v>31</v>
      </c>
      <c r="R813">
        <v>0.42311770631613843</v>
      </c>
    </row>
    <row r="814" spans="1:18" x14ac:dyDescent="0.2">
      <c r="A814" s="1">
        <v>228705</v>
      </c>
      <c r="B814" s="1" t="s">
        <v>887</v>
      </c>
      <c r="C814" s="1" t="s">
        <v>36</v>
      </c>
      <c r="D814" s="1">
        <v>0.90920000000000001</v>
      </c>
      <c r="E814" s="1">
        <v>4748</v>
      </c>
      <c r="F814" s="1">
        <v>25746</v>
      </c>
      <c r="G814" s="1">
        <v>0.41870000000000002</v>
      </c>
      <c r="H814" s="1">
        <v>0.64590000000000003</v>
      </c>
      <c r="I814" s="1">
        <v>0.52729999999999999</v>
      </c>
      <c r="J814" s="1">
        <v>51450</v>
      </c>
      <c r="K814" s="1">
        <v>22934</v>
      </c>
      <c r="L814" s="1">
        <v>8761</v>
      </c>
      <c r="M814" s="1">
        <v>18</v>
      </c>
      <c r="N814" s="1" t="s">
        <v>28</v>
      </c>
      <c r="O814" s="1" t="s">
        <v>42</v>
      </c>
      <c r="P814" s="1" t="s">
        <v>30</v>
      </c>
      <c r="Q814" s="1" t="s">
        <v>23</v>
      </c>
      <c r="R814">
        <v>0.4230174911579917</v>
      </c>
    </row>
    <row r="815" spans="1:18" x14ac:dyDescent="0.2">
      <c r="A815" s="1">
        <v>147341</v>
      </c>
      <c r="B815" s="1" t="s">
        <v>888</v>
      </c>
      <c r="C815" s="1" t="s">
        <v>25</v>
      </c>
      <c r="D815" s="1">
        <v>0.9093</v>
      </c>
      <c r="E815" s="1">
        <v>702</v>
      </c>
      <c r="F815" s="1">
        <v>44922</v>
      </c>
      <c r="G815" s="1">
        <v>0.64610000000000001</v>
      </c>
      <c r="H815" s="1">
        <v>0.74409999999999998</v>
      </c>
      <c r="I815" s="1">
        <v>0.37140000000000001</v>
      </c>
      <c r="J815" s="1">
        <v>51110</v>
      </c>
      <c r="K815" s="1">
        <v>27000</v>
      </c>
      <c r="L815" s="1">
        <v>6882</v>
      </c>
      <c r="M815" s="1">
        <v>9</v>
      </c>
      <c r="N815" s="1" t="s">
        <v>20</v>
      </c>
      <c r="O815" s="1" t="s">
        <v>42</v>
      </c>
      <c r="P815" s="1" t="s">
        <v>22</v>
      </c>
      <c r="Q815" s="1" t="s">
        <v>23</v>
      </c>
      <c r="R815">
        <v>0.4219579539006505</v>
      </c>
    </row>
    <row r="816" spans="1:18" x14ac:dyDescent="0.2">
      <c r="A816" s="1">
        <v>237011</v>
      </c>
      <c r="B816" s="1" t="s">
        <v>889</v>
      </c>
      <c r="C816" s="1" t="s">
        <v>171</v>
      </c>
      <c r="D816" s="1">
        <v>0.9325</v>
      </c>
      <c r="E816" s="1">
        <v>13544</v>
      </c>
      <c r="F816" s="1">
        <v>28707</v>
      </c>
      <c r="G816" s="1">
        <v>0.64639999999999997</v>
      </c>
      <c r="H816" s="1">
        <v>0.79369999999999996</v>
      </c>
      <c r="I816" s="1">
        <v>0.2089</v>
      </c>
      <c r="J816" s="1">
        <v>62569</v>
      </c>
      <c r="K816" s="1">
        <v>18500</v>
      </c>
      <c r="L816" s="1">
        <v>11802</v>
      </c>
      <c r="M816" s="1">
        <v>18</v>
      </c>
      <c r="N816" s="1" t="s">
        <v>28</v>
      </c>
      <c r="O816" s="1" t="s">
        <v>29</v>
      </c>
      <c r="P816" s="1" t="s">
        <v>22</v>
      </c>
      <c r="Q816" s="1" t="s">
        <v>23</v>
      </c>
      <c r="R816">
        <v>0.42109750106420407</v>
      </c>
    </row>
    <row r="817" spans="1:18" x14ac:dyDescent="0.2">
      <c r="A817" s="1">
        <v>145637</v>
      </c>
      <c r="B817" s="1" t="s">
        <v>890</v>
      </c>
      <c r="C817" s="1" t="s">
        <v>25</v>
      </c>
      <c r="D817" s="1">
        <v>0.42370000000000002</v>
      </c>
      <c r="E817" s="1">
        <v>36258</v>
      </c>
      <c r="F817" s="1">
        <v>35124</v>
      </c>
      <c r="G817" s="1">
        <v>0.85129999999999995</v>
      </c>
      <c r="H817" s="1">
        <v>0.94799999999999995</v>
      </c>
      <c r="I817" s="1">
        <v>0.2341</v>
      </c>
      <c r="J817" s="1">
        <v>81054</v>
      </c>
      <c r="K817" s="1">
        <v>19500</v>
      </c>
      <c r="L817" s="1">
        <v>14464</v>
      </c>
      <c r="M817" s="1">
        <v>20</v>
      </c>
      <c r="N817" s="1" t="s">
        <v>28</v>
      </c>
      <c r="O817" s="1" t="s">
        <v>29</v>
      </c>
      <c r="P817" s="1" t="s">
        <v>22</v>
      </c>
      <c r="Q817" s="1" t="s">
        <v>23</v>
      </c>
      <c r="R817">
        <v>0.42108230636329647</v>
      </c>
    </row>
    <row r="818" spans="1:18" x14ac:dyDescent="0.2">
      <c r="A818" s="1">
        <v>216807</v>
      </c>
      <c r="B818" s="1" t="s">
        <v>127</v>
      </c>
      <c r="C818" s="1" t="s">
        <v>98</v>
      </c>
      <c r="D818" s="1">
        <v>0.92559999999999998</v>
      </c>
      <c r="E818" s="1">
        <v>1041</v>
      </c>
      <c r="F818" s="1">
        <v>40290</v>
      </c>
      <c r="G818" s="1">
        <v>0.64549999999999996</v>
      </c>
      <c r="H818" s="1">
        <v>0.80969999999999998</v>
      </c>
      <c r="I818" s="1">
        <v>0.26819999999999999</v>
      </c>
      <c r="J818" s="1">
        <v>53861</v>
      </c>
      <c r="K818" s="1">
        <v>26060</v>
      </c>
      <c r="L818" s="1">
        <v>7574</v>
      </c>
      <c r="M818" s="1">
        <v>12</v>
      </c>
      <c r="N818" s="1" t="s">
        <v>20</v>
      </c>
      <c r="O818" s="1" t="s">
        <v>42</v>
      </c>
      <c r="P818" s="1" t="s">
        <v>39</v>
      </c>
      <c r="Q818" s="1" t="s">
        <v>23</v>
      </c>
      <c r="R818">
        <v>0.42025319795144866</v>
      </c>
    </row>
    <row r="819" spans="1:18" x14ac:dyDescent="0.2">
      <c r="A819" s="1">
        <v>139861</v>
      </c>
      <c r="B819" s="1" t="s">
        <v>891</v>
      </c>
      <c r="C819" s="1" t="s">
        <v>126</v>
      </c>
      <c r="D819" s="1">
        <v>0.7823</v>
      </c>
      <c r="E819" s="1">
        <v>5947</v>
      </c>
      <c r="F819" s="1">
        <v>29512</v>
      </c>
      <c r="G819" s="1">
        <v>0.6361</v>
      </c>
      <c r="H819" s="1">
        <v>0.82350000000000001</v>
      </c>
      <c r="I819" s="1">
        <v>0.1757</v>
      </c>
      <c r="J819" s="1">
        <v>58140</v>
      </c>
      <c r="K819" s="1">
        <v>22250</v>
      </c>
      <c r="L819" s="1">
        <v>8775</v>
      </c>
      <c r="M819" s="1">
        <v>17</v>
      </c>
      <c r="N819" s="1" t="s">
        <v>28</v>
      </c>
      <c r="O819" s="1" t="s">
        <v>42</v>
      </c>
      <c r="P819" s="1" t="s">
        <v>30</v>
      </c>
      <c r="Q819" s="1" t="s">
        <v>23</v>
      </c>
      <c r="R819">
        <v>0.42003130298953373</v>
      </c>
    </row>
    <row r="820" spans="1:18" x14ac:dyDescent="0.2">
      <c r="A820" s="1">
        <v>128744</v>
      </c>
      <c r="B820" s="1" t="s">
        <v>892</v>
      </c>
      <c r="C820" s="1" t="s">
        <v>147</v>
      </c>
      <c r="D820" s="1">
        <v>0.83020000000000005</v>
      </c>
      <c r="E820" s="1">
        <v>1534</v>
      </c>
      <c r="F820" s="1">
        <v>35760</v>
      </c>
      <c r="G820" s="1">
        <v>0.41189999999999999</v>
      </c>
      <c r="H820" s="1">
        <v>0.6129</v>
      </c>
      <c r="I820" s="1">
        <v>0.53480000000000005</v>
      </c>
      <c r="J820" s="1">
        <v>50323</v>
      </c>
      <c r="K820" s="1">
        <v>25750</v>
      </c>
      <c r="L820" s="1">
        <v>7399</v>
      </c>
      <c r="M820" s="1">
        <v>15</v>
      </c>
      <c r="N820" s="1" t="s">
        <v>20</v>
      </c>
      <c r="O820" s="1" t="s">
        <v>29</v>
      </c>
      <c r="P820" s="1" t="s">
        <v>39</v>
      </c>
      <c r="Q820" s="1" t="s">
        <v>23</v>
      </c>
      <c r="R820">
        <v>0.41976607082410433</v>
      </c>
    </row>
    <row r="821" spans="1:18" x14ac:dyDescent="0.2">
      <c r="A821" s="1">
        <v>136172</v>
      </c>
      <c r="B821" s="1" t="s">
        <v>893</v>
      </c>
      <c r="C821" s="1" t="s">
        <v>27</v>
      </c>
      <c r="D821" s="1">
        <v>0.53239999999999998</v>
      </c>
      <c r="E821" s="1">
        <v>13359</v>
      </c>
      <c r="F821" s="1">
        <v>20793</v>
      </c>
      <c r="G821" s="1">
        <v>0.69210000000000005</v>
      </c>
      <c r="H821" s="1">
        <v>0.84660000000000002</v>
      </c>
      <c r="I821" s="1">
        <v>0.3075</v>
      </c>
      <c r="J821" s="1">
        <v>56343</v>
      </c>
      <c r="K821" s="1">
        <v>15531</v>
      </c>
      <c r="L821" s="1">
        <v>9595</v>
      </c>
      <c r="M821" s="1">
        <v>19</v>
      </c>
      <c r="N821" s="1" t="s">
        <v>28</v>
      </c>
      <c r="O821" s="1" t="s">
        <v>29</v>
      </c>
      <c r="P821" s="1" t="s">
        <v>30</v>
      </c>
      <c r="Q821" s="1" t="s">
        <v>23</v>
      </c>
      <c r="R821">
        <v>0.41894852390947501</v>
      </c>
    </row>
    <row r="822" spans="1:18" x14ac:dyDescent="0.2">
      <c r="A822" s="1">
        <v>148131</v>
      </c>
      <c r="B822" s="1" t="s">
        <v>894</v>
      </c>
      <c r="C822" s="1" t="s">
        <v>25</v>
      </c>
      <c r="D822" s="1">
        <v>0.50929999999999997</v>
      </c>
      <c r="E822" s="1">
        <v>1010</v>
      </c>
      <c r="F822" s="1">
        <v>37140</v>
      </c>
      <c r="G822" s="1">
        <v>0.45040000000000002</v>
      </c>
      <c r="H822" s="1">
        <v>0.70030000000000003</v>
      </c>
      <c r="I822" s="1">
        <v>0.29730000000000001</v>
      </c>
      <c r="J822" s="1">
        <v>50369</v>
      </c>
      <c r="K822" s="1">
        <v>24000</v>
      </c>
      <c r="L822" s="1">
        <v>6758</v>
      </c>
      <c r="M822" s="1">
        <v>12</v>
      </c>
      <c r="N822" s="1" t="s">
        <v>20</v>
      </c>
      <c r="O822" s="1" t="s">
        <v>42</v>
      </c>
      <c r="P822" s="1" t="s">
        <v>22</v>
      </c>
      <c r="Q822" s="1" t="s">
        <v>23</v>
      </c>
      <c r="R822">
        <v>0.41791370454117083</v>
      </c>
    </row>
    <row r="823" spans="1:18" x14ac:dyDescent="0.2">
      <c r="A823" s="1">
        <v>231624</v>
      </c>
      <c r="B823" s="1" t="s">
        <v>895</v>
      </c>
      <c r="C823" s="1" t="s">
        <v>52</v>
      </c>
      <c r="D823" s="1">
        <v>0.3407</v>
      </c>
      <c r="E823" s="1">
        <v>7055</v>
      </c>
      <c r="F823" s="1">
        <v>51038</v>
      </c>
      <c r="G823" s="1">
        <v>0.89419999999999999</v>
      </c>
      <c r="H823" s="1">
        <v>0.9456</v>
      </c>
      <c r="I823" s="1">
        <v>0.1245</v>
      </c>
      <c r="J823" s="1">
        <v>73490</v>
      </c>
      <c r="K823" s="1">
        <v>18500</v>
      </c>
      <c r="L823" s="1">
        <v>12942</v>
      </c>
      <c r="M823" s="1">
        <v>12</v>
      </c>
      <c r="N823" s="1" t="s">
        <v>28</v>
      </c>
      <c r="O823" s="1" t="s">
        <v>21</v>
      </c>
      <c r="P823" s="1" t="s">
        <v>30</v>
      </c>
      <c r="Q823" s="1" t="s">
        <v>23</v>
      </c>
      <c r="R823">
        <v>0.41693823260100138</v>
      </c>
    </row>
    <row r="824" spans="1:18" x14ac:dyDescent="0.2">
      <c r="A824" s="1">
        <v>149639</v>
      </c>
      <c r="B824" s="1" t="s">
        <v>896</v>
      </c>
      <c r="C824" s="1" t="s">
        <v>25</v>
      </c>
      <c r="D824" s="1">
        <v>0.89470000000000005</v>
      </c>
      <c r="E824" s="1">
        <v>76</v>
      </c>
      <c r="F824" s="1">
        <v>30910</v>
      </c>
      <c r="G824" s="1">
        <v>0.66669999999999996</v>
      </c>
      <c r="H824" s="1">
        <v>0.88239999999999996</v>
      </c>
      <c r="I824" s="1">
        <v>0.2626</v>
      </c>
      <c r="J824" s="1">
        <v>47863</v>
      </c>
      <c r="K824" s="1">
        <v>27000</v>
      </c>
      <c r="L824" s="1">
        <v>6945</v>
      </c>
      <c r="M824" s="1">
        <v>5</v>
      </c>
      <c r="N824" s="1" t="s">
        <v>20</v>
      </c>
      <c r="O824" s="1" t="s">
        <v>29</v>
      </c>
      <c r="P824" s="1" t="s">
        <v>22</v>
      </c>
      <c r="Q824" s="1" t="s">
        <v>31</v>
      </c>
      <c r="R824">
        <v>0.41684738243386421</v>
      </c>
    </row>
    <row r="825" spans="1:18" x14ac:dyDescent="0.2">
      <c r="A825" s="1">
        <v>377555</v>
      </c>
      <c r="B825" s="1" t="s">
        <v>897</v>
      </c>
      <c r="C825" s="1" t="s">
        <v>171</v>
      </c>
      <c r="D825" s="1">
        <v>0.90600000000000003</v>
      </c>
      <c r="E825" s="1">
        <v>5457</v>
      </c>
      <c r="F825" s="1">
        <v>43155</v>
      </c>
      <c r="G825" s="1">
        <v>0.6532</v>
      </c>
      <c r="H825" s="1">
        <v>0.85840000000000005</v>
      </c>
      <c r="I825" s="1">
        <v>0.28639999999999999</v>
      </c>
      <c r="J825" s="1">
        <v>78466</v>
      </c>
      <c r="K825" s="1">
        <v>14615</v>
      </c>
      <c r="L825" s="1">
        <v>13164</v>
      </c>
      <c r="M825" s="1">
        <v>22</v>
      </c>
      <c r="N825" s="1" t="s">
        <v>28</v>
      </c>
      <c r="O825" s="1" t="s">
        <v>21</v>
      </c>
      <c r="P825" s="1" t="s">
        <v>22</v>
      </c>
      <c r="Q825" s="1" t="s">
        <v>23</v>
      </c>
      <c r="R825">
        <v>0.41617288723739099</v>
      </c>
    </row>
    <row r="826" spans="1:18" x14ac:dyDescent="0.2">
      <c r="A826" s="1">
        <v>170967</v>
      </c>
      <c r="B826" s="1" t="s">
        <v>898</v>
      </c>
      <c r="C826" s="1" t="s">
        <v>109</v>
      </c>
      <c r="D826" s="1">
        <v>0.97650000000000003</v>
      </c>
      <c r="E826" s="1">
        <v>792</v>
      </c>
      <c r="F826" s="1">
        <v>29196</v>
      </c>
      <c r="G826" s="1">
        <v>0.44119999999999998</v>
      </c>
      <c r="H826" s="1">
        <v>0.59570000000000001</v>
      </c>
      <c r="I826" s="1">
        <v>0.309</v>
      </c>
      <c r="J826" s="1">
        <v>48707</v>
      </c>
      <c r="K826" s="1">
        <v>24475</v>
      </c>
      <c r="L826" s="1">
        <v>6476</v>
      </c>
      <c r="M826" s="1">
        <v>13</v>
      </c>
      <c r="N826" s="1" t="s">
        <v>20</v>
      </c>
      <c r="O826" s="1" t="s">
        <v>21</v>
      </c>
      <c r="P826" s="1" t="s">
        <v>22</v>
      </c>
      <c r="Q826" s="1" t="s">
        <v>31</v>
      </c>
      <c r="R826">
        <v>0.41581091853375107</v>
      </c>
    </row>
    <row r="827" spans="1:18" x14ac:dyDescent="0.2">
      <c r="A827" s="1">
        <v>163286</v>
      </c>
      <c r="B827" s="1" t="s">
        <v>899</v>
      </c>
      <c r="C827" s="1" t="s">
        <v>61</v>
      </c>
      <c r="D827" s="1">
        <v>0.44790000000000002</v>
      </c>
      <c r="E827" s="1">
        <v>30760</v>
      </c>
      <c r="F827" s="1">
        <v>41186</v>
      </c>
      <c r="G827" s="1">
        <v>0.88590000000000002</v>
      </c>
      <c r="H827" s="1">
        <v>0.96199999999999997</v>
      </c>
      <c r="I827" s="1">
        <v>0.19389999999999999</v>
      </c>
      <c r="J827" s="1">
        <v>82860</v>
      </c>
      <c r="K827" s="1">
        <v>19000</v>
      </c>
      <c r="L827" s="1">
        <v>17205</v>
      </c>
      <c r="M827" s="1">
        <v>17</v>
      </c>
      <c r="N827" s="1" t="s">
        <v>28</v>
      </c>
      <c r="O827" s="1" t="s">
        <v>21</v>
      </c>
      <c r="P827" s="1" t="s">
        <v>30</v>
      </c>
      <c r="Q827" s="1" t="s">
        <v>23</v>
      </c>
      <c r="R827">
        <v>0.41531003682253387</v>
      </c>
    </row>
    <row r="828" spans="1:18" x14ac:dyDescent="0.2">
      <c r="A828" s="1">
        <v>148654</v>
      </c>
      <c r="B828" s="1" t="s">
        <v>900</v>
      </c>
      <c r="C828" s="1" t="s">
        <v>25</v>
      </c>
      <c r="D828" s="1">
        <v>0.85880000000000001</v>
      </c>
      <c r="E828" s="1">
        <v>2263</v>
      </c>
      <c r="F828" s="1">
        <v>22017</v>
      </c>
      <c r="G828" s="1">
        <v>0.53210000000000002</v>
      </c>
      <c r="H828" s="1">
        <v>0.748</v>
      </c>
      <c r="I828" s="1">
        <v>0.37359999999999999</v>
      </c>
      <c r="J828" s="1">
        <v>57103</v>
      </c>
      <c r="K828" s="1">
        <v>19128</v>
      </c>
      <c r="L828" s="1">
        <v>9921</v>
      </c>
      <c r="M828" s="1">
        <v>13</v>
      </c>
      <c r="N828" s="1" t="s">
        <v>28</v>
      </c>
      <c r="O828" s="1" t="s">
        <v>29</v>
      </c>
      <c r="P828" s="1" t="s">
        <v>22</v>
      </c>
      <c r="Q828" s="1" t="s">
        <v>23</v>
      </c>
      <c r="R828">
        <v>0.41322370155042554</v>
      </c>
    </row>
    <row r="829" spans="1:18" x14ac:dyDescent="0.2">
      <c r="A829" s="1">
        <v>221768</v>
      </c>
      <c r="B829" s="1" t="s">
        <v>901</v>
      </c>
      <c r="C829" s="1" t="s">
        <v>163</v>
      </c>
      <c r="D829" s="1">
        <v>0.88200000000000001</v>
      </c>
      <c r="E829" s="1">
        <v>4866</v>
      </c>
      <c r="F829" s="1">
        <v>16600</v>
      </c>
      <c r="G829" s="1">
        <v>0.52539999999999998</v>
      </c>
      <c r="H829" s="1">
        <v>0.76959999999999995</v>
      </c>
      <c r="I829" s="1">
        <v>0.34420000000000001</v>
      </c>
      <c r="J829" s="1">
        <v>44213</v>
      </c>
      <c r="K829" s="1">
        <v>21024</v>
      </c>
      <c r="L829" s="1">
        <v>8367</v>
      </c>
      <c r="M829" s="1">
        <v>16</v>
      </c>
      <c r="N829" s="1" t="s">
        <v>28</v>
      </c>
      <c r="O829" s="1" t="s">
        <v>42</v>
      </c>
      <c r="P829" s="1" t="s">
        <v>30</v>
      </c>
      <c r="Q829" s="1" t="s">
        <v>31</v>
      </c>
      <c r="R829">
        <v>0.41318390887188028</v>
      </c>
    </row>
    <row r="830" spans="1:18" x14ac:dyDescent="0.2">
      <c r="A830" s="1">
        <v>145813</v>
      </c>
      <c r="B830" s="1" t="s">
        <v>902</v>
      </c>
      <c r="C830" s="1" t="s">
        <v>25</v>
      </c>
      <c r="D830" s="1">
        <v>0.88149999999999995</v>
      </c>
      <c r="E830" s="1">
        <v>19057</v>
      </c>
      <c r="F830" s="1">
        <v>28210</v>
      </c>
      <c r="G830" s="1">
        <v>0.64539999999999997</v>
      </c>
      <c r="H830" s="1">
        <v>0.81440000000000001</v>
      </c>
      <c r="I830" s="1">
        <v>0.32069999999999999</v>
      </c>
      <c r="J830" s="1">
        <v>62117</v>
      </c>
      <c r="K830" s="1">
        <v>20482</v>
      </c>
      <c r="L830" s="1">
        <v>9453</v>
      </c>
      <c r="M830" s="1">
        <v>19</v>
      </c>
      <c r="N830" s="1" t="s">
        <v>28</v>
      </c>
      <c r="O830" s="1" t="s">
        <v>21</v>
      </c>
      <c r="P830" s="1" t="s">
        <v>22</v>
      </c>
      <c r="Q830" s="1" t="s">
        <v>23</v>
      </c>
      <c r="R830">
        <v>0.41187197412152887</v>
      </c>
    </row>
    <row r="831" spans="1:18" x14ac:dyDescent="0.2">
      <c r="A831" s="1">
        <v>185828</v>
      </c>
      <c r="B831" s="1" t="s">
        <v>903</v>
      </c>
      <c r="C831" s="1" t="s">
        <v>66</v>
      </c>
      <c r="D831" s="1">
        <v>0.65069999999999995</v>
      </c>
      <c r="E831" s="1">
        <v>9019</v>
      </c>
      <c r="F831" s="1">
        <v>37664</v>
      </c>
      <c r="G831" s="1">
        <v>0.72760000000000002</v>
      </c>
      <c r="H831" s="1">
        <v>0.89539999999999997</v>
      </c>
      <c r="I831" s="1">
        <v>0.39560000000000001</v>
      </c>
      <c r="J831" s="1">
        <v>84276</v>
      </c>
      <c r="K831" s="1">
        <v>21000</v>
      </c>
      <c r="L831" s="1">
        <v>13884</v>
      </c>
      <c r="M831" s="1">
        <v>17</v>
      </c>
      <c r="N831" s="1" t="s">
        <v>28</v>
      </c>
      <c r="O831" s="1" t="s">
        <v>29</v>
      </c>
      <c r="P831" s="1" t="s">
        <v>39</v>
      </c>
      <c r="Q831" s="1" t="s">
        <v>23</v>
      </c>
      <c r="R831">
        <v>0.41096362034159917</v>
      </c>
    </row>
    <row r="832" spans="1:18" x14ac:dyDescent="0.2">
      <c r="A832" s="1">
        <v>115409</v>
      </c>
      <c r="B832" s="1" t="s">
        <v>904</v>
      </c>
      <c r="C832" s="1" t="s">
        <v>33</v>
      </c>
      <c r="D832" s="1">
        <v>0.12659999999999999</v>
      </c>
      <c r="E832" s="1">
        <v>921</v>
      </c>
      <c r="F832" s="1">
        <v>68613</v>
      </c>
      <c r="G832" s="1">
        <v>0.91879999999999995</v>
      </c>
      <c r="H832" s="1">
        <v>0.96409999999999996</v>
      </c>
      <c r="I832" s="1">
        <v>0.1517</v>
      </c>
      <c r="J832" s="1">
        <v>138687</v>
      </c>
      <c r="K832" s="1">
        <v>25000</v>
      </c>
      <c r="L832" s="1">
        <v>15352</v>
      </c>
      <c r="M832" s="1">
        <v>8</v>
      </c>
      <c r="N832" s="1" t="s">
        <v>20</v>
      </c>
      <c r="O832" s="1" t="s">
        <v>21</v>
      </c>
      <c r="P832" s="1" t="s">
        <v>22</v>
      </c>
      <c r="Q832" s="1" t="s">
        <v>23</v>
      </c>
      <c r="R832">
        <v>0.40955554598857569</v>
      </c>
    </row>
    <row r="833" spans="1:18" x14ac:dyDescent="0.2">
      <c r="A833" s="1">
        <v>164632</v>
      </c>
      <c r="B833" s="1" t="s">
        <v>905</v>
      </c>
      <c r="C833" s="1" t="s">
        <v>129</v>
      </c>
      <c r="D833" s="1">
        <v>0.85199999999999998</v>
      </c>
      <c r="E833" s="1">
        <v>1108</v>
      </c>
      <c r="F833" s="1">
        <v>38302</v>
      </c>
      <c r="G833" s="1">
        <v>0.43940000000000001</v>
      </c>
      <c r="H833" s="1">
        <v>0.72799999999999998</v>
      </c>
      <c r="I833" s="1">
        <v>0.63770000000000004</v>
      </c>
      <c r="J833" s="1">
        <v>55383</v>
      </c>
      <c r="K833" s="1">
        <v>24901</v>
      </c>
      <c r="L833" s="1">
        <v>9202</v>
      </c>
      <c r="M833" s="1">
        <v>8</v>
      </c>
      <c r="N833" s="1" t="s">
        <v>20</v>
      </c>
      <c r="O833" s="1" t="s">
        <v>21</v>
      </c>
      <c r="P833" s="1" t="s">
        <v>39</v>
      </c>
      <c r="Q833" s="1" t="s">
        <v>23</v>
      </c>
      <c r="R833">
        <v>0.40952560703057161</v>
      </c>
    </row>
    <row r="834" spans="1:18" x14ac:dyDescent="0.2">
      <c r="A834" s="1">
        <v>218724</v>
      </c>
      <c r="B834" s="1" t="s">
        <v>906</v>
      </c>
      <c r="C834" s="1" t="s">
        <v>155</v>
      </c>
      <c r="D834" s="1">
        <v>0.75270000000000004</v>
      </c>
      <c r="E834" s="1">
        <v>10377</v>
      </c>
      <c r="F834" s="1">
        <v>29628</v>
      </c>
      <c r="G834" s="1">
        <v>0.48459999999999998</v>
      </c>
      <c r="H834" s="1">
        <v>0.77429999999999999</v>
      </c>
      <c r="I834" s="1">
        <v>0.26240000000000002</v>
      </c>
      <c r="J834" s="1">
        <v>47258</v>
      </c>
      <c r="K834" s="1">
        <v>23750</v>
      </c>
      <c r="L834" s="1">
        <v>9103</v>
      </c>
      <c r="M834" s="1">
        <v>17</v>
      </c>
      <c r="N834" s="1" t="s">
        <v>28</v>
      </c>
      <c r="O834" s="1" t="s">
        <v>29</v>
      </c>
      <c r="P834" s="1" t="s">
        <v>30</v>
      </c>
      <c r="Q834" s="1" t="s">
        <v>31</v>
      </c>
      <c r="R834">
        <v>0.40940459734018775</v>
      </c>
    </row>
    <row r="835" spans="1:18" x14ac:dyDescent="0.2">
      <c r="A835" s="1">
        <v>151263</v>
      </c>
      <c r="B835" s="1" t="s">
        <v>907</v>
      </c>
      <c r="C835" s="1" t="s">
        <v>102</v>
      </c>
      <c r="D835" s="1">
        <v>0.66500000000000004</v>
      </c>
      <c r="E835" s="1">
        <v>3005</v>
      </c>
      <c r="F835" s="1">
        <v>37200</v>
      </c>
      <c r="G835" s="1">
        <v>0.55820000000000003</v>
      </c>
      <c r="H835" s="1">
        <v>0.71040000000000003</v>
      </c>
      <c r="I835" s="1">
        <v>0.32579999999999998</v>
      </c>
      <c r="J835" s="1">
        <v>53610</v>
      </c>
      <c r="K835" s="1">
        <v>26864</v>
      </c>
      <c r="L835" s="1">
        <v>8128</v>
      </c>
      <c r="M835" s="1">
        <v>12</v>
      </c>
      <c r="N835" s="1" t="s">
        <v>20</v>
      </c>
      <c r="O835" s="1" t="s">
        <v>29</v>
      </c>
      <c r="P835" s="1" t="s">
        <v>22</v>
      </c>
      <c r="Q835" s="1" t="s">
        <v>23</v>
      </c>
      <c r="R835">
        <v>0.40935315224746571</v>
      </c>
    </row>
    <row r="836" spans="1:18" x14ac:dyDescent="0.2">
      <c r="A836" s="1">
        <v>243744</v>
      </c>
      <c r="B836" s="1" t="s">
        <v>908</v>
      </c>
      <c r="C836" s="1" t="s">
        <v>33</v>
      </c>
      <c r="D836" s="1">
        <v>3.61E-2</v>
      </c>
      <c r="E836" s="1">
        <v>7554</v>
      </c>
      <c r="F836" s="1">
        <v>65910</v>
      </c>
      <c r="G836" s="1">
        <v>0.91920000000000002</v>
      </c>
      <c r="H836" s="1">
        <v>0.98180000000000001</v>
      </c>
      <c r="I836" s="1">
        <v>0.19159999999999999</v>
      </c>
      <c r="J836" s="1">
        <v>124080</v>
      </c>
      <c r="K836" s="1">
        <v>12000</v>
      </c>
      <c r="L836" s="1">
        <v>25198</v>
      </c>
      <c r="M836" s="1">
        <v>6</v>
      </c>
      <c r="N836" s="1" t="s">
        <v>20</v>
      </c>
      <c r="O836" s="1" t="s">
        <v>21</v>
      </c>
      <c r="P836" s="1" t="s">
        <v>22</v>
      </c>
      <c r="Q836" s="1" t="s">
        <v>23</v>
      </c>
      <c r="R836">
        <v>0.40884226996229556</v>
      </c>
    </row>
    <row r="837" spans="1:18" x14ac:dyDescent="0.2">
      <c r="A837" s="1">
        <v>239105</v>
      </c>
      <c r="B837" s="1" t="s">
        <v>909</v>
      </c>
      <c r="C837" s="1" t="s">
        <v>50</v>
      </c>
      <c r="D837" s="1">
        <v>0.81340000000000001</v>
      </c>
      <c r="E837" s="1">
        <v>7660</v>
      </c>
      <c r="F837" s="1">
        <v>51170</v>
      </c>
      <c r="G837" s="1">
        <v>0.83209999999999995</v>
      </c>
      <c r="H837" s="1">
        <v>0.90969999999999995</v>
      </c>
      <c r="I837" s="1">
        <v>0.18390000000000001</v>
      </c>
      <c r="J837" s="1">
        <v>78257</v>
      </c>
      <c r="K837" s="1">
        <v>23940</v>
      </c>
      <c r="L837" s="1">
        <v>11059</v>
      </c>
      <c r="M837" s="1">
        <v>14</v>
      </c>
      <c r="N837" s="1" t="s">
        <v>20</v>
      </c>
      <c r="O837" s="1" t="s">
        <v>29</v>
      </c>
      <c r="P837" s="1" t="s">
        <v>22</v>
      </c>
      <c r="Q837" s="1" t="s">
        <v>23</v>
      </c>
      <c r="R837">
        <v>0.40859016687310423</v>
      </c>
    </row>
    <row r="838" spans="1:18" x14ac:dyDescent="0.2">
      <c r="A838" s="1">
        <v>153108</v>
      </c>
      <c r="B838" s="1" t="s">
        <v>910</v>
      </c>
      <c r="C838" s="1" t="s">
        <v>81</v>
      </c>
      <c r="D838" s="1">
        <v>0.86170000000000002</v>
      </c>
      <c r="E838" s="1">
        <v>1070</v>
      </c>
      <c r="F838" s="1">
        <v>20988</v>
      </c>
      <c r="G838" s="1">
        <v>0.66190000000000004</v>
      </c>
      <c r="H838" s="1">
        <v>0.79930000000000001</v>
      </c>
      <c r="I838" s="1">
        <v>0.2228</v>
      </c>
      <c r="J838" s="1">
        <v>54317</v>
      </c>
      <c r="K838" s="1">
        <v>26984</v>
      </c>
      <c r="L838" s="1">
        <v>7780</v>
      </c>
      <c r="M838" s="1">
        <v>11</v>
      </c>
      <c r="N838" s="1" t="s">
        <v>20</v>
      </c>
      <c r="O838" s="1" t="s">
        <v>42</v>
      </c>
      <c r="P838" s="1" t="s">
        <v>22</v>
      </c>
      <c r="Q838" s="1" t="s">
        <v>23</v>
      </c>
      <c r="R838">
        <v>0.40857856663196701</v>
      </c>
    </row>
    <row r="839" spans="1:18" x14ac:dyDescent="0.2">
      <c r="A839" s="1">
        <v>187134</v>
      </c>
      <c r="B839" s="1" t="s">
        <v>911</v>
      </c>
      <c r="C839" s="1" t="s">
        <v>66</v>
      </c>
      <c r="D839" s="1">
        <v>0.62290000000000001</v>
      </c>
      <c r="E839" s="1">
        <v>7105</v>
      </c>
      <c r="F839" s="1">
        <v>25752</v>
      </c>
      <c r="G839" s="1">
        <v>0.85850000000000004</v>
      </c>
      <c r="H839" s="1">
        <v>0.91320000000000001</v>
      </c>
      <c r="I839" s="1">
        <v>0.2097</v>
      </c>
      <c r="J839" s="1">
        <v>73323</v>
      </c>
      <c r="K839" s="1">
        <v>23250</v>
      </c>
      <c r="L839" s="1">
        <v>12766</v>
      </c>
      <c r="M839" s="1">
        <v>14</v>
      </c>
      <c r="N839" s="1" t="s">
        <v>28</v>
      </c>
      <c r="O839" s="1" t="s">
        <v>21</v>
      </c>
      <c r="P839" s="1" t="s">
        <v>39</v>
      </c>
      <c r="Q839" s="1" t="s">
        <v>23</v>
      </c>
      <c r="R839">
        <v>0.40767518543555159</v>
      </c>
    </row>
    <row r="840" spans="1:18" x14ac:dyDescent="0.2">
      <c r="A840" s="1">
        <v>184782</v>
      </c>
      <c r="B840" s="1" t="s">
        <v>912</v>
      </c>
      <c r="C840" s="1" t="s">
        <v>66</v>
      </c>
      <c r="D840" s="1">
        <v>0.77659999999999996</v>
      </c>
      <c r="E840" s="1">
        <v>15841</v>
      </c>
      <c r="F840" s="1">
        <v>26932</v>
      </c>
      <c r="G840" s="1">
        <v>0.67359999999999998</v>
      </c>
      <c r="H840" s="1">
        <v>0.82340000000000002</v>
      </c>
      <c r="I840" s="1">
        <v>0.3306</v>
      </c>
      <c r="J840" s="1">
        <v>59988</v>
      </c>
      <c r="K840" s="1">
        <v>20500</v>
      </c>
      <c r="L840" s="1">
        <v>10856</v>
      </c>
      <c r="M840" s="1">
        <v>17</v>
      </c>
      <c r="N840" s="1" t="s">
        <v>28</v>
      </c>
      <c r="O840" s="1" t="s">
        <v>21</v>
      </c>
      <c r="P840" s="1" t="s">
        <v>39</v>
      </c>
      <c r="Q840" s="1" t="s">
        <v>23</v>
      </c>
      <c r="R840">
        <v>0.40764509188141373</v>
      </c>
    </row>
    <row r="841" spans="1:18" x14ac:dyDescent="0.2">
      <c r="A841" s="1">
        <v>225627</v>
      </c>
      <c r="B841" s="1" t="s">
        <v>913</v>
      </c>
      <c r="C841" s="1" t="s">
        <v>36</v>
      </c>
      <c r="D841" s="1">
        <v>0.98140000000000005</v>
      </c>
      <c r="E841" s="1">
        <v>4440</v>
      </c>
      <c r="F841" s="1">
        <v>37090</v>
      </c>
      <c r="G841" s="1">
        <v>0.50980000000000003</v>
      </c>
      <c r="H841" s="1">
        <v>0.71289999999999998</v>
      </c>
      <c r="I841" s="1">
        <v>0.44600000000000001</v>
      </c>
      <c r="J841" s="1">
        <v>56733</v>
      </c>
      <c r="K841" s="1">
        <v>27000</v>
      </c>
      <c r="L841" s="1">
        <v>9001</v>
      </c>
      <c r="M841" s="1">
        <v>12</v>
      </c>
      <c r="N841" s="1" t="s">
        <v>20</v>
      </c>
      <c r="O841" s="1" t="s">
        <v>29</v>
      </c>
      <c r="P841" s="1" t="s">
        <v>30</v>
      </c>
      <c r="Q841" s="1" t="s">
        <v>23</v>
      </c>
      <c r="R841">
        <v>0.40748244801544897</v>
      </c>
    </row>
    <row r="842" spans="1:18" x14ac:dyDescent="0.2">
      <c r="A842" s="1">
        <v>178420</v>
      </c>
      <c r="B842" s="1" t="s">
        <v>914</v>
      </c>
      <c r="C842" s="1" t="s">
        <v>77</v>
      </c>
      <c r="D842" s="1">
        <v>0.62670000000000003</v>
      </c>
      <c r="E842" s="1">
        <v>5024</v>
      </c>
      <c r="F842" s="1">
        <v>35112</v>
      </c>
      <c r="G842" s="1">
        <v>0.56640000000000001</v>
      </c>
      <c r="H842" s="1">
        <v>0.73609999999999998</v>
      </c>
      <c r="I842" s="1">
        <v>0.1835</v>
      </c>
      <c r="J842" s="1">
        <v>53037</v>
      </c>
      <c r="K842" s="1">
        <v>20000</v>
      </c>
      <c r="L842" s="1">
        <v>10112</v>
      </c>
      <c r="M842" s="1">
        <v>13</v>
      </c>
      <c r="N842" s="1" t="s">
        <v>28</v>
      </c>
      <c r="O842" s="1" t="s">
        <v>21</v>
      </c>
      <c r="P842" s="1" t="s">
        <v>22</v>
      </c>
      <c r="Q842" s="1" t="s">
        <v>23</v>
      </c>
      <c r="R842">
        <v>0.40583321394922123</v>
      </c>
    </row>
    <row r="843" spans="1:18" x14ac:dyDescent="0.2">
      <c r="A843" s="1">
        <v>137847</v>
      </c>
      <c r="B843" s="1" t="s">
        <v>915</v>
      </c>
      <c r="C843" s="1" t="s">
        <v>27</v>
      </c>
      <c r="D843" s="1">
        <v>0.40339999999999998</v>
      </c>
      <c r="E843" s="1">
        <v>10572</v>
      </c>
      <c r="F843" s="1">
        <v>34408</v>
      </c>
      <c r="G843" s="1">
        <v>0.63700000000000001</v>
      </c>
      <c r="H843" s="1">
        <v>0.85450000000000004</v>
      </c>
      <c r="I843" s="1">
        <v>0.15160000000000001</v>
      </c>
      <c r="J843" s="1">
        <v>59436</v>
      </c>
      <c r="K843" s="1">
        <v>24211</v>
      </c>
      <c r="L843" s="1">
        <v>10846</v>
      </c>
      <c r="M843" s="1">
        <v>17</v>
      </c>
      <c r="N843" s="1" t="s">
        <v>20</v>
      </c>
      <c r="O843" s="1" t="s">
        <v>29</v>
      </c>
      <c r="P843" s="1" t="s">
        <v>30</v>
      </c>
      <c r="Q843" s="1" t="s">
        <v>23</v>
      </c>
      <c r="R843">
        <v>0.40533322225092816</v>
      </c>
    </row>
    <row r="844" spans="1:18" x14ac:dyDescent="0.2">
      <c r="A844" s="1">
        <v>194310</v>
      </c>
      <c r="B844" s="1" t="s">
        <v>916</v>
      </c>
      <c r="C844" s="1" t="s">
        <v>58</v>
      </c>
      <c r="D844" s="1">
        <v>0.75919999999999999</v>
      </c>
      <c r="E844" s="1">
        <v>7665</v>
      </c>
      <c r="F844" s="1">
        <v>53290</v>
      </c>
      <c r="G844" s="1">
        <v>0.60029999999999994</v>
      </c>
      <c r="H844" s="1">
        <v>0.75490000000000002</v>
      </c>
      <c r="I844" s="1">
        <v>0.27250000000000002</v>
      </c>
      <c r="J844" s="1">
        <v>70378</v>
      </c>
      <c r="K844" s="1">
        <v>23250</v>
      </c>
      <c r="L844" s="1">
        <v>12908</v>
      </c>
      <c r="M844" s="1">
        <v>14</v>
      </c>
      <c r="N844" s="1" t="s">
        <v>20</v>
      </c>
      <c r="O844" s="1" t="s">
        <v>29</v>
      </c>
      <c r="P844" s="1" t="s">
        <v>39</v>
      </c>
      <c r="Q844" s="1" t="s">
        <v>23</v>
      </c>
      <c r="R844">
        <v>0.40510516032082478</v>
      </c>
    </row>
    <row r="845" spans="1:18" x14ac:dyDescent="0.2">
      <c r="A845" s="1">
        <v>170806</v>
      </c>
      <c r="B845" s="1" t="s">
        <v>917</v>
      </c>
      <c r="C845" s="1" t="s">
        <v>109</v>
      </c>
      <c r="D845" s="1">
        <v>0.63390000000000002</v>
      </c>
      <c r="E845" s="1">
        <v>1632</v>
      </c>
      <c r="F845" s="1">
        <v>28440</v>
      </c>
      <c r="G845" s="1">
        <v>0.6</v>
      </c>
      <c r="H845" s="1">
        <v>0.71540000000000004</v>
      </c>
      <c r="I845" s="1">
        <v>0.30399999999999999</v>
      </c>
      <c r="J845" s="1">
        <v>59058</v>
      </c>
      <c r="K845" s="1">
        <v>23000</v>
      </c>
      <c r="L845" s="1">
        <v>7541</v>
      </c>
      <c r="M845" s="1">
        <v>11</v>
      </c>
      <c r="N845" s="1" t="s">
        <v>20</v>
      </c>
      <c r="O845" s="1" t="s">
        <v>29</v>
      </c>
      <c r="P845" s="1" t="s">
        <v>22</v>
      </c>
      <c r="Q845" s="1" t="s">
        <v>23</v>
      </c>
      <c r="R845">
        <v>0.40454803406574613</v>
      </c>
    </row>
    <row r="846" spans="1:18" x14ac:dyDescent="0.2">
      <c r="A846" s="1">
        <v>155627</v>
      </c>
      <c r="B846" s="1" t="s">
        <v>918</v>
      </c>
      <c r="C846" s="1" t="s">
        <v>56</v>
      </c>
      <c r="D846" s="1">
        <v>0.8296</v>
      </c>
      <c r="E846" s="1">
        <v>870</v>
      </c>
      <c r="F846" s="1">
        <v>35880</v>
      </c>
      <c r="G846" s="1">
        <v>0.27900000000000003</v>
      </c>
      <c r="H846" s="1">
        <v>0.58299999999999996</v>
      </c>
      <c r="I846" s="1">
        <v>0.36749999999999999</v>
      </c>
      <c r="J846" s="1">
        <v>55552</v>
      </c>
      <c r="K846" s="1">
        <v>21500</v>
      </c>
      <c r="L846" s="1">
        <v>6778</v>
      </c>
      <c r="M846" s="1">
        <v>12</v>
      </c>
      <c r="N846" s="1" t="s">
        <v>20</v>
      </c>
      <c r="O846" s="1" t="s">
        <v>42</v>
      </c>
      <c r="P846" s="1" t="s">
        <v>22</v>
      </c>
      <c r="Q846" s="1" t="s">
        <v>23</v>
      </c>
      <c r="R846">
        <v>0.40439032827145527</v>
      </c>
    </row>
    <row r="847" spans="1:18" x14ac:dyDescent="0.2">
      <c r="A847" s="1">
        <v>196413</v>
      </c>
      <c r="B847" s="1" t="s">
        <v>919</v>
      </c>
      <c r="C847" s="1" t="s">
        <v>58</v>
      </c>
      <c r="D847" s="1">
        <v>0.4592</v>
      </c>
      <c r="E847" s="1">
        <v>15477</v>
      </c>
      <c r="F847" s="1">
        <v>65528</v>
      </c>
      <c r="G847" s="1">
        <v>0.83609999999999995</v>
      </c>
      <c r="H847" s="1">
        <v>0.90129999999999999</v>
      </c>
      <c r="I847" s="1">
        <v>0.17069999999999999</v>
      </c>
      <c r="J847" s="1">
        <v>79164</v>
      </c>
      <c r="K847" s="1">
        <v>26000</v>
      </c>
      <c r="L847" s="1">
        <v>13189</v>
      </c>
      <c r="M847" s="1">
        <v>15</v>
      </c>
      <c r="N847" s="1" t="s">
        <v>20</v>
      </c>
      <c r="O847" s="1" t="s">
        <v>29</v>
      </c>
      <c r="P847" s="1" t="s">
        <v>39</v>
      </c>
      <c r="Q847" s="1" t="s">
        <v>23</v>
      </c>
      <c r="R847">
        <v>0.40364526898935615</v>
      </c>
    </row>
    <row r="848" spans="1:18" x14ac:dyDescent="0.2">
      <c r="A848" s="1">
        <v>176479</v>
      </c>
      <c r="B848" s="1" t="s">
        <v>920</v>
      </c>
      <c r="C848" s="1" t="s">
        <v>169</v>
      </c>
      <c r="D848" s="1">
        <v>0.60289999999999999</v>
      </c>
      <c r="E848" s="1">
        <v>2201</v>
      </c>
      <c r="F848" s="1">
        <v>15480</v>
      </c>
      <c r="G848" s="1">
        <v>0.5978</v>
      </c>
      <c r="H848" s="1">
        <v>0.77939999999999998</v>
      </c>
      <c r="I848" s="1">
        <v>0.27110000000000001</v>
      </c>
      <c r="J848" s="1">
        <v>43087</v>
      </c>
      <c r="K848" s="1">
        <v>20832</v>
      </c>
      <c r="L848" s="1">
        <v>8123</v>
      </c>
      <c r="M848" s="1">
        <v>14</v>
      </c>
      <c r="N848" s="1" t="s">
        <v>20</v>
      </c>
      <c r="O848" s="1" t="s">
        <v>29</v>
      </c>
      <c r="P848" s="1" t="s">
        <v>30</v>
      </c>
      <c r="Q848" s="1" t="s">
        <v>31</v>
      </c>
      <c r="R848">
        <v>0.40275881268036162</v>
      </c>
    </row>
    <row r="849" spans="1:18" x14ac:dyDescent="0.2">
      <c r="A849" s="1">
        <v>224004</v>
      </c>
      <c r="B849" s="1" t="s">
        <v>921</v>
      </c>
      <c r="C849" s="1" t="s">
        <v>36</v>
      </c>
      <c r="D849" s="1">
        <v>0.91249999999999998</v>
      </c>
      <c r="E849" s="1">
        <v>1185</v>
      </c>
      <c r="F849" s="1">
        <v>23500</v>
      </c>
      <c r="G849" s="1">
        <v>0.44600000000000001</v>
      </c>
      <c r="H849" s="1">
        <v>0.58299999999999996</v>
      </c>
      <c r="I849" s="1">
        <v>0.41420000000000001</v>
      </c>
      <c r="J849" s="1">
        <v>60883</v>
      </c>
      <c r="K849" s="1">
        <v>21852</v>
      </c>
      <c r="L849" s="1">
        <v>6271</v>
      </c>
      <c r="M849" s="1">
        <v>16</v>
      </c>
      <c r="N849" s="1" t="s">
        <v>20</v>
      </c>
      <c r="O849" s="1" t="s">
        <v>29</v>
      </c>
      <c r="P849" s="1" t="s">
        <v>30</v>
      </c>
      <c r="Q849" s="1" t="s">
        <v>23</v>
      </c>
      <c r="R849">
        <v>0.40105911358289148</v>
      </c>
    </row>
    <row r="850" spans="1:18" x14ac:dyDescent="0.2">
      <c r="A850" s="1">
        <v>179326</v>
      </c>
      <c r="B850" s="1" t="s">
        <v>922</v>
      </c>
      <c r="C850" s="1" t="s">
        <v>77</v>
      </c>
      <c r="D850" s="1">
        <v>0.68389999999999995</v>
      </c>
      <c r="E850" s="1">
        <v>1341</v>
      </c>
      <c r="F850" s="1">
        <v>30566</v>
      </c>
      <c r="G850" s="1">
        <v>0.55320000000000003</v>
      </c>
      <c r="H850" s="1">
        <v>0.6482</v>
      </c>
      <c r="I850" s="1">
        <v>0.36270000000000002</v>
      </c>
      <c r="J850" s="1">
        <v>43112</v>
      </c>
      <c r="K850" s="1">
        <v>20957</v>
      </c>
      <c r="L850" s="1">
        <v>6072</v>
      </c>
      <c r="M850" s="1">
        <v>10</v>
      </c>
      <c r="N850" s="1" t="s">
        <v>20</v>
      </c>
      <c r="O850" s="1" t="s">
        <v>42</v>
      </c>
      <c r="P850" s="1" t="s">
        <v>22</v>
      </c>
      <c r="Q850" s="1" t="s">
        <v>31</v>
      </c>
      <c r="R850">
        <v>0.40062133477977202</v>
      </c>
    </row>
    <row r="851" spans="1:18" x14ac:dyDescent="0.2">
      <c r="A851" s="1">
        <v>199847</v>
      </c>
      <c r="B851" s="1" t="s">
        <v>923</v>
      </c>
      <c r="C851" s="1" t="s">
        <v>86</v>
      </c>
      <c r="D851" s="1">
        <v>0.2167</v>
      </c>
      <c r="E851" s="1">
        <v>5485</v>
      </c>
      <c r="F851" s="1">
        <v>67642</v>
      </c>
      <c r="G851" s="1">
        <v>0.89149999999999996</v>
      </c>
      <c r="H851" s="1">
        <v>0.92559999999999998</v>
      </c>
      <c r="I851" s="1">
        <v>0.1009</v>
      </c>
      <c r="J851" s="1">
        <v>78158</v>
      </c>
      <c r="K851" s="1">
        <v>21500</v>
      </c>
      <c r="L851" s="1">
        <v>12666</v>
      </c>
      <c r="M851" s="1">
        <v>10</v>
      </c>
      <c r="N851" s="1" t="s">
        <v>20</v>
      </c>
      <c r="O851" s="1" t="s">
        <v>29</v>
      </c>
      <c r="P851" s="1" t="s">
        <v>30</v>
      </c>
      <c r="Q851" s="1" t="s">
        <v>23</v>
      </c>
      <c r="R851">
        <v>0.40003195226310206</v>
      </c>
    </row>
    <row r="852" spans="1:18" x14ac:dyDescent="0.2">
      <c r="A852" s="1">
        <v>229160</v>
      </c>
      <c r="B852" s="1" t="s">
        <v>924</v>
      </c>
      <c r="C852" s="1" t="s">
        <v>36</v>
      </c>
      <c r="D852" s="1">
        <v>0.69159999999999999</v>
      </c>
      <c r="E852" s="1">
        <v>1741</v>
      </c>
      <c r="F852" s="1">
        <v>39582</v>
      </c>
      <c r="G852" s="1">
        <v>0.31540000000000001</v>
      </c>
      <c r="H852" s="1">
        <v>0.60819999999999996</v>
      </c>
      <c r="I852" s="1">
        <v>0.4471</v>
      </c>
      <c r="J852" s="1">
        <v>54053</v>
      </c>
      <c r="K852" s="1">
        <v>23125</v>
      </c>
      <c r="L852" s="1">
        <v>8367</v>
      </c>
      <c r="M852" s="1">
        <v>12</v>
      </c>
      <c r="N852" s="1" t="s">
        <v>20</v>
      </c>
      <c r="O852" s="1" t="s">
        <v>29</v>
      </c>
      <c r="P852" s="1" t="s">
        <v>30</v>
      </c>
      <c r="Q852" s="1" t="s">
        <v>23</v>
      </c>
      <c r="R852">
        <v>0.397106288637324</v>
      </c>
    </row>
    <row r="853" spans="1:18" x14ac:dyDescent="0.2">
      <c r="A853" s="1">
        <v>168342</v>
      </c>
      <c r="B853" s="1" t="s">
        <v>925</v>
      </c>
      <c r="C853" s="1" t="s">
        <v>129</v>
      </c>
      <c r="D853" s="1">
        <v>8.2500000000000004E-2</v>
      </c>
      <c r="E853" s="1">
        <v>2076</v>
      </c>
      <c r="F853" s="1">
        <v>68560</v>
      </c>
      <c r="G853" s="1">
        <v>0.93610000000000004</v>
      </c>
      <c r="H853" s="1">
        <v>0.96850000000000003</v>
      </c>
      <c r="I853" s="1">
        <v>0.17610000000000001</v>
      </c>
      <c r="J853" s="1">
        <v>88665</v>
      </c>
      <c r="K853" s="1">
        <v>12761</v>
      </c>
      <c r="L853" s="1">
        <v>15317</v>
      </c>
      <c r="M853" s="1">
        <v>6</v>
      </c>
      <c r="N853" s="1" t="s">
        <v>20</v>
      </c>
      <c r="O853" s="1" t="s">
        <v>42</v>
      </c>
      <c r="P853" s="1" t="s">
        <v>39</v>
      </c>
      <c r="Q853" s="1" t="s">
        <v>23</v>
      </c>
      <c r="R853">
        <v>0.39678165593125969</v>
      </c>
    </row>
    <row r="854" spans="1:18" x14ac:dyDescent="0.2">
      <c r="A854" s="1">
        <v>141644</v>
      </c>
      <c r="B854" s="1" t="s">
        <v>926</v>
      </c>
      <c r="C854" s="1" t="s">
        <v>240</v>
      </c>
      <c r="D854" s="1">
        <v>0.85870000000000002</v>
      </c>
      <c r="E854" s="1">
        <v>2392</v>
      </c>
      <c r="F854" s="1">
        <v>34392</v>
      </c>
      <c r="G854" s="1">
        <v>0.34889999999999999</v>
      </c>
      <c r="H854" s="1">
        <v>0.5645</v>
      </c>
      <c r="I854" s="1">
        <v>0.2145</v>
      </c>
      <c r="J854" s="1">
        <v>59593</v>
      </c>
      <c r="K854" s="1">
        <v>22000</v>
      </c>
      <c r="L854" s="1">
        <v>9549</v>
      </c>
      <c r="M854" s="1">
        <v>15</v>
      </c>
      <c r="N854" s="1" t="s">
        <v>20</v>
      </c>
      <c r="O854" s="1" t="s">
        <v>29</v>
      </c>
      <c r="P854" s="1" t="s">
        <v>22</v>
      </c>
      <c r="Q854" s="1" t="s">
        <v>23</v>
      </c>
      <c r="R854">
        <v>0.3938771331038492</v>
      </c>
    </row>
    <row r="855" spans="1:18" x14ac:dyDescent="0.2">
      <c r="A855" s="1">
        <v>215284</v>
      </c>
      <c r="B855" s="1" t="s">
        <v>927</v>
      </c>
      <c r="C855" s="1" t="s">
        <v>98</v>
      </c>
      <c r="D855" s="1">
        <v>0.94840000000000002</v>
      </c>
      <c r="E855" s="1">
        <v>1808</v>
      </c>
      <c r="F855" s="1">
        <v>26780</v>
      </c>
      <c r="G855" s="1">
        <v>0.55820000000000003</v>
      </c>
      <c r="H855" s="1">
        <v>0.75109999999999999</v>
      </c>
      <c r="I855" s="1">
        <v>0.32369999999999999</v>
      </c>
      <c r="J855" s="1">
        <v>66125</v>
      </c>
      <c r="K855" s="1">
        <v>24250</v>
      </c>
      <c r="L855" s="1">
        <v>8540</v>
      </c>
      <c r="M855" s="1">
        <v>14</v>
      </c>
      <c r="N855" s="1" t="s">
        <v>28</v>
      </c>
      <c r="O855" s="1" t="s">
        <v>21</v>
      </c>
      <c r="P855" s="1" t="s">
        <v>39</v>
      </c>
      <c r="Q855" s="1" t="s">
        <v>23</v>
      </c>
      <c r="R855">
        <v>0.39368807413851259</v>
      </c>
    </row>
    <row r="856" spans="1:18" x14ac:dyDescent="0.2">
      <c r="A856" s="1">
        <v>399911</v>
      </c>
      <c r="B856" s="1" t="s">
        <v>928</v>
      </c>
      <c r="C856" s="1" t="s">
        <v>33</v>
      </c>
      <c r="D856" s="1">
        <v>0.43380000000000002</v>
      </c>
      <c r="E856" s="1">
        <v>484</v>
      </c>
      <c r="F856" s="1">
        <v>38728</v>
      </c>
      <c r="G856" s="1">
        <v>0.91820000000000002</v>
      </c>
      <c r="H856" s="1">
        <v>0.90480000000000005</v>
      </c>
      <c r="I856" s="1">
        <v>0.20430000000000001</v>
      </c>
      <c r="J856" s="1">
        <v>55017</v>
      </c>
      <c r="K856" s="1">
        <v>15650</v>
      </c>
      <c r="L856" s="1">
        <v>13313</v>
      </c>
      <c r="M856" s="1">
        <v>7</v>
      </c>
      <c r="N856" s="1" t="s">
        <v>20</v>
      </c>
      <c r="O856" s="1" t="s">
        <v>21</v>
      </c>
      <c r="P856" s="1" t="s">
        <v>22</v>
      </c>
      <c r="Q856" s="1" t="s">
        <v>23</v>
      </c>
      <c r="R856">
        <v>0.39273440788611391</v>
      </c>
    </row>
    <row r="857" spans="1:18" x14ac:dyDescent="0.2">
      <c r="A857" s="1">
        <v>178059</v>
      </c>
      <c r="B857" s="1" t="s">
        <v>929</v>
      </c>
      <c r="C857" s="1" t="s">
        <v>77</v>
      </c>
      <c r="D857" s="1">
        <v>0.95079999999999998</v>
      </c>
      <c r="E857" s="1">
        <v>5658</v>
      </c>
      <c r="F857" s="1">
        <v>27166</v>
      </c>
      <c r="G857" s="1">
        <v>0.66220000000000001</v>
      </c>
      <c r="H857" s="1">
        <v>0.84670000000000001</v>
      </c>
      <c r="I857" s="1">
        <v>0.36409999999999998</v>
      </c>
      <c r="J857" s="1">
        <v>62105</v>
      </c>
      <c r="K857" s="1">
        <v>22000</v>
      </c>
      <c r="L857" s="1">
        <v>9445</v>
      </c>
      <c r="M857" s="1">
        <v>13</v>
      </c>
      <c r="N857" s="1" t="s">
        <v>20</v>
      </c>
      <c r="O857" s="1" t="s">
        <v>21</v>
      </c>
      <c r="P857" s="1" t="s">
        <v>22</v>
      </c>
      <c r="Q857" s="1" t="s">
        <v>23</v>
      </c>
      <c r="R857">
        <v>0.39242315208972189</v>
      </c>
    </row>
    <row r="858" spans="1:18" x14ac:dyDescent="0.2">
      <c r="A858" s="1">
        <v>219718</v>
      </c>
      <c r="B858" s="1" t="s">
        <v>377</v>
      </c>
      <c r="C858" s="1" t="s">
        <v>163</v>
      </c>
      <c r="D858" s="1">
        <v>0.60229999999999995</v>
      </c>
      <c r="E858" s="1">
        <v>1547</v>
      </c>
      <c r="F858" s="1">
        <v>18712</v>
      </c>
      <c r="G858" s="1">
        <v>0.35049999999999998</v>
      </c>
      <c r="H858" s="1">
        <v>0.53920000000000001</v>
      </c>
      <c r="I858" s="1">
        <v>0.317</v>
      </c>
      <c r="J858" s="1">
        <v>47482</v>
      </c>
      <c r="K858" s="1">
        <v>27249</v>
      </c>
      <c r="L858" s="1">
        <v>3147</v>
      </c>
      <c r="M858" s="1">
        <v>15</v>
      </c>
      <c r="N858" s="1" t="s">
        <v>20</v>
      </c>
      <c r="O858" s="1" t="s">
        <v>42</v>
      </c>
      <c r="P858" s="1" t="s">
        <v>30</v>
      </c>
      <c r="Q858" s="1" t="s">
        <v>31</v>
      </c>
      <c r="R858">
        <v>0.39200732585417475</v>
      </c>
    </row>
    <row r="859" spans="1:18" x14ac:dyDescent="0.2">
      <c r="A859" s="1">
        <v>130253</v>
      </c>
      <c r="B859" s="1" t="s">
        <v>930</v>
      </c>
      <c r="C859" s="1" t="s">
        <v>147</v>
      </c>
      <c r="D859" s="1">
        <v>0.65359999999999996</v>
      </c>
      <c r="E859" s="1">
        <v>7087</v>
      </c>
      <c r="F859" s="1">
        <v>50404</v>
      </c>
      <c r="G859" s="1">
        <v>0.73460000000000003</v>
      </c>
      <c r="H859" s="1">
        <v>0.83079999999999998</v>
      </c>
      <c r="I859" s="1">
        <v>0.158</v>
      </c>
      <c r="J859" s="1">
        <v>75059</v>
      </c>
      <c r="K859" s="1">
        <v>25000</v>
      </c>
      <c r="L859" s="1">
        <v>11014</v>
      </c>
      <c r="M859" s="1">
        <v>15</v>
      </c>
      <c r="N859" s="1" t="s">
        <v>20</v>
      </c>
      <c r="O859" s="1" t="s">
        <v>21</v>
      </c>
      <c r="P859" s="1" t="s">
        <v>39</v>
      </c>
      <c r="Q859" s="1" t="s">
        <v>23</v>
      </c>
      <c r="R859">
        <v>0.39168928643066236</v>
      </c>
    </row>
    <row r="860" spans="1:18" x14ac:dyDescent="0.2">
      <c r="A860" s="1">
        <v>219000</v>
      </c>
      <c r="B860" s="1" t="s">
        <v>931</v>
      </c>
      <c r="C860" s="1" t="s">
        <v>41</v>
      </c>
      <c r="D860" s="1">
        <v>0.67749999999999999</v>
      </c>
      <c r="E860" s="1">
        <v>1965</v>
      </c>
      <c r="F860" s="1">
        <v>40160</v>
      </c>
      <c r="G860" s="1">
        <v>0.72970000000000002</v>
      </c>
      <c r="H860" s="1">
        <v>0.86119999999999997</v>
      </c>
      <c r="I860" s="1">
        <v>0.17799999999999999</v>
      </c>
      <c r="J860" s="1">
        <v>59217</v>
      </c>
      <c r="K860" s="1">
        <v>25000</v>
      </c>
      <c r="L860" s="1">
        <v>6324</v>
      </c>
      <c r="M860" s="1">
        <v>12</v>
      </c>
      <c r="N860" s="1" t="s">
        <v>20</v>
      </c>
      <c r="O860" s="1" t="s">
        <v>29</v>
      </c>
      <c r="P860" s="1" t="s">
        <v>22</v>
      </c>
      <c r="Q860" s="1" t="s">
        <v>23</v>
      </c>
      <c r="R860">
        <v>0.38992974692018434</v>
      </c>
    </row>
    <row r="861" spans="1:18" x14ac:dyDescent="0.2">
      <c r="A861" s="1">
        <v>110583</v>
      </c>
      <c r="B861" s="1" t="s">
        <v>932</v>
      </c>
      <c r="C861" s="1" t="s">
        <v>33</v>
      </c>
      <c r="D861" s="1">
        <v>0.4627</v>
      </c>
      <c r="E861" s="1">
        <v>35924</v>
      </c>
      <c r="F861" s="1">
        <v>19950</v>
      </c>
      <c r="G861" s="1">
        <v>0.68879999999999997</v>
      </c>
      <c r="H861" s="1">
        <v>0.86799999999999999</v>
      </c>
      <c r="I861" s="1">
        <v>0.50180000000000002</v>
      </c>
      <c r="J861" s="1">
        <v>64403</v>
      </c>
      <c r="K861" s="1">
        <v>14289</v>
      </c>
      <c r="L861" s="1">
        <v>12276</v>
      </c>
      <c r="M861" s="1">
        <v>23</v>
      </c>
      <c r="N861" s="1" t="s">
        <v>28</v>
      </c>
      <c r="O861" s="1" t="s">
        <v>29</v>
      </c>
      <c r="P861" s="1" t="s">
        <v>22</v>
      </c>
      <c r="Q861" s="1" t="s">
        <v>23</v>
      </c>
      <c r="R861">
        <v>0.38888939621118768</v>
      </c>
    </row>
    <row r="862" spans="1:18" x14ac:dyDescent="0.2">
      <c r="A862" s="1">
        <v>175616</v>
      </c>
      <c r="B862" s="1" t="s">
        <v>933</v>
      </c>
      <c r="C862" s="1" t="s">
        <v>169</v>
      </c>
      <c r="D862" s="1">
        <v>1</v>
      </c>
      <c r="E862" s="1">
        <v>1620</v>
      </c>
      <c r="F862" s="1">
        <v>8605</v>
      </c>
      <c r="G862" s="1">
        <v>0.48060000000000003</v>
      </c>
      <c r="H862" s="1">
        <v>0.66669999999999996</v>
      </c>
      <c r="I862" s="1">
        <v>0.41749999999999998</v>
      </c>
      <c r="J862" s="1">
        <v>41991</v>
      </c>
      <c r="K862" s="1">
        <v>20390</v>
      </c>
      <c r="L862" s="1">
        <v>7517</v>
      </c>
      <c r="M862" s="1">
        <v>12</v>
      </c>
      <c r="N862" s="1" t="s">
        <v>28</v>
      </c>
      <c r="O862" s="1" t="s">
        <v>42</v>
      </c>
      <c r="P862" s="1" t="s">
        <v>30</v>
      </c>
      <c r="Q862" s="1" t="s">
        <v>31</v>
      </c>
      <c r="R862">
        <v>0.38864669671251051</v>
      </c>
    </row>
    <row r="863" spans="1:18" x14ac:dyDescent="0.2">
      <c r="A863" s="1">
        <v>134945</v>
      </c>
      <c r="B863" s="1" t="s">
        <v>934</v>
      </c>
      <c r="C863" s="1" t="s">
        <v>27</v>
      </c>
      <c r="D863" s="1">
        <v>0.56940000000000002</v>
      </c>
      <c r="E863" s="1">
        <v>2930</v>
      </c>
      <c r="F863" s="1">
        <v>47830</v>
      </c>
      <c r="G863" s="1">
        <v>0.50649999999999995</v>
      </c>
      <c r="H863" s="1">
        <v>0.74670000000000003</v>
      </c>
      <c r="I863" s="1">
        <v>0.30730000000000002</v>
      </c>
      <c r="J863" s="1">
        <v>68010</v>
      </c>
      <c r="K863" s="1">
        <v>22000</v>
      </c>
      <c r="L863" s="1">
        <v>8698</v>
      </c>
      <c r="M863" s="1">
        <v>11</v>
      </c>
      <c r="N863" s="1" t="s">
        <v>20</v>
      </c>
      <c r="O863" s="1" t="s">
        <v>29</v>
      </c>
      <c r="P863" s="1" t="s">
        <v>30</v>
      </c>
      <c r="Q863" s="1" t="s">
        <v>23</v>
      </c>
      <c r="R863">
        <v>0.38829878955914165</v>
      </c>
    </row>
    <row r="864" spans="1:18" x14ac:dyDescent="0.2">
      <c r="A864" s="1">
        <v>110653</v>
      </c>
      <c r="B864" s="1" t="s">
        <v>935</v>
      </c>
      <c r="C864" s="1" t="s">
        <v>33</v>
      </c>
      <c r="D864" s="1">
        <v>0.28570000000000001</v>
      </c>
      <c r="E864" s="1">
        <v>30197</v>
      </c>
      <c r="F864" s="1">
        <v>49922</v>
      </c>
      <c r="G864" s="1">
        <v>0.86870000000000003</v>
      </c>
      <c r="H864" s="1">
        <v>0.9405</v>
      </c>
      <c r="I864" s="1">
        <v>0.36099999999999999</v>
      </c>
      <c r="J864" s="1">
        <v>80735</v>
      </c>
      <c r="K864" s="1">
        <v>15000</v>
      </c>
      <c r="L864" s="1">
        <v>19250</v>
      </c>
      <c r="M864" s="1">
        <v>19</v>
      </c>
      <c r="N864" s="1" t="s">
        <v>28</v>
      </c>
      <c r="O864" s="1" t="s">
        <v>29</v>
      </c>
      <c r="P864" s="1" t="s">
        <v>22</v>
      </c>
      <c r="Q864" s="1" t="s">
        <v>23</v>
      </c>
      <c r="R864">
        <v>0.38818876385568868</v>
      </c>
    </row>
    <row r="865" spans="1:18" x14ac:dyDescent="0.2">
      <c r="A865" s="1">
        <v>240727</v>
      </c>
      <c r="B865" s="1" t="s">
        <v>936</v>
      </c>
      <c r="C865" s="1" t="s">
        <v>937</v>
      </c>
      <c r="D865" s="1">
        <v>0.96879999999999999</v>
      </c>
      <c r="E865" s="1">
        <v>7944</v>
      </c>
      <c r="F865" s="1">
        <v>24178</v>
      </c>
      <c r="G865" s="1">
        <v>0.58840000000000003</v>
      </c>
      <c r="H865" s="1">
        <v>0.79679999999999995</v>
      </c>
      <c r="I865" s="1">
        <v>0.22750000000000001</v>
      </c>
      <c r="J865" s="1">
        <v>56880</v>
      </c>
      <c r="K865" s="1">
        <v>18000</v>
      </c>
      <c r="L865" s="1">
        <v>10759</v>
      </c>
      <c r="M865" s="1">
        <v>13</v>
      </c>
      <c r="N865" s="1" t="s">
        <v>28</v>
      </c>
      <c r="O865" s="1" t="s">
        <v>42</v>
      </c>
      <c r="P865" s="1" t="s">
        <v>22</v>
      </c>
      <c r="Q865" s="1" t="s">
        <v>23</v>
      </c>
      <c r="R865">
        <v>0.38812603054482064</v>
      </c>
    </row>
    <row r="866" spans="1:18" x14ac:dyDescent="0.2">
      <c r="A866" s="1">
        <v>197197</v>
      </c>
      <c r="B866" s="1" t="s">
        <v>938</v>
      </c>
      <c r="C866" s="1" t="s">
        <v>58</v>
      </c>
      <c r="D866" s="1">
        <v>0.88</v>
      </c>
      <c r="E866" s="1">
        <v>1651</v>
      </c>
      <c r="F866" s="1">
        <v>53200</v>
      </c>
      <c r="G866" s="1">
        <v>0.65139999999999998</v>
      </c>
      <c r="H866" s="1">
        <v>0.83420000000000005</v>
      </c>
      <c r="I866" s="1">
        <v>0.23849999999999999</v>
      </c>
      <c r="J866" s="1">
        <v>74360</v>
      </c>
      <c r="K866" s="1">
        <v>25000</v>
      </c>
      <c r="L866" s="1">
        <v>8122</v>
      </c>
      <c r="M866" s="1">
        <v>11</v>
      </c>
      <c r="N866" s="1" t="s">
        <v>20</v>
      </c>
      <c r="O866" s="1" t="s">
        <v>29</v>
      </c>
      <c r="P866" s="1" t="s">
        <v>39</v>
      </c>
      <c r="Q866" s="1" t="s">
        <v>23</v>
      </c>
      <c r="R866">
        <v>0.3872712198152114</v>
      </c>
    </row>
    <row r="867" spans="1:18" x14ac:dyDescent="0.2">
      <c r="A867" s="1">
        <v>198136</v>
      </c>
      <c r="B867" s="1" t="s">
        <v>939</v>
      </c>
      <c r="C867" s="1" t="s">
        <v>86</v>
      </c>
      <c r="D867" s="1">
        <v>0.87180000000000002</v>
      </c>
      <c r="E867" s="1">
        <v>2680</v>
      </c>
      <c r="F867" s="1">
        <v>41600</v>
      </c>
      <c r="G867" s="1">
        <v>0.60960000000000003</v>
      </c>
      <c r="H867" s="1">
        <v>0.76160000000000005</v>
      </c>
      <c r="I867" s="1">
        <v>0.37580000000000002</v>
      </c>
      <c r="J867" s="1">
        <v>54886</v>
      </c>
      <c r="K867" s="1">
        <v>22500</v>
      </c>
      <c r="L867" s="1">
        <v>9210</v>
      </c>
      <c r="M867" s="1">
        <v>13</v>
      </c>
      <c r="N867" s="1" t="s">
        <v>20</v>
      </c>
      <c r="O867" s="1" t="s">
        <v>42</v>
      </c>
      <c r="P867" s="1" t="s">
        <v>30</v>
      </c>
      <c r="Q867" s="1" t="s">
        <v>23</v>
      </c>
      <c r="R867">
        <v>0.38565826493364341</v>
      </c>
    </row>
    <row r="868" spans="1:18" x14ac:dyDescent="0.2">
      <c r="A868" s="1">
        <v>170675</v>
      </c>
      <c r="B868" s="1" t="s">
        <v>940</v>
      </c>
      <c r="C868" s="1" t="s">
        <v>109</v>
      </c>
      <c r="D868" s="1">
        <v>0.55900000000000005</v>
      </c>
      <c r="E868" s="1">
        <v>1668</v>
      </c>
      <c r="F868" s="1">
        <v>44760</v>
      </c>
      <c r="G868" s="1">
        <v>0.60580000000000001</v>
      </c>
      <c r="H868" s="1">
        <v>0.78359999999999996</v>
      </c>
      <c r="I868" s="1">
        <v>0.155</v>
      </c>
      <c r="J868" s="1">
        <v>69151</v>
      </c>
      <c r="K868" s="1">
        <v>27000</v>
      </c>
      <c r="L868" s="1">
        <v>9215</v>
      </c>
      <c r="M868" s="1">
        <v>11</v>
      </c>
      <c r="N868" s="1" t="s">
        <v>20</v>
      </c>
      <c r="O868" s="1" t="s">
        <v>29</v>
      </c>
      <c r="P868" s="1" t="s">
        <v>22</v>
      </c>
      <c r="Q868" s="1" t="s">
        <v>23</v>
      </c>
      <c r="R868">
        <v>0.38536189731443082</v>
      </c>
    </row>
    <row r="869" spans="1:18" x14ac:dyDescent="0.2">
      <c r="A869" s="1">
        <v>168847</v>
      </c>
      <c r="B869" s="1" t="s">
        <v>941</v>
      </c>
      <c r="C869" s="1" t="s">
        <v>109</v>
      </c>
      <c r="D869" s="1">
        <v>0.81869999999999998</v>
      </c>
      <c r="E869" s="1">
        <v>3026</v>
      </c>
      <c r="F869" s="1">
        <v>13000</v>
      </c>
      <c r="G869" s="1">
        <v>0.35830000000000001</v>
      </c>
      <c r="H869" s="1">
        <v>0.66100000000000003</v>
      </c>
      <c r="I869" s="1">
        <v>0.37680000000000002</v>
      </c>
      <c r="J869" s="1">
        <v>35833</v>
      </c>
      <c r="K869" s="1">
        <v>25000</v>
      </c>
      <c r="L869" s="1">
        <v>6382</v>
      </c>
      <c r="M869" s="1">
        <v>9</v>
      </c>
      <c r="N869" s="1" t="s">
        <v>20</v>
      </c>
      <c r="O869" s="1" t="s">
        <v>42</v>
      </c>
      <c r="P869" s="1" t="s">
        <v>22</v>
      </c>
      <c r="Q869" s="1" t="s">
        <v>31</v>
      </c>
      <c r="R869">
        <v>0.38494574482731891</v>
      </c>
    </row>
    <row r="870" spans="1:18" x14ac:dyDescent="0.2">
      <c r="A870" s="1">
        <v>240268</v>
      </c>
      <c r="B870" s="1" t="s">
        <v>942</v>
      </c>
      <c r="C870" s="1" t="s">
        <v>50</v>
      </c>
      <c r="D870" s="1">
        <v>0.82340000000000002</v>
      </c>
      <c r="E870" s="1">
        <v>8895</v>
      </c>
      <c r="F870" s="1">
        <v>19228</v>
      </c>
      <c r="G870" s="1">
        <v>0.6381</v>
      </c>
      <c r="H870" s="1">
        <v>0.8175</v>
      </c>
      <c r="I870" s="1">
        <v>0.19639999999999999</v>
      </c>
      <c r="J870" s="1">
        <v>58561</v>
      </c>
      <c r="K870" s="1">
        <v>20909</v>
      </c>
      <c r="L870" s="1">
        <v>9157</v>
      </c>
      <c r="M870" s="1">
        <v>19</v>
      </c>
      <c r="N870" s="1" t="s">
        <v>28</v>
      </c>
      <c r="O870" s="1" t="s">
        <v>29</v>
      </c>
      <c r="P870" s="1" t="s">
        <v>22</v>
      </c>
      <c r="Q870" s="1" t="s">
        <v>23</v>
      </c>
      <c r="R870">
        <v>0.38467339637323428</v>
      </c>
    </row>
    <row r="871" spans="1:18" x14ac:dyDescent="0.2">
      <c r="A871" s="1">
        <v>176035</v>
      </c>
      <c r="B871" s="1" t="s">
        <v>943</v>
      </c>
      <c r="C871" s="1" t="s">
        <v>169</v>
      </c>
      <c r="D871" s="1">
        <v>0.90310000000000001</v>
      </c>
      <c r="E871" s="1">
        <v>1605</v>
      </c>
      <c r="F871" s="1">
        <v>8492</v>
      </c>
      <c r="G871" s="1">
        <v>0.4677</v>
      </c>
      <c r="H871" s="1">
        <v>0.67310000000000003</v>
      </c>
      <c r="I871" s="1">
        <v>0.40300000000000002</v>
      </c>
      <c r="J871" s="1">
        <v>46128</v>
      </c>
      <c r="K871" s="1">
        <v>15000</v>
      </c>
      <c r="L871" s="1">
        <v>6855</v>
      </c>
      <c r="M871" s="1">
        <v>10</v>
      </c>
      <c r="N871" s="1" t="s">
        <v>28</v>
      </c>
      <c r="O871" s="1" t="s">
        <v>42</v>
      </c>
      <c r="P871" s="1" t="s">
        <v>30</v>
      </c>
      <c r="Q871" s="1" t="s">
        <v>31</v>
      </c>
      <c r="R871">
        <v>0.3835655800830291</v>
      </c>
    </row>
    <row r="872" spans="1:18" x14ac:dyDescent="0.2">
      <c r="A872" s="1">
        <v>199120</v>
      </c>
      <c r="B872" s="1" t="s">
        <v>944</v>
      </c>
      <c r="C872" s="1" t="s">
        <v>86</v>
      </c>
      <c r="D872" s="1">
        <v>0.15340000000000001</v>
      </c>
      <c r="E872" s="1">
        <v>20752</v>
      </c>
      <c r="F872" s="1">
        <v>41203</v>
      </c>
      <c r="G872" s="1">
        <v>0.91169999999999995</v>
      </c>
      <c r="H872" s="1">
        <v>0.96609999999999996</v>
      </c>
      <c r="I872" s="1">
        <v>0.20039999999999999</v>
      </c>
      <c r="J872" s="1">
        <v>72200</v>
      </c>
      <c r="K872" s="1">
        <v>14000</v>
      </c>
      <c r="L872" s="1">
        <v>15046</v>
      </c>
      <c r="M872" s="1">
        <v>15</v>
      </c>
      <c r="N872" s="1" t="s">
        <v>28</v>
      </c>
      <c r="O872" s="1" t="s">
        <v>29</v>
      </c>
      <c r="P872" s="1" t="s">
        <v>30</v>
      </c>
      <c r="Q872" s="1" t="s">
        <v>23</v>
      </c>
      <c r="R872">
        <v>0.3831409954044307</v>
      </c>
    </row>
    <row r="873" spans="1:18" x14ac:dyDescent="0.2">
      <c r="A873" s="1">
        <v>161226</v>
      </c>
      <c r="B873" s="1" t="s">
        <v>945</v>
      </c>
      <c r="C873" s="1" t="s">
        <v>74</v>
      </c>
      <c r="D873" s="1">
        <v>0.96719999999999995</v>
      </c>
      <c r="E873" s="1">
        <v>1140</v>
      </c>
      <c r="F873" s="1">
        <v>23878</v>
      </c>
      <c r="G873" s="1">
        <v>0.51539999999999997</v>
      </c>
      <c r="H873" s="1">
        <v>0.72770000000000001</v>
      </c>
      <c r="I873" s="1">
        <v>0.30159999999999998</v>
      </c>
      <c r="J873" s="1">
        <v>44433</v>
      </c>
      <c r="K873" s="1">
        <v>24499</v>
      </c>
      <c r="L873" s="1">
        <v>8643</v>
      </c>
      <c r="M873" s="1">
        <v>13</v>
      </c>
      <c r="N873" s="1" t="s">
        <v>28</v>
      </c>
      <c r="O873" s="1" t="s">
        <v>42</v>
      </c>
      <c r="P873" s="1" t="s">
        <v>39</v>
      </c>
      <c r="Q873" s="1" t="s">
        <v>31</v>
      </c>
      <c r="R873">
        <v>0.38287976472753993</v>
      </c>
    </row>
    <row r="874" spans="1:18" x14ac:dyDescent="0.2">
      <c r="A874" s="1">
        <v>127185</v>
      </c>
      <c r="B874" s="1" t="s">
        <v>946</v>
      </c>
      <c r="C874" s="1" t="s">
        <v>161</v>
      </c>
      <c r="D874" s="1">
        <v>0.77300000000000002</v>
      </c>
      <c r="E874" s="1">
        <v>3079</v>
      </c>
      <c r="F874" s="1">
        <v>21526</v>
      </c>
      <c r="G874" s="1">
        <v>0.35639999999999999</v>
      </c>
      <c r="H874" s="1">
        <v>0.6613</v>
      </c>
      <c r="I874" s="1">
        <v>0.34920000000000001</v>
      </c>
      <c r="J874" s="1">
        <v>46349</v>
      </c>
      <c r="K874" s="1">
        <v>18389</v>
      </c>
      <c r="L874" s="1">
        <v>6374</v>
      </c>
      <c r="M874" s="1">
        <v>14</v>
      </c>
      <c r="N874" s="1" t="s">
        <v>28</v>
      </c>
      <c r="O874" s="1" t="s">
        <v>42</v>
      </c>
      <c r="P874" s="1" t="s">
        <v>22</v>
      </c>
      <c r="Q874" s="1" t="s">
        <v>31</v>
      </c>
      <c r="R874">
        <v>0.38165787941309226</v>
      </c>
    </row>
    <row r="875" spans="1:18" x14ac:dyDescent="0.2">
      <c r="A875" s="1">
        <v>188641</v>
      </c>
      <c r="B875" s="1" t="s">
        <v>947</v>
      </c>
      <c r="C875" s="1" t="s">
        <v>58</v>
      </c>
      <c r="D875" s="1">
        <v>0.73839999999999995</v>
      </c>
      <c r="E875" s="1">
        <v>1423</v>
      </c>
      <c r="F875" s="1">
        <v>41500</v>
      </c>
      <c r="G875" s="1">
        <v>0.56979999999999997</v>
      </c>
      <c r="H875" s="1">
        <v>0.7752</v>
      </c>
      <c r="I875" s="1">
        <v>0.38540000000000002</v>
      </c>
      <c r="J875" s="1">
        <v>54897</v>
      </c>
      <c r="K875" s="1">
        <v>26000</v>
      </c>
      <c r="L875" s="1">
        <v>7390</v>
      </c>
      <c r="M875" s="1">
        <v>9</v>
      </c>
      <c r="N875" s="1" t="s">
        <v>20</v>
      </c>
      <c r="O875" s="1" t="s">
        <v>42</v>
      </c>
      <c r="P875" s="1" t="s">
        <v>39</v>
      </c>
      <c r="Q875" s="1" t="s">
        <v>23</v>
      </c>
      <c r="R875">
        <v>0.38032866057404402</v>
      </c>
    </row>
    <row r="876" spans="1:18" x14ac:dyDescent="0.2">
      <c r="A876" s="1">
        <v>162210</v>
      </c>
      <c r="B876" s="1" t="s">
        <v>948</v>
      </c>
      <c r="C876" s="1" t="s">
        <v>61</v>
      </c>
      <c r="D876" s="1">
        <v>0.46179999999999999</v>
      </c>
      <c r="E876" s="1">
        <v>452</v>
      </c>
      <c r="F876" s="1">
        <v>26604</v>
      </c>
      <c r="G876" s="1">
        <v>0.28649999999999998</v>
      </c>
      <c r="H876" s="1">
        <v>0.64080000000000004</v>
      </c>
      <c r="I876" s="1">
        <v>0.37190000000000001</v>
      </c>
      <c r="J876" s="1">
        <v>64249</v>
      </c>
      <c r="K876" s="1">
        <v>30500</v>
      </c>
      <c r="L876" s="1">
        <v>6208</v>
      </c>
      <c r="M876" s="1">
        <v>9</v>
      </c>
      <c r="N876" s="1" t="s">
        <v>20</v>
      </c>
      <c r="O876" s="1" t="s">
        <v>21</v>
      </c>
      <c r="P876" s="1" t="s">
        <v>30</v>
      </c>
      <c r="Q876" s="1" t="s">
        <v>23</v>
      </c>
      <c r="R876">
        <v>0.37963100744120559</v>
      </c>
    </row>
    <row r="877" spans="1:18" x14ac:dyDescent="0.2">
      <c r="A877" s="1">
        <v>198066</v>
      </c>
      <c r="B877" s="1" t="s">
        <v>949</v>
      </c>
      <c r="C877" s="1" t="s">
        <v>86</v>
      </c>
      <c r="D877" s="1">
        <v>0.42159999999999997</v>
      </c>
      <c r="E877" s="1">
        <v>815</v>
      </c>
      <c r="F877" s="1">
        <v>32280</v>
      </c>
      <c r="G877" s="1">
        <v>0.4884</v>
      </c>
      <c r="H877" s="1">
        <v>0.61509999999999998</v>
      </c>
      <c r="I877" s="1">
        <v>0.40579999999999999</v>
      </c>
      <c r="J877" s="1">
        <v>43545</v>
      </c>
      <c r="K877" s="1">
        <v>25000</v>
      </c>
      <c r="L877" s="1">
        <v>6053</v>
      </c>
      <c r="M877" s="1">
        <v>12</v>
      </c>
      <c r="N877" s="1" t="s">
        <v>20</v>
      </c>
      <c r="O877" s="1" t="s">
        <v>42</v>
      </c>
      <c r="P877" s="1" t="s">
        <v>30</v>
      </c>
      <c r="Q877" s="1" t="s">
        <v>31</v>
      </c>
      <c r="R877">
        <v>0.37952496044019601</v>
      </c>
    </row>
    <row r="878" spans="1:18" x14ac:dyDescent="0.2">
      <c r="A878" s="1">
        <v>421708</v>
      </c>
      <c r="B878" s="1" t="s">
        <v>950</v>
      </c>
      <c r="C878" s="1" t="s">
        <v>216</v>
      </c>
      <c r="D878" s="1">
        <v>1</v>
      </c>
      <c r="E878" s="1">
        <v>1202</v>
      </c>
      <c r="F878" s="1">
        <v>26091</v>
      </c>
      <c r="G878" s="1">
        <v>0.88890000000000002</v>
      </c>
      <c r="H878" s="1">
        <v>0.71430000000000005</v>
      </c>
      <c r="I878" s="1">
        <v>0.46949999999999997</v>
      </c>
      <c r="J878" s="1">
        <v>34657</v>
      </c>
      <c r="K878" s="1">
        <v>9500</v>
      </c>
      <c r="L878" s="1">
        <v>7785</v>
      </c>
      <c r="M878" s="1">
        <v>20</v>
      </c>
      <c r="N878" s="1" t="s">
        <v>142</v>
      </c>
      <c r="O878" s="1" t="s">
        <v>29</v>
      </c>
      <c r="P878" s="1" t="s">
        <v>22</v>
      </c>
      <c r="Q878" s="1" t="s">
        <v>31</v>
      </c>
      <c r="R878">
        <v>0.37853766283876256</v>
      </c>
    </row>
    <row r="879" spans="1:18" x14ac:dyDescent="0.2">
      <c r="A879" s="1">
        <v>151786</v>
      </c>
      <c r="B879" s="1" t="s">
        <v>49</v>
      </c>
      <c r="C879" s="1" t="s">
        <v>102</v>
      </c>
      <c r="D879" s="1">
        <v>0.9546</v>
      </c>
      <c r="E879" s="1">
        <v>2266</v>
      </c>
      <c r="F879" s="1">
        <v>40664</v>
      </c>
      <c r="G879" s="1">
        <v>0.67220000000000002</v>
      </c>
      <c r="H879" s="1">
        <v>0.75880000000000003</v>
      </c>
      <c r="I879" s="1">
        <v>0.2853</v>
      </c>
      <c r="J879" s="1">
        <v>58759</v>
      </c>
      <c r="K879" s="1">
        <v>27000</v>
      </c>
      <c r="L879" s="1">
        <v>7727</v>
      </c>
      <c r="M879" s="1">
        <v>13</v>
      </c>
      <c r="N879" s="1" t="s">
        <v>20</v>
      </c>
      <c r="O879" s="1" t="s">
        <v>29</v>
      </c>
      <c r="P879" s="1" t="s">
        <v>22</v>
      </c>
      <c r="Q879" s="1" t="s">
        <v>23</v>
      </c>
      <c r="R879">
        <v>0.37803657608119845</v>
      </c>
    </row>
    <row r="880" spans="1:18" x14ac:dyDescent="0.2">
      <c r="A880" s="1">
        <v>165574</v>
      </c>
      <c r="B880" s="1" t="s">
        <v>951</v>
      </c>
      <c r="C880" s="1" t="s">
        <v>129</v>
      </c>
      <c r="D880" s="1">
        <v>0.73709999999999998</v>
      </c>
      <c r="E880" s="1">
        <v>1089</v>
      </c>
      <c r="F880" s="1">
        <v>46526</v>
      </c>
      <c r="G880" s="1">
        <v>0.53590000000000004</v>
      </c>
      <c r="H880" s="1">
        <v>0.6835</v>
      </c>
      <c r="I880" s="1">
        <v>0.33710000000000001</v>
      </c>
      <c r="J880" s="1">
        <v>38109</v>
      </c>
      <c r="K880" s="1">
        <v>25000</v>
      </c>
      <c r="L880" s="1">
        <v>7401</v>
      </c>
      <c r="M880" s="1">
        <v>15</v>
      </c>
      <c r="N880" s="1" t="s">
        <v>20</v>
      </c>
      <c r="O880" s="1" t="s">
        <v>21</v>
      </c>
      <c r="P880" s="1" t="s">
        <v>39</v>
      </c>
      <c r="Q880" s="1" t="s">
        <v>31</v>
      </c>
      <c r="R880">
        <v>0.3776406041237893</v>
      </c>
    </row>
    <row r="881" spans="1:18" x14ac:dyDescent="0.2">
      <c r="A881" s="1">
        <v>206525</v>
      </c>
      <c r="B881" s="1" t="s">
        <v>952</v>
      </c>
      <c r="C881" s="1" t="s">
        <v>19</v>
      </c>
      <c r="D881" s="1">
        <v>0.72350000000000003</v>
      </c>
      <c r="E881" s="1">
        <v>1215</v>
      </c>
      <c r="F881" s="1">
        <v>45940</v>
      </c>
      <c r="G881" s="1">
        <v>0.52690000000000003</v>
      </c>
      <c r="H881" s="1">
        <v>0.63449999999999995</v>
      </c>
      <c r="I881" s="1">
        <v>0.34860000000000002</v>
      </c>
      <c r="J881" s="1">
        <v>54947</v>
      </c>
      <c r="K881" s="1">
        <v>27000</v>
      </c>
      <c r="L881" s="1">
        <v>7827</v>
      </c>
      <c r="M881" s="1">
        <v>12</v>
      </c>
      <c r="N881" s="1" t="s">
        <v>20</v>
      </c>
      <c r="O881" s="1" t="s">
        <v>29</v>
      </c>
      <c r="P881" s="1" t="s">
        <v>22</v>
      </c>
      <c r="Q881" s="1" t="s">
        <v>23</v>
      </c>
      <c r="R881">
        <v>0.37707662279948462</v>
      </c>
    </row>
    <row r="882" spans="1:18" x14ac:dyDescent="0.2">
      <c r="A882" s="1">
        <v>214175</v>
      </c>
      <c r="B882" s="1" t="s">
        <v>953</v>
      </c>
      <c r="C882" s="1" t="s">
        <v>98</v>
      </c>
      <c r="D882" s="1">
        <v>0.71989999999999998</v>
      </c>
      <c r="E882" s="1">
        <v>1727</v>
      </c>
      <c r="F882" s="1">
        <v>62805</v>
      </c>
      <c r="G882" s="1">
        <v>0.82230000000000003</v>
      </c>
      <c r="H882" s="1">
        <v>0.89929999999999999</v>
      </c>
      <c r="I882" s="1">
        <v>0.21199999999999999</v>
      </c>
      <c r="J882" s="1">
        <v>69107</v>
      </c>
      <c r="K882" s="1">
        <v>25455</v>
      </c>
      <c r="L882" s="1">
        <v>9647</v>
      </c>
      <c r="M882" s="1">
        <v>9</v>
      </c>
      <c r="N882" s="1" t="s">
        <v>20</v>
      </c>
      <c r="O882" s="1" t="s">
        <v>29</v>
      </c>
      <c r="P882" s="1" t="s">
        <v>39</v>
      </c>
      <c r="Q882" s="1" t="s">
        <v>23</v>
      </c>
      <c r="R882">
        <v>0.37474625394151917</v>
      </c>
    </row>
    <row r="883" spans="1:18" x14ac:dyDescent="0.2">
      <c r="A883" s="1">
        <v>148627</v>
      </c>
      <c r="B883" s="1" t="s">
        <v>954</v>
      </c>
      <c r="C883" s="1" t="s">
        <v>25</v>
      </c>
      <c r="D883" s="1">
        <v>0.84299999999999997</v>
      </c>
      <c r="E883" s="1">
        <v>3096</v>
      </c>
      <c r="F883" s="1">
        <v>37940</v>
      </c>
      <c r="G883" s="1">
        <v>0.56610000000000005</v>
      </c>
      <c r="H883" s="1">
        <v>0.75729999999999997</v>
      </c>
      <c r="I883" s="1">
        <v>0.5887</v>
      </c>
      <c r="J883" s="1">
        <v>58656</v>
      </c>
      <c r="K883" s="1">
        <v>22223</v>
      </c>
      <c r="L883" s="1">
        <v>8124</v>
      </c>
      <c r="M883" s="1">
        <v>16</v>
      </c>
      <c r="N883" s="1" t="s">
        <v>20</v>
      </c>
      <c r="O883" s="1" t="s">
        <v>29</v>
      </c>
      <c r="P883" s="1" t="s">
        <v>22</v>
      </c>
      <c r="Q883" s="1" t="s">
        <v>23</v>
      </c>
      <c r="R883">
        <v>0.37375141739723461</v>
      </c>
    </row>
    <row r="884" spans="1:18" x14ac:dyDescent="0.2">
      <c r="A884" s="1">
        <v>161554</v>
      </c>
      <c r="B884" s="1" t="s">
        <v>955</v>
      </c>
      <c r="C884" s="1" t="s">
        <v>74</v>
      </c>
      <c r="D884" s="1">
        <v>0.7923</v>
      </c>
      <c r="E884" s="1">
        <v>4222</v>
      </c>
      <c r="F884" s="1">
        <v>27944</v>
      </c>
      <c r="G884" s="1">
        <v>0.40350000000000003</v>
      </c>
      <c r="H884" s="1">
        <v>0.73939999999999995</v>
      </c>
      <c r="I884" s="1">
        <v>0.2828</v>
      </c>
      <c r="J884" s="1">
        <v>49958</v>
      </c>
      <c r="K884" s="1">
        <v>19060</v>
      </c>
      <c r="L884" s="1">
        <v>10420</v>
      </c>
      <c r="M884" s="1">
        <v>14</v>
      </c>
      <c r="N884" s="1" t="s">
        <v>28</v>
      </c>
      <c r="O884" s="1" t="s">
        <v>29</v>
      </c>
      <c r="P884" s="1" t="s">
        <v>39</v>
      </c>
      <c r="Q884" s="1" t="s">
        <v>31</v>
      </c>
      <c r="R884">
        <v>0.37299158522615961</v>
      </c>
    </row>
    <row r="885" spans="1:18" x14ac:dyDescent="0.2">
      <c r="A885" s="1">
        <v>174783</v>
      </c>
      <c r="B885" s="1" t="s">
        <v>956</v>
      </c>
      <c r="C885" s="1" t="s">
        <v>54</v>
      </c>
      <c r="D885" s="1">
        <v>0.94799999999999995</v>
      </c>
      <c r="E885" s="1">
        <v>5088</v>
      </c>
      <c r="F885" s="1">
        <v>10245</v>
      </c>
      <c r="G885" s="1">
        <v>0.4032</v>
      </c>
      <c r="H885" s="1">
        <v>0.70650000000000002</v>
      </c>
      <c r="I885" s="1">
        <v>0.2167</v>
      </c>
      <c r="J885" s="1">
        <v>55813</v>
      </c>
      <c r="K885" s="1">
        <v>21058</v>
      </c>
      <c r="L885" s="1">
        <v>11863</v>
      </c>
      <c r="M885" s="1">
        <v>18</v>
      </c>
      <c r="N885" s="1" t="s">
        <v>28</v>
      </c>
      <c r="O885" s="1" t="s">
        <v>29</v>
      </c>
      <c r="P885" s="1" t="s">
        <v>22</v>
      </c>
      <c r="Q885" s="1" t="s">
        <v>23</v>
      </c>
      <c r="R885">
        <v>0.37198468208443181</v>
      </c>
    </row>
    <row r="886" spans="1:18" x14ac:dyDescent="0.2">
      <c r="A886" s="1">
        <v>199102</v>
      </c>
      <c r="B886" s="1" t="s">
        <v>957</v>
      </c>
      <c r="C886" s="1" t="s">
        <v>86</v>
      </c>
      <c r="D886" s="1">
        <v>0.499</v>
      </c>
      <c r="E886" s="1">
        <v>12182</v>
      </c>
      <c r="F886" s="1">
        <v>20673</v>
      </c>
      <c r="G886" s="1">
        <v>0.57179999999999997</v>
      </c>
      <c r="H886" s="1">
        <v>0.7752</v>
      </c>
      <c r="I886" s="1">
        <v>0.52310000000000001</v>
      </c>
      <c r="J886" s="1">
        <v>44440</v>
      </c>
      <c r="K886" s="1">
        <v>27000</v>
      </c>
      <c r="L886" s="1">
        <v>10522</v>
      </c>
      <c r="M886" s="1">
        <v>20</v>
      </c>
      <c r="N886" s="1" t="s">
        <v>28</v>
      </c>
      <c r="O886" s="1" t="s">
        <v>29</v>
      </c>
      <c r="P886" s="1" t="s">
        <v>30</v>
      </c>
      <c r="Q886" s="1" t="s">
        <v>31</v>
      </c>
      <c r="R886">
        <v>0.3714652871898193</v>
      </c>
    </row>
    <row r="887" spans="1:18" x14ac:dyDescent="0.2">
      <c r="A887" s="1">
        <v>218964</v>
      </c>
      <c r="B887" s="1" t="s">
        <v>958</v>
      </c>
      <c r="C887" s="1" t="s">
        <v>155</v>
      </c>
      <c r="D887" s="1">
        <v>0.79249999999999998</v>
      </c>
      <c r="E887" s="1">
        <v>3523</v>
      </c>
      <c r="F887" s="1">
        <v>28676</v>
      </c>
      <c r="G887" s="1">
        <v>0.56979999999999997</v>
      </c>
      <c r="H887" s="1">
        <v>0.73609999999999998</v>
      </c>
      <c r="I887" s="1">
        <v>0.40960000000000002</v>
      </c>
      <c r="J887" s="1">
        <v>47185</v>
      </c>
      <c r="K887" s="1">
        <v>26975</v>
      </c>
      <c r="L887" s="1">
        <v>8923</v>
      </c>
      <c r="M887" s="1">
        <v>13</v>
      </c>
      <c r="N887" s="1" t="s">
        <v>28</v>
      </c>
      <c r="O887" s="1" t="s">
        <v>29</v>
      </c>
      <c r="P887" s="1" t="s">
        <v>30</v>
      </c>
      <c r="Q887" s="1" t="s">
        <v>31</v>
      </c>
      <c r="R887">
        <v>0.36926353613388185</v>
      </c>
    </row>
    <row r="888" spans="1:18" x14ac:dyDescent="0.2">
      <c r="A888" s="1">
        <v>164562</v>
      </c>
      <c r="B888" s="1" t="s">
        <v>959</v>
      </c>
      <c r="C888" s="1" t="s">
        <v>129</v>
      </c>
      <c r="D888" s="1">
        <v>0.82979999999999998</v>
      </c>
      <c r="E888" s="1">
        <v>1669</v>
      </c>
      <c r="F888" s="1">
        <v>51356</v>
      </c>
      <c r="G888" s="1">
        <v>0.75229999999999997</v>
      </c>
      <c r="H888" s="1">
        <v>0.83919999999999995</v>
      </c>
      <c r="I888" s="1">
        <v>0.2198</v>
      </c>
      <c r="J888" s="1">
        <v>74895</v>
      </c>
      <c r="K888" s="1">
        <v>27000</v>
      </c>
      <c r="L888" s="1">
        <v>9808</v>
      </c>
      <c r="M888" s="1">
        <v>11</v>
      </c>
      <c r="N888" s="1" t="s">
        <v>20</v>
      </c>
      <c r="O888" s="1" t="s">
        <v>29</v>
      </c>
      <c r="P888" s="1" t="s">
        <v>39</v>
      </c>
      <c r="Q888" s="1" t="s">
        <v>23</v>
      </c>
      <c r="R888">
        <v>0.36864296615971903</v>
      </c>
    </row>
    <row r="889" spans="1:18" x14ac:dyDescent="0.2">
      <c r="A889" s="1">
        <v>100654</v>
      </c>
      <c r="B889" s="1" t="s">
        <v>960</v>
      </c>
      <c r="C889" s="1" t="s">
        <v>177</v>
      </c>
      <c r="D889" s="1">
        <v>0.57950000000000002</v>
      </c>
      <c r="E889" s="1">
        <v>6124</v>
      </c>
      <c r="F889" s="1">
        <v>18634</v>
      </c>
      <c r="G889" s="1">
        <v>0.24030000000000001</v>
      </c>
      <c r="H889" s="1">
        <v>0.69889999999999997</v>
      </c>
      <c r="I889" s="1">
        <v>0.62980000000000003</v>
      </c>
      <c r="J889" s="1">
        <v>40628</v>
      </c>
      <c r="K889" s="1">
        <v>31000</v>
      </c>
      <c r="L889" s="1">
        <v>8699</v>
      </c>
      <c r="M889" s="1">
        <v>19</v>
      </c>
      <c r="N889" s="1" t="s">
        <v>28</v>
      </c>
      <c r="O889" s="1" t="s">
        <v>29</v>
      </c>
      <c r="P889" s="1" t="s">
        <v>30</v>
      </c>
      <c r="Q889" s="1" t="s">
        <v>31</v>
      </c>
      <c r="R889">
        <v>0.3684698732080004</v>
      </c>
    </row>
    <row r="890" spans="1:18" x14ac:dyDescent="0.2">
      <c r="A890" s="1">
        <v>141574</v>
      </c>
      <c r="B890" s="1" t="s">
        <v>961</v>
      </c>
      <c r="C890" s="1" t="s">
        <v>240</v>
      </c>
      <c r="D890" s="1">
        <v>0.86599999999999999</v>
      </c>
      <c r="E890" s="1">
        <v>15029</v>
      </c>
      <c r="F890" s="1">
        <v>34218</v>
      </c>
      <c r="G890" s="1">
        <v>0.64290000000000003</v>
      </c>
      <c r="H890" s="1">
        <v>0.80720000000000003</v>
      </c>
      <c r="I890" s="1">
        <v>0.26229999999999998</v>
      </c>
      <c r="J890" s="1">
        <v>57624</v>
      </c>
      <c r="K890" s="1">
        <v>18500</v>
      </c>
      <c r="L890" s="1">
        <v>14472</v>
      </c>
      <c r="M890" s="1">
        <v>15</v>
      </c>
      <c r="N890" s="1" t="s">
        <v>28</v>
      </c>
      <c r="O890" s="1" t="s">
        <v>29</v>
      </c>
      <c r="P890" s="1" t="s">
        <v>22</v>
      </c>
      <c r="Q890" s="1" t="s">
        <v>23</v>
      </c>
      <c r="R890">
        <v>0.36843591032392464</v>
      </c>
    </row>
    <row r="891" spans="1:18" x14ac:dyDescent="0.2">
      <c r="A891" s="1">
        <v>142115</v>
      </c>
      <c r="B891" s="1" t="s">
        <v>962</v>
      </c>
      <c r="C891" s="1" t="s">
        <v>407</v>
      </c>
      <c r="D891" s="1">
        <v>0.87209999999999999</v>
      </c>
      <c r="E891" s="1">
        <v>17674</v>
      </c>
      <c r="F891" s="1">
        <v>27788</v>
      </c>
      <c r="G891" s="1">
        <v>0.60199999999999998</v>
      </c>
      <c r="H891" s="1">
        <v>0.78849999999999998</v>
      </c>
      <c r="I891" s="1">
        <v>0.18079999999999999</v>
      </c>
      <c r="J891" s="1">
        <v>51658</v>
      </c>
      <c r="K891" s="1">
        <v>20500</v>
      </c>
      <c r="L891" s="1">
        <v>9887</v>
      </c>
      <c r="M891" s="1">
        <v>20</v>
      </c>
      <c r="N891" s="1" t="s">
        <v>28</v>
      </c>
      <c r="O891" s="1" t="s">
        <v>29</v>
      </c>
      <c r="P891" s="1" t="s">
        <v>22</v>
      </c>
      <c r="Q891" s="1" t="s">
        <v>23</v>
      </c>
      <c r="R891">
        <v>0.36804210732401632</v>
      </c>
    </row>
    <row r="892" spans="1:18" x14ac:dyDescent="0.2">
      <c r="A892" s="1">
        <v>166054</v>
      </c>
      <c r="B892" s="1" t="s">
        <v>963</v>
      </c>
      <c r="C892" s="1" t="s">
        <v>129</v>
      </c>
      <c r="D892" s="1">
        <v>0.79630000000000001</v>
      </c>
      <c r="E892" s="1">
        <v>64</v>
      </c>
      <c r="F892" s="1">
        <v>22490</v>
      </c>
      <c r="G892" s="1">
        <v>0.44440000000000002</v>
      </c>
      <c r="H892" s="1">
        <v>0.71430000000000005</v>
      </c>
      <c r="I892" s="1">
        <v>0.2424</v>
      </c>
      <c r="J892" s="1">
        <v>51724</v>
      </c>
      <c r="K892" s="1">
        <v>21500</v>
      </c>
      <c r="L892" s="1">
        <v>7542</v>
      </c>
      <c r="M892" s="1">
        <v>7</v>
      </c>
      <c r="N892" s="1" t="s">
        <v>20</v>
      </c>
      <c r="O892" s="1" t="s">
        <v>21</v>
      </c>
      <c r="P892" s="1" t="s">
        <v>39</v>
      </c>
      <c r="Q892" s="1" t="s">
        <v>23</v>
      </c>
      <c r="R892">
        <v>0.36724884662402524</v>
      </c>
    </row>
    <row r="893" spans="1:18" x14ac:dyDescent="0.2">
      <c r="A893" s="1">
        <v>454227</v>
      </c>
      <c r="B893" s="1" t="s">
        <v>964</v>
      </c>
      <c r="C893" s="1" t="s">
        <v>25</v>
      </c>
      <c r="D893" s="1">
        <v>0.82640000000000002</v>
      </c>
      <c r="E893" s="1">
        <v>14027</v>
      </c>
      <c r="F893" s="1">
        <v>21536</v>
      </c>
      <c r="G893" s="1">
        <v>0.41670000000000001</v>
      </c>
      <c r="H893" s="1">
        <v>0.72729999999999995</v>
      </c>
      <c r="I893" s="1">
        <v>0.33279999999999998</v>
      </c>
      <c r="J893" s="1">
        <v>92405</v>
      </c>
      <c r="K893" s="1">
        <v>20919</v>
      </c>
      <c r="L893" s="1">
        <v>7912</v>
      </c>
      <c r="M893" s="1">
        <v>23</v>
      </c>
      <c r="N893" s="1" t="s">
        <v>142</v>
      </c>
      <c r="O893" s="1" t="s">
        <v>21</v>
      </c>
      <c r="P893" s="1" t="s">
        <v>22</v>
      </c>
      <c r="Q893" s="1" t="s">
        <v>23</v>
      </c>
      <c r="R893">
        <v>0.36657369183544752</v>
      </c>
    </row>
    <row r="894" spans="1:18" x14ac:dyDescent="0.2">
      <c r="A894" s="1">
        <v>130776</v>
      </c>
      <c r="B894" s="1" t="s">
        <v>965</v>
      </c>
      <c r="C894" s="1" t="s">
        <v>147</v>
      </c>
      <c r="D894" s="1">
        <v>0.87009999999999998</v>
      </c>
      <c r="E894" s="1">
        <v>3511</v>
      </c>
      <c r="F894" s="1">
        <v>16901</v>
      </c>
      <c r="G894" s="1">
        <v>0.51759999999999995</v>
      </c>
      <c r="H894" s="1">
        <v>0.7319</v>
      </c>
      <c r="I894" s="1">
        <v>0.35149999999999998</v>
      </c>
      <c r="J894" s="1">
        <v>59115</v>
      </c>
      <c r="K894" s="1">
        <v>24147</v>
      </c>
      <c r="L894" s="1">
        <v>11406</v>
      </c>
      <c r="M894" s="1">
        <v>11</v>
      </c>
      <c r="N894" s="1" t="s">
        <v>28</v>
      </c>
      <c r="O894" s="1" t="s">
        <v>29</v>
      </c>
      <c r="P894" s="1" t="s">
        <v>39</v>
      </c>
      <c r="Q894" s="1" t="s">
        <v>23</v>
      </c>
      <c r="R894">
        <v>0.36653839800384436</v>
      </c>
    </row>
    <row r="895" spans="1:18" x14ac:dyDescent="0.2">
      <c r="A895" s="1">
        <v>141565</v>
      </c>
      <c r="B895" s="1" t="s">
        <v>966</v>
      </c>
      <c r="C895" s="1" t="s">
        <v>240</v>
      </c>
      <c r="D895" s="1">
        <v>0.60629999999999995</v>
      </c>
      <c r="E895" s="1">
        <v>2160</v>
      </c>
      <c r="F895" s="1">
        <v>20798</v>
      </c>
      <c r="G895" s="1">
        <v>0.48370000000000002</v>
      </c>
      <c r="H895" s="1">
        <v>0.72750000000000004</v>
      </c>
      <c r="I895" s="1">
        <v>0.40389999999999998</v>
      </c>
      <c r="J895" s="1">
        <v>47856</v>
      </c>
      <c r="K895" s="1">
        <v>20500</v>
      </c>
      <c r="L895" s="1">
        <v>12097</v>
      </c>
      <c r="M895" s="1">
        <v>11</v>
      </c>
      <c r="N895" s="1" t="s">
        <v>28</v>
      </c>
      <c r="O895" s="1" t="s">
        <v>42</v>
      </c>
      <c r="P895" s="1" t="s">
        <v>22</v>
      </c>
      <c r="Q895" s="1" t="s">
        <v>31</v>
      </c>
      <c r="R895">
        <v>0.36607606766981782</v>
      </c>
    </row>
    <row r="896" spans="1:18" x14ac:dyDescent="0.2">
      <c r="A896" s="1">
        <v>107983</v>
      </c>
      <c r="B896" s="1" t="s">
        <v>967</v>
      </c>
      <c r="C896" s="1" t="s">
        <v>70</v>
      </c>
      <c r="D896" s="1">
        <v>0.75329999999999997</v>
      </c>
      <c r="E896" s="1">
        <v>2708</v>
      </c>
      <c r="F896" s="1">
        <v>15690</v>
      </c>
      <c r="G896" s="1">
        <v>0.48820000000000002</v>
      </c>
      <c r="H896" s="1">
        <v>0.66159999999999997</v>
      </c>
      <c r="I896" s="1">
        <v>0.48199999999999998</v>
      </c>
      <c r="J896" s="1">
        <v>42386</v>
      </c>
      <c r="K896" s="1">
        <v>18750</v>
      </c>
      <c r="L896" s="1">
        <v>7469</v>
      </c>
      <c r="M896" s="1">
        <v>16</v>
      </c>
      <c r="N896" s="1" t="s">
        <v>28</v>
      </c>
      <c r="O896" s="1" t="s">
        <v>42</v>
      </c>
      <c r="P896" s="1" t="s">
        <v>30</v>
      </c>
      <c r="Q896" s="1" t="s">
        <v>31</v>
      </c>
      <c r="R896">
        <v>0.36320672509194762</v>
      </c>
    </row>
    <row r="897" spans="1:18" x14ac:dyDescent="0.2">
      <c r="A897" s="1">
        <v>232609</v>
      </c>
      <c r="B897" s="1" t="s">
        <v>968</v>
      </c>
      <c r="C897" s="1" t="s">
        <v>52</v>
      </c>
      <c r="D897" s="1">
        <v>0.43009999999999998</v>
      </c>
      <c r="E897" s="1">
        <v>1577</v>
      </c>
      <c r="F897" s="1">
        <v>36750</v>
      </c>
      <c r="G897" s="1">
        <v>0.5736</v>
      </c>
      <c r="H897" s="1">
        <v>0.70609999999999995</v>
      </c>
      <c r="I897" s="1">
        <v>0.27900000000000003</v>
      </c>
      <c r="J897" s="1">
        <v>56380</v>
      </c>
      <c r="K897" s="1">
        <v>27000</v>
      </c>
      <c r="L897" s="1">
        <v>8271</v>
      </c>
      <c r="M897" s="1">
        <v>11</v>
      </c>
      <c r="N897" s="1" t="s">
        <v>20</v>
      </c>
      <c r="O897" s="1" t="s">
        <v>29</v>
      </c>
      <c r="P897" s="1" t="s">
        <v>30</v>
      </c>
      <c r="Q897" s="1" t="s">
        <v>23</v>
      </c>
      <c r="R897">
        <v>0.3617233627799612</v>
      </c>
    </row>
    <row r="898" spans="1:18" x14ac:dyDescent="0.2">
      <c r="A898" s="1">
        <v>139940</v>
      </c>
      <c r="B898" s="1" t="s">
        <v>969</v>
      </c>
      <c r="C898" s="1" t="s">
        <v>126</v>
      </c>
      <c r="D898" s="1">
        <v>0.5544</v>
      </c>
      <c r="E898" s="1">
        <v>26623</v>
      </c>
      <c r="F898" s="1">
        <v>24840</v>
      </c>
      <c r="G898" s="1">
        <v>0.53059999999999996</v>
      </c>
      <c r="H898" s="1">
        <v>0.79859999999999998</v>
      </c>
      <c r="I898" s="1">
        <v>0.50749999999999995</v>
      </c>
      <c r="J898" s="1">
        <v>47384</v>
      </c>
      <c r="K898" s="1">
        <v>20903</v>
      </c>
      <c r="L898" s="1">
        <v>10404</v>
      </c>
      <c r="M898" s="1">
        <v>25</v>
      </c>
      <c r="N898" s="1" t="s">
        <v>28</v>
      </c>
      <c r="O898" s="1" t="s">
        <v>29</v>
      </c>
      <c r="P898" s="1" t="s">
        <v>30</v>
      </c>
      <c r="Q898" s="1" t="s">
        <v>31</v>
      </c>
      <c r="R898">
        <v>0.36145630551651819</v>
      </c>
    </row>
    <row r="899" spans="1:18" x14ac:dyDescent="0.2">
      <c r="A899" s="1">
        <v>219976</v>
      </c>
      <c r="B899" s="1" t="s">
        <v>970</v>
      </c>
      <c r="C899" s="1" t="s">
        <v>163</v>
      </c>
      <c r="D899" s="1">
        <v>0.67730000000000001</v>
      </c>
      <c r="E899" s="1">
        <v>2997</v>
      </c>
      <c r="F899" s="1">
        <v>40572</v>
      </c>
      <c r="G899" s="1">
        <v>0.72160000000000002</v>
      </c>
      <c r="H899" s="1">
        <v>0.8357</v>
      </c>
      <c r="I899" s="1">
        <v>0.24099999999999999</v>
      </c>
      <c r="J899" s="1">
        <v>55541</v>
      </c>
      <c r="K899" s="1">
        <v>19500</v>
      </c>
      <c r="L899" s="1">
        <v>8832</v>
      </c>
      <c r="M899" s="1">
        <v>13</v>
      </c>
      <c r="N899" s="1" t="s">
        <v>20</v>
      </c>
      <c r="O899" s="1" t="s">
        <v>29</v>
      </c>
      <c r="P899" s="1" t="s">
        <v>30</v>
      </c>
      <c r="Q899" s="1" t="s">
        <v>23</v>
      </c>
      <c r="R899">
        <v>0.36083364999876677</v>
      </c>
    </row>
    <row r="900" spans="1:18" x14ac:dyDescent="0.2">
      <c r="A900" s="1">
        <v>217961</v>
      </c>
      <c r="B900" s="1" t="s">
        <v>971</v>
      </c>
      <c r="C900" s="1" t="s">
        <v>155</v>
      </c>
      <c r="D900" s="1">
        <v>0.6774</v>
      </c>
      <c r="E900" s="1">
        <v>1173</v>
      </c>
      <c r="F900" s="1">
        <v>25240</v>
      </c>
      <c r="G900" s="1">
        <v>0.61539999999999995</v>
      </c>
      <c r="H900" s="1">
        <v>0.7964</v>
      </c>
      <c r="I900" s="1">
        <v>0.39779999999999999</v>
      </c>
      <c r="J900" s="1">
        <v>40867</v>
      </c>
      <c r="K900" s="1">
        <v>27000</v>
      </c>
      <c r="L900" s="1">
        <v>6564</v>
      </c>
      <c r="M900" s="1">
        <v>12</v>
      </c>
      <c r="N900" s="1" t="s">
        <v>20</v>
      </c>
      <c r="O900" s="1" t="s">
        <v>29</v>
      </c>
      <c r="P900" s="1" t="s">
        <v>30</v>
      </c>
      <c r="Q900" s="1" t="s">
        <v>31</v>
      </c>
      <c r="R900">
        <v>0.35995326510563586</v>
      </c>
    </row>
    <row r="901" spans="1:18" x14ac:dyDescent="0.2">
      <c r="A901" s="1">
        <v>217873</v>
      </c>
      <c r="B901" s="1" t="s">
        <v>972</v>
      </c>
      <c r="C901" s="1" t="s">
        <v>155</v>
      </c>
      <c r="D901" s="1">
        <v>0.64929999999999999</v>
      </c>
      <c r="E901" s="1">
        <v>1706</v>
      </c>
      <c r="F901" s="1">
        <v>18282</v>
      </c>
      <c r="G901" s="1">
        <v>0.51600000000000001</v>
      </c>
      <c r="H901" s="1">
        <v>0.75490000000000002</v>
      </c>
      <c r="I901" s="1">
        <v>0.7349</v>
      </c>
      <c r="J901" s="1">
        <v>40304</v>
      </c>
      <c r="K901" s="1">
        <v>29000</v>
      </c>
      <c r="L901" s="1">
        <v>7329</v>
      </c>
      <c r="M901" s="1">
        <v>13</v>
      </c>
      <c r="N901" s="1" t="s">
        <v>20</v>
      </c>
      <c r="O901" s="1" t="s">
        <v>42</v>
      </c>
      <c r="P901" s="1" t="s">
        <v>30</v>
      </c>
      <c r="Q901" s="1" t="s">
        <v>31</v>
      </c>
      <c r="R901">
        <v>0.35942789791708452</v>
      </c>
    </row>
    <row r="902" spans="1:18" x14ac:dyDescent="0.2">
      <c r="A902" s="1">
        <v>190716</v>
      </c>
      <c r="B902" s="1" t="s">
        <v>973</v>
      </c>
      <c r="C902" s="1" t="s">
        <v>58</v>
      </c>
      <c r="D902" s="1">
        <v>0.81369999999999998</v>
      </c>
      <c r="E902" s="1">
        <v>1258</v>
      </c>
      <c r="F902" s="1">
        <v>34940</v>
      </c>
      <c r="G902" s="1">
        <v>0.67490000000000006</v>
      </c>
      <c r="H902" s="1">
        <v>0.73440000000000005</v>
      </c>
      <c r="I902" s="1">
        <v>0.39179999999999998</v>
      </c>
      <c r="J902" s="1">
        <v>66942</v>
      </c>
      <c r="K902" s="1">
        <v>25000</v>
      </c>
      <c r="L902" s="1">
        <v>9306</v>
      </c>
      <c r="M902" s="1">
        <v>14</v>
      </c>
      <c r="N902" s="1" t="s">
        <v>20</v>
      </c>
      <c r="O902" s="1" t="s">
        <v>29</v>
      </c>
      <c r="P902" s="1" t="s">
        <v>39</v>
      </c>
      <c r="Q902" s="1" t="s">
        <v>23</v>
      </c>
      <c r="R902">
        <v>0.35747615102126751</v>
      </c>
    </row>
    <row r="903" spans="1:18" x14ac:dyDescent="0.2">
      <c r="A903" s="1">
        <v>165529</v>
      </c>
      <c r="B903" s="1" t="s">
        <v>974</v>
      </c>
      <c r="C903" s="1" t="s">
        <v>129</v>
      </c>
      <c r="D903" s="1">
        <v>0.87649999999999995</v>
      </c>
      <c r="E903" s="1">
        <v>1780</v>
      </c>
      <c r="F903" s="1">
        <v>47970</v>
      </c>
      <c r="G903" s="1">
        <v>0.51119999999999999</v>
      </c>
      <c r="H903" s="1">
        <v>0.66159999999999997</v>
      </c>
      <c r="I903" s="1">
        <v>0.30909999999999999</v>
      </c>
      <c r="J903" s="1">
        <v>54400</v>
      </c>
      <c r="K903" s="1">
        <v>25000</v>
      </c>
      <c r="L903" s="1">
        <v>11385</v>
      </c>
      <c r="M903" s="1">
        <v>12</v>
      </c>
      <c r="N903" s="1" t="s">
        <v>20</v>
      </c>
      <c r="O903" s="1" t="s">
        <v>21</v>
      </c>
      <c r="P903" s="1" t="s">
        <v>39</v>
      </c>
      <c r="Q903" s="1" t="s">
        <v>23</v>
      </c>
      <c r="R903">
        <v>0.35738658246053878</v>
      </c>
    </row>
    <row r="904" spans="1:18" x14ac:dyDescent="0.2">
      <c r="A904" s="1">
        <v>129941</v>
      </c>
      <c r="B904" s="1" t="s">
        <v>975</v>
      </c>
      <c r="C904" s="1" t="s">
        <v>147</v>
      </c>
      <c r="D904" s="1">
        <v>0.6038</v>
      </c>
      <c r="E904" s="1">
        <v>4841</v>
      </c>
      <c r="F904" s="1">
        <v>47332</v>
      </c>
      <c r="G904" s="1">
        <v>0.63070000000000004</v>
      </c>
      <c r="H904" s="1">
        <v>0.76480000000000004</v>
      </c>
      <c r="I904" s="1">
        <v>0.32440000000000002</v>
      </c>
      <c r="J904" s="1">
        <v>60126</v>
      </c>
      <c r="K904" s="1">
        <v>27000</v>
      </c>
      <c r="L904" s="1">
        <v>11914</v>
      </c>
      <c r="M904" s="1">
        <v>17</v>
      </c>
      <c r="N904" s="1" t="s">
        <v>20</v>
      </c>
      <c r="O904" s="1" t="s">
        <v>21</v>
      </c>
      <c r="P904" s="1" t="s">
        <v>39</v>
      </c>
      <c r="Q904" s="1" t="s">
        <v>23</v>
      </c>
      <c r="R904">
        <v>0.35725912387530245</v>
      </c>
    </row>
    <row r="905" spans="1:18" x14ac:dyDescent="0.2">
      <c r="A905" s="1">
        <v>119775</v>
      </c>
      <c r="B905" s="1" t="s">
        <v>976</v>
      </c>
      <c r="C905" s="1" t="s">
        <v>33</v>
      </c>
      <c r="D905" s="1">
        <v>1</v>
      </c>
      <c r="E905" s="1">
        <v>182</v>
      </c>
      <c r="F905" s="1">
        <v>30291</v>
      </c>
      <c r="G905" s="1">
        <v>0.61899999999999999</v>
      </c>
      <c r="H905" s="1">
        <v>0.625</v>
      </c>
      <c r="I905" s="1">
        <v>0.52110000000000001</v>
      </c>
      <c r="J905" s="1">
        <v>68891</v>
      </c>
      <c r="K905" s="1">
        <v>31000</v>
      </c>
      <c r="L905" s="1">
        <v>6140</v>
      </c>
      <c r="M905" s="1">
        <v>8</v>
      </c>
      <c r="N905" s="1" t="s">
        <v>142</v>
      </c>
      <c r="O905" s="1" t="s">
        <v>29</v>
      </c>
      <c r="P905" s="1" t="s">
        <v>22</v>
      </c>
      <c r="Q905" s="1" t="s">
        <v>23</v>
      </c>
      <c r="R905">
        <v>0.35671792558529813</v>
      </c>
    </row>
    <row r="906" spans="1:18" x14ac:dyDescent="0.2">
      <c r="A906" s="1">
        <v>157401</v>
      </c>
      <c r="B906" s="1" t="s">
        <v>977</v>
      </c>
      <c r="C906" s="1" t="s">
        <v>104</v>
      </c>
      <c r="D906" s="1">
        <v>0.85680000000000001</v>
      </c>
      <c r="E906" s="1">
        <v>6688</v>
      </c>
      <c r="F906" s="1">
        <v>19836</v>
      </c>
      <c r="G906" s="1">
        <v>0.61319999999999997</v>
      </c>
      <c r="H906" s="1">
        <v>0.75649999999999995</v>
      </c>
      <c r="I906" s="1">
        <v>0.3332</v>
      </c>
      <c r="J906" s="1">
        <v>44737</v>
      </c>
      <c r="K906" s="1">
        <v>20500</v>
      </c>
      <c r="L906" s="1">
        <v>7855</v>
      </c>
      <c r="M906" s="1">
        <v>17</v>
      </c>
      <c r="N906" s="1" t="s">
        <v>28</v>
      </c>
      <c r="O906" s="1" t="s">
        <v>42</v>
      </c>
      <c r="P906" s="1" t="s">
        <v>30</v>
      </c>
      <c r="Q906" s="1" t="s">
        <v>31</v>
      </c>
      <c r="R906">
        <v>0.35653736409701486</v>
      </c>
    </row>
    <row r="907" spans="1:18" x14ac:dyDescent="0.2">
      <c r="A907" s="1">
        <v>240329</v>
      </c>
      <c r="B907" s="1" t="s">
        <v>978</v>
      </c>
      <c r="C907" s="1" t="s">
        <v>50</v>
      </c>
      <c r="D907" s="1">
        <v>0.755</v>
      </c>
      <c r="E907" s="1">
        <v>9277</v>
      </c>
      <c r="F907" s="1">
        <v>19517</v>
      </c>
      <c r="G907" s="1">
        <v>0.70960000000000001</v>
      </c>
      <c r="H907" s="1">
        <v>0.86509999999999998</v>
      </c>
      <c r="I907" s="1">
        <v>0.14410000000000001</v>
      </c>
      <c r="J907" s="1">
        <v>60378</v>
      </c>
      <c r="K907" s="1">
        <v>22500</v>
      </c>
      <c r="L907" s="1">
        <v>8349</v>
      </c>
      <c r="M907" s="1">
        <v>20</v>
      </c>
      <c r="N907" s="1" t="s">
        <v>28</v>
      </c>
      <c r="O907" s="1" t="s">
        <v>29</v>
      </c>
      <c r="P907" s="1" t="s">
        <v>22</v>
      </c>
      <c r="Q907" s="1" t="s">
        <v>23</v>
      </c>
      <c r="R907">
        <v>0.35604747562915628</v>
      </c>
    </row>
    <row r="908" spans="1:18" x14ac:dyDescent="0.2">
      <c r="A908" s="1">
        <v>141334</v>
      </c>
      <c r="B908" s="1" t="s">
        <v>979</v>
      </c>
      <c r="C908" s="1" t="s">
        <v>126</v>
      </c>
      <c r="D908" s="1">
        <v>0.5161</v>
      </c>
      <c r="E908" s="1">
        <v>7520</v>
      </c>
      <c r="F908" s="1">
        <v>17800</v>
      </c>
      <c r="G908" s="1">
        <v>0.43490000000000001</v>
      </c>
      <c r="H908" s="1">
        <v>0.77500000000000002</v>
      </c>
      <c r="I908" s="1">
        <v>0.40400000000000003</v>
      </c>
      <c r="J908" s="1">
        <v>49587</v>
      </c>
      <c r="K908" s="1">
        <v>23970</v>
      </c>
      <c r="L908" s="1">
        <v>8656</v>
      </c>
      <c r="M908" s="1">
        <v>18</v>
      </c>
      <c r="N908" s="1" t="s">
        <v>28</v>
      </c>
      <c r="O908" s="1" t="s">
        <v>42</v>
      </c>
      <c r="P908" s="1" t="s">
        <v>30</v>
      </c>
      <c r="Q908" s="1" t="s">
        <v>31</v>
      </c>
      <c r="R908">
        <v>0.35325371594933164</v>
      </c>
    </row>
    <row r="909" spans="1:18" x14ac:dyDescent="0.2">
      <c r="A909" s="1">
        <v>161086</v>
      </c>
      <c r="B909" s="1" t="s">
        <v>980</v>
      </c>
      <c r="C909" s="1" t="s">
        <v>74</v>
      </c>
      <c r="D909" s="1">
        <v>7.0900000000000005E-2</v>
      </c>
      <c r="E909" s="1">
        <v>2407</v>
      </c>
      <c r="F909" s="1">
        <v>69600</v>
      </c>
      <c r="G909" s="1">
        <v>0.88790000000000002</v>
      </c>
      <c r="H909" s="1">
        <v>0.9365</v>
      </c>
      <c r="I909" s="1">
        <v>0.14319999999999999</v>
      </c>
      <c r="J909" s="1">
        <v>80490</v>
      </c>
      <c r="K909" s="1">
        <v>19157</v>
      </c>
      <c r="L909" s="1">
        <v>13207</v>
      </c>
      <c r="M909" s="1">
        <v>9</v>
      </c>
      <c r="N909" s="1" t="s">
        <v>20</v>
      </c>
      <c r="O909" s="1" t="s">
        <v>42</v>
      </c>
      <c r="P909" s="1" t="s">
        <v>39</v>
      </c>
      <c r="Q909" s="1" t="s">
        <v>23</v>
      </c>
      <c r="R909">
        <v>0.35175546277226588</v>
      </c>
    </row>
    <row r="910" spans="1:18" x14ac:dyDescent="0.2">
      <c r="A910" s="1">
        <v>196103</v>
      </c>
      <c r="B910" s="1" t="s">
        <v>981</v>
      </c>
      <c r="C910" s="1" t="s">
        <v>58</v>
      </c>
      <c r="D910" s="1">
        <v>0.63280000000000003</v>
      </c>
      <c r="E910" s="1">
        <v>1839</v>
      </c>
      <c r="F910" s="1">
        <v>22263</v>
      </c>
      <c r="G910" s="1">
        <v>0.66320000000000001</v>
      </c>
      <c r="H910" s="1">
        <v>0.87019999999999997</v>
      </c>
      <c r="I910" s="1">
        <v>0.19650000000000001</v>
      </c>
      <c r="J910" s="1">
        <v>55763</v>
      </c>
      <c r="K910" s="1">
        <v>11000</v>
      </c>
      <c r="L910" s="1">
        <v>9954</v>
      </c>
      <c r="M910" s="1">
        <v>14</v>
      </c>
      <c r="N910" s="1" t="s">
        <v>28</v>
      </c>
      <c r="O910" s="1" t="s">
        <v>29</v>
      </c>
      <c r="P910" s="1" t="s">
        <v>39</v>
      </c>
      <c r="Q910" s="1" t="s">
        <v>23</v>
      </c>
      <c r="R910">
        <v>0.35028596059306505</v>
      </c>
    </row>
    <row r="911" spans="1:18" x14ac:dyDescent="0.2">
      <c r="A911" s="1">
        <v>106458</v>
      </c>
      <c r="B911" s="1" t="s">
        <v>982</v>
      </c>
      <c r="C911" s="1" t="s">
        <v>70</v>
      </c>
      <c r="D911" s="1">
        <v>0.8226</v>
      </c>
      <c r="E911" s="1">
        <v>9110</v>
      </c>
      <c r="F911" s="1">
        <v>14522</v>
      </c>
      <c r="G911" s="1">
        <v>0.55400000000000005</v>
      </c>
      <c r="H911" s="1">
        <v>0.78120000000000001</v>
      </c>
      <c r="I911" s="1">
        <v>0.38379999999999997</v>
      </c>
      <c r="J911" s="1">
        <v>42617</v>
      </c>
      <c r="K911" s="1">
        <v>20500</v>
      </c>
      <c r="L911" s="1">
        <v>7579</v>
      </c>
      <c r="M911" s="1">
        <v>17</v>
      </c>
      <c r="N911" s="1" t="s">
        <v>28</v>
      </c>
      <c r="O911" s="1" t="s">
        <v>29</v>
      </c>
      <c r="P911" s="1" t="s">
        <v>30</v>
      </c>
      <c r="Q911" s="1" t="s">
        <v>31</v>
      </c>
      <c r="R911">
        <v>0.34962022404002069</v>
      </c>
    </row>
    <row r="912" spans="1:18" x14ac:dyDescent="0.2">
      <c r="A912" s="1">
        <v>129215</v>
      </c>
      <c r="B912" s="1" t="s">
        <v>983</v>
      </c>
      <c r="C912" s="1" t="s">
        <v>147</v>
      </c>
      <c r="D912" s="1">
        <v>0.82979999999999998</v>
      </c>
      <c r="E912" s="1">
        <v>3418</v>
      </c>
      <c r="F912" s="1">
        <v>17428</v>
      </c>
      <c r="G912" s="1">
        <v>0.57520000000000004</v>
      </c>
      <c r="H912" s="1">
        <v>0.83740000000000003</v>
      </c>
      <c r="I912" s="1">
        <v>0.2868</v>
      </c>
      <c r="J912" s="1">
        <v>56469</v>
      </c>
      <c r="K912" s="1">
        <v>24250</v>
      </c>
      <c r="L912" s="1">
        <v>11210</v>
      </c>
      <c r="M912" s="1">
        <v>15</v>
      </c>
      <c r="N912" s="1" t="s">
        <v>28</v>
      </c>
      <c r="O912" s="1" t="s">
        <v>42</v>
      </c>
      <c r="P912" s="1" t="s">
        <v>39</v>
      </c>
      <c r="Q912" s="1" t="s">
        <v>23</v>
      </c>
      <c r="R912">
        <v>0.34813757759995023</v>
      </c>
    </row>
    <row r="913" spans="1:18" x14ac:dyDescent="0.2">
      <c r="A913" s="1">
        <v>238616</v>
      </c>
      <c r="B913" s="1" t="s">
        <v>984</v>
      </c>
      <c r="C913" s="1" t="s">
        <v>50</v>
      </c>
      <c r="D913" s="1">
        <v>0.78200000000000003</v>
      </c>
      <c r="E913" s="1">
        <v>2197</v>
      </c>
      <c r="F913" s="1">
        <v>35470</v>
      </c>
      <c r="G913" s="1">
        <v>0.6835</v>
      </c>
      <c r="H913" s="1">
        <v>0.78100000000000003</v>
      </c>
      <c r="I913" s="1">
        <v>0.26729999999999998</v>
      </c>
      <c r="J913" s="1">
        <v>56075</v>
      </c>
      <c r="K913" s="1">
        <v>25750</v>
      </c>
      <c r="L913" s="1">
        <v>7256</v>
      </c>
      <c r="M913" s="1">
        <v>11</v>
      </c>
      <c r="N913" s="1" t="s">
        <v>20</v>
      </c>
      <c r="O913" s="1" t="s">
        <v>21</v>
      </c>
      <c r="P913" s="1" t="s">
        <v>22</v>
      </c>
      <c r="Q913" s="1" t="s">
        <v>23</v>
      </c>
      <c r="R913">
        <v>0.34695708631955535</v>
      </c>
    </row>
    <row r="914" spans="1:18" x14ac:dyDescent="0.2">
      <c r="A914" s="1">
        <v>237215</v>
      </c>
      <c r="B914" s="1" t="s">
        <v>985</v>
      </c>
      <c r="C914" s="1" t="s">
        <v>255</v>
      </c>
      <c r="D914" s="1">
        <v>0.97230000000000005</v>
      </c>
      <c r="E914" s="1">
        <v>1042</v>
      </c>
      <c r="F914" s="1">
        <v>18376</v>
      </c>
      <c r="G914" s="1">
        <v>0.37</v>
      </c>
      <c r="H914" s="1">
        <v>0.5484</v>
      </c>
      <c r="I914" s="1">
        <v>0.44440000000000002</v>
      </c>
      <c r="J914" s="1">
        <v>38217</v>
      </c>
      <c r="K914" s="1">
        <v>18250</v>
      </c>
      <c r="L914" s="1">
        <v>7349</v>
      </c>
      <c r="M914" s="1">
        <v>13</v>
      </c>
      <c r="N914" s="1" t="s">
        <v>28</v>
      </c>
      <c r="O914" s="1" t="s">
        <v>42</v>
      </c>
      <c r="P914" s="1" t="s">
        <v>30</v>
      </c>
      <c r="Q914" s="1" t="s">
        <v>31</v>
      </c>
      <c r="R914">
        <v>0.34669809596118084</v>
      </c>
    </row>
    <row r="915" spans="1:18" x14ac:dyDescent="0.2">
      <c r="A915" s="1">
        <v>190558</v>
      </c>
      <c r="B915" s="1" t="s">
        <v>986</v>
      </c>
      <c r="C915" s="1" t="s">
        <v>58</v>
      </c>
      <c r="D915" s="1">
        <v>0.9234</v>
      </c>
      <c r="E915" s="1">
        <v>9657</v>
      </c>
      <c r="F915" s="1">
        <v>15440</v>
      </c>
      <c r="G915" s="1">
        <v>0.33929999999999999</v>
      </c>
      <c r="H915" s="1">
        <v>0.75700000000000001</v>
      </c>
      <c r="I915" s="1">
        <v>0.49590000000000001</v>
      </c>
      <c r="J915" s="1">
        <v>53501</v>
      </c>
      <c r="K915" s="1">
        <v>14350</v>
      </c>
      <c r="L915" s="1">
        <v>12665</v>
      </c>
      <c r="M915" s="1">
        <v>17</v>
      </c>
      <c r="N915" s="1" t="s">
        <v>28</v>
      </c>
      <c r="O915" s="1" t="s">
        <v>29</v>
      </c>
      <c r="P915" s="1" t="s">
        <v>39</v>
      </c>
      <c r="Q915" s="1" t="s">
        <v>23</v>
      </c>
      <c r="R915">
        <v>0.34663610643542198</v>
      </c>
    </row>
    <row r="916" spans="1:18" x14ac:dyDescent="0.2">
      <c r="A916" s="1">
        <v>217934</v>
      </c>
      <c r="B916" s="1" t="s">
        <v>987</v>
      </c>
      <c r="C916" s="1" t="s">
        <v>155</v>
      </c>
      <c r="D916" s="1">
        <v>0.93930000000000002</v>
      </c>
      <c r="E916" s="1">
        <v>1343</v>
      </c>
      <c r="F916" s="1">
        <v>22214</v>
      </c>
      <c r="G916" s="1">
        <v>0.36880000000000002</v>
      </c>
      <c r="H916" s="1">
        <v>0.60419999999999996</v>
      </c>
      <c r="I916" s="1">
        <v>0.53979999999999995</v>
      </c>
      <c r="J916" s="1">
        <v>41338</v>
      </c>
      <c r="K916" s="1">
        <v>22750</v>
      </c>
      <c r="L916" s="1">
        <v>5937</v>
      </c>
      <c r="M916" s="1">
        <v>12</v>
      </c>
      <c r="N916" s="1" t="s">
        <v>20</v>
      </c>
      <c r="O916" s="1" t="s">
        <v>29</v>
      </c>
      <c r="P916" s="1" t="s">
        <v>30</v>
      </c>
      <c r="Q916" s="1" t="s">
        <v>31</v>
      </c>
      <c r="R916">
        <v>0.34603051822994757</v>
      </c>
    </row>
    <row r="917" spans="1:18" x14ac:dyDescent="0.2">
      <c r="A917" s="1">
        <v>165820</v>
      </c>
      <c r="B917" s="1" t="s">
        <v>988</v>
      </c>
      <c r="C917" s="1" t="s">
        <v>129</v>
      </c>
      <c r="D917" s="1">
        <v>0.86929999999999996</v>
      </c>
      <c r="E917" s="1">
        <v>2752</v>
      </c>
      <c r="F917" s="1">
        <v>17426</v>
      </c>
      <c r="G917" s="1">
        <v>0.55120000000000002</v>
      </c>
      <c r="H917" s="1">
        <v>0.69469999999999998</v>
      </c>
      <c r="I917" s="1">
        <v>0.32790000000000002</v>
      </c>
      <c r="J917" s="1">
        <v>53874</v>
      </c>
      <c r="K917" s="1">
        <v>24239</v>
      </c>
      <c r="L917" s="1">
        <v>10973</v>
      </c>
      <c r="M917" s="1">
        <v>11</v>
      </c>
      <c r="N917" s="1" t="s">
        <v>28</v>
      </c>
      <c r="O917" s="1" t="s">
        <v>21</v>
      </c>
      <c r="P917" s="1" t="s">
        <v>39</v>
      </c>
      <c r="Q917" s="1" t="s">
        <v>23</v>
      </c>
      <c r="R917">
        <v>0.34599250182564512</v>
      </c>
    </row>
    <row r="918" spans="1:18" x14ac:dyDescent="0.2">
      <c r="A918" s="1">
        <v>212133</v>
      </c>
      <c r="B918" s="1" t="s">
        <v>989</v>
      </c>
      <c r="C918" s="1" t="s">
        <v>98</v>
      </c>
      <c r="D918" s="1">
        <v>0.90769999999999995</v>
      </c>
      <c r="E918" s="1">
        <v>2404</v>
      </c>
      <c r="F918" s="1">
        <v>38400</v>
      </c>
      <c r="G918" s="1">
        <v>0.54</v>
      </c>
      <c r="H918" s="1">
        <v>0.65469999999999995</v>
      </c>
      <c r="I918" s="1">
        <v>0.41920000000000002</v>
      </c>
      <c r="J918" s="1">
        <v>51655</v>
      </c>
      <c r="K918" s="1">
        <v>25000</v>
      </c>
      <c r="L918" s="1">
        <v>5855</v>
      </c>
      <c r="M918" s="1">
        <v>21</v>
      </c>
      <c r="N918" s="1" t="s">
        <v>20</v>
      </c>
      <c r="O918" s="1" t="s">
        <v>21</v>
      </c>
      <c r="P918" s="1" t="s">
        <v>39</v>
      </c>
      <c r="Q918" s="1" t="s">
        <v>23</v>
      </c>
      <c r="R918">
        <v>0.34570363652519809</v>
      </c>
    </row>
    <row r="919" spans="1:18" x14ac:dyDescent="0.2">
      <c r="A919" s="1">
        <v>214643</v>
      </c>
      <c r="B919" s="1" t="s">
        <v>990</v>
      </c>
      <c r="C919" s="1" t="s">
        <v>98</v>
      </c>
      <c r="D919" s="1">
        <v>0.96989999999999998</v>
      </c>
      <c r="E919" s="1">
        <v>313</v>
      </c>
      <c r="F919" s="1">
        <v>24006</v>
      </c>
      <c r="G919" s="1">
        <v>0.2273</v>
      </c>
      <c r="H919" s="1">
        <v>0.80720000000000003</v>
      </c>
      <c r="I919" s="1">
        <v>0.39369999999999999</v>
      </c>
      <c r="J919" s="1">
        <v>63435</v>
      </c>
      <c r="K919" s="1">
        <v>25000</v>
      </c>
      <c r="L919" s="1">
        <v>9188</v>
      </c>
      <c r="M919" s="1">
        <v>10</v>
      </c>
      <c r="N919" s="1" t="s">
        <v>28</v>
      </c>
      <c r="O919" s="1" t="s">
        <v>42</v>
      </c>
      <c r="P919" s="1" t="s">
        <v>39</v>
      </c>
      <c r="Q919" s="1" t="s">
        <v>23</v>
      </c>
      <c r="R919">
        <v>0.34488084492208571</v>
      </c>
    </row>
    <row r="920" spans="1:18" x14ac:dyDescent="0.2">
      <c r="A920" s="1">
        <v>171137</v>
      </c>
      <c r="B920" s="1" t="s">
        <v>991</v>
      </c>
      <c r="C920" s="1" t="s">
        <v>109</v>
      </c>
      <c r="D920" s="1">
        <v>0.55610000000000004</v>
      </c>
      <c r="E920" s="1">
        <v>5952</v>
      </c>
      <c r="F920" s="1">
        <v>32896</v>
      </c>
      <c r="G920" s="1">
        <v>0.57979999999999998</v>
      </c>
      <c r="H920" s="1">
        <v>0.82489999999999997</v>
      </c>
      <c r="I920" s="1">
        <v>0.46239999999999998</v>
      </c>
      <c r="J920" s="1">
        <v>59649</v>
      </c>
      <c r="K920" s="1">
        <v>22500</v>
      </c>
      <c r="L920" s="1">
        <v>11247</v>
      </c>
      <c r="M920" s="1">
        <v>16</v>
      </c>
      <c r="N920" s="1" t="s">
        <v>28</v>
      </c>
      <c r="O920" s="1" t="s">
        <v>29</v>
      </c>
      <c r="P920" s="1" t="s">
        <v>22</v>
      </c>
      <c r="Q920" s="1" t="s">
        <v>23</v>
      </c>
      <c r="R920">
        <v>0.34450934223544849</v>
      </c>
    </row>
    <row r="921" spans="1:18" x14ac:dyDescent="0.2">
      <c r="A921" s="1">
        <v>215266</v>
      </c>
      <c r="B921" s="1" t="s">
        <v>992</v>
      </c>
      <c r="C921" s="1" t="s">
        <v>98</v>
      </c>
      <c r="D921" s="1">
        <v>0.88539999999999996</v>
      </c>
      <c r="E921" s="1">
        <v>995</v>
      </c>
      <c r="F921" s="1">
        <v>26644</v>
      </c>
      <c r="G921" s="1">
        <v>0.47610000000000002</v>
      </c>
      <c r="H921" s="1">
        <v>0.65569999999999995</v>
      </c>
      <c r="I921" s="1">
        <v>0.47060000000000002</v>
      </c>
      <c r="J921" s="1">
        <v>66125</v>
      </c>
      <c r="K921" s="1">
        <v>24250</v>
      </c>
      <c r="L921" s="1">
        <v>9088</v>
      </c>
      <c r="M921" s="1">
        <v>12</v>
      </c>
      <c r="N921" s="1" t="s">
        <v>28</v>
      </c>
      <c r="O921" s="1" t="s">
        <v>42</v>
      </c>
      <c r="P921" s="1" t="s">
        <v>39</v>
      </c>
      <c r="Q921" s="1" t="s">
        <v>23</v>
      </c>
      <c r="R921">
        <v>0.34418425192813629</v>
      </c>
    </row>
    <row r="922" spans="1:18" x14ac:dyDescent="0.2">
      <c r="A922" s="1">
        <v>179548</v>
      </c>
      <c r="B922" s="1" t="s">
        <v>993</v>
      </c>
      <c r="C922" s="1" t="s">
        <v>77</v>
      </c>
      <c r="D922" s="1">
        <v>0.7722</v>
      </c>
      <c r="E922" s="1">
        <v>391</v>
      </c>
      <c r="F922" s="1">
        <v>28300</v>
      </c>
      <c r="G922" s="1">
        <v>0.4274</v>
      </c>
      <c r="H922" s="1">
        <v>0.78380000000000005</v>
      </c>
      <c r="I922" s="1">
        <v>0.45219999999999999</v>
      </c>
      <c r="J922" s="1">
        <v>43071</v>
      </c>
      <c r="K922" s="1">
        <v>27000</v>
      </c>
      <c r="L922" s="1">
        <v>7780</v>
      </c>
      <c r="M922" s="1">
        <v>8</v>
      </c>
      <c r="N922" s="1" t="s">
        <v>20</v>
      </c>
      <c r="O922" s="1" t="s">
        <v>29</v>
      </c>
      <c r="P922" s="1" t="s">
        <v>22</v>
      </c>
      <c r="Q922" s="1" t="s">
        <v>31</v>
      </c>
      <c r="R922">
        <v>0.34382901248944098</v>
      </c>
    </row>
    <row r="923" spans="1:18" x14ac:dyDescent="0.2">
      <c r="A923" s="1">
        <v>213011</v>
      </c>
      <c r="B923" s="1" t="s">
        <v>994</v>
      </c>
      <c r="C923" s="1" t="s">
        <v>98</v>
      </c>
      <c r="D923" s="1">
        <v>0.85760000000000003</v>
      </c>
      <c r="E923" s="1">
        <v>1320</v>
      </c>
      <c r="F923" s="1">
        <v>29330</v>
      </c>
      <c r="G923" s="1">
        <v>0.71040000000000003</v>
      </c>
      <c r="H923" s="1">
        <v>0.83030000000000004</v>
      </c>
      <c r="I923" s="1">
        <v>0.2283</v>
      </c>
      <c r="J923" s="1">
        <v>75701</v>
      </c>
      <c r="K923" s="1">
        <v>27000</v>
      </c>
      <c r="L923" s="1">
        <v>4852</v>
      </c>
      <c r="M923" s="1">
        <v>11</v>
      </c>
      <c r="N923" s="1" t="s">
        <v>20</v>
      </c>
      <c r="O923" s="1" t="s">
        <v>21</v>
      </c>
      <c r="P923" s="1" t="s">
        <v>39</v>
      </c>
      <c r="Q923" s="1" t="s">
        <v>23</v>
      </c>
      <c r="R923">
        <v>0.34295194364452042</v>
      </c>
    </row>
    <row r="924" spans="1:18" x14ac:dyDescent="0.2">
      <c r="A924" s="1">
        <v>141185</v>
      </c>
      <c r="B924" s="1" t="s">
        <v>995</v>
      </c>
      <c r="C924" s="1" t="s">
        <v>126</v>
      </c>
      <c r="D924" s="1">
        <v>0.65959999999999996</v>
      </c>
      <c r="E924" s="1">
        <v>875</v>
      </c>
      <c r="F924" s="1">
        <v>23950</v>
      </c>
      <c r="G924" s="1">
        <v>0.43659999999999999</v>
      </c>
      <c r="H924" s="1">
        <v>0.625</v>
      </c>
      <c r="I924" s="1">
        <v>0.16109999999999999</v>
      </c>
      <c r="J924" s="1">
        <v>36630</v>
      </c>
      <c r="K924" s="1">
        <v>22250</v>
      </c>
      <c r="L924" s="1">
        <v>6124</v>
      </c>
      <c r="M924" s="1">
        <v>18</v>
      </c>
      <c r="N924" s="1" t="s">
        <v>20</v>
      </c>
      <c r="O924" s="1" t="s">
        <v>42</v>
      </c>
      <c r="P924" s="1" t="s">
        <v>30</v>
      </c>
      <c r="Q924" s="1" t="s">
        <v>31</v>
      </c>
      <c r="R924">
        <v>0.34283529922734501</v>
      </c>
    </row>
    <row r="925" spans="1:18" x14ac:dyDescent="0.2">
      <c r="A925" s="1">
        <v>200332</v>
      </c>
      <c r="B925" s="1" t="s">
        <v>996</v>
      </c>
      <c r="C925" s="1" t="s">
        <v>836</v>
      </c>
      <c r="D925" s="1">
        <v>0.9496</v>
      </c>
      <c r="E925" s="1">
        <v>9471</v>
      </c>
      <c r="F925" s="1">
        <v>15764</v>
      </c>
      <c r="G925" s="1">
        <v>0.63890000000000002</v>
      </c>
      <c r="H925" s="1">
        <v>0.78420000000000001</v>
      </c>
      <c r="I925" s="1">
        <v>0.1973</v>
      </c>
      <c r="J925" s="1">
        <v>62203</v>
      </c>
      <c r="K925" s="1">
        <v>23199</v>
      </c>
      <c r="L925" s="1">
        <v>10624</v>
      </c>
      <c r="M925" s="1">
        <v>19</v>
      </c>
      <c r="N925" s="1" t="s">
        <v>28</v>
      </c>
      <c r="O925" s="1" t="s">
        <v>29</v>
      </c>
      <c r="P925" s="1" t="s">
        <v>22</v>
      </c>
      <c r="Q925" s="1" t="s">
        <v>23</v>
      </c>
      <c r="R925">
        <v>0.34272097928265088</v>
      </c>
    </row>
    <row r="926" spans="1:18" x14ac:dyDescent="0.2">
      <c r="A926" s="1">
        <v>218539</v>
      </c>
      <c r="B926" s="1" t="s">
        <v>997</v>
      </c>
      <c r="C926" s="1" t="s">
        <v>155</v>
      </c>
      <c r="D926" s="1">
        <v>0.68369999999999997</v>
      </c>
      <c r="E926" s="1">
        <v>852</v>
      </c>
      <c r="F926" s="1">
        <v>44910</v>
      </c>
      <c r="G926" s="1">
        <v>0.51459999999999995</v>
      </c>
      <c r="H926" s="1">
        <v>0.79549999999999998</v>
      </c>
      <c r="I926" s="1">
        <v>0.33329999999999999</v>
      </c>
      <c r="J926" s="1">
        <v>60194</v>
      </c>
      <c r="K926" s="1">
        <v>26000</v>
      </c>
      <c r="L926" s="1">
        <v>8263</v>
      </c>
      <c r="M926" s="1">
        <v>11</v>
      </c>
      <c r="N926" s="1" t="s">
        <v>20</v>
      </c>
      <c r="O926" s="1" t="s">
        <v>42</v>
      </c>
      <c r="P926" s="1" t="s">
        <v>30</v>
      </c>
      <c r="Q926" s="1" t="s">
        <v>23</v>
      </c>
      <c r="R926">
        <v>0.3425868202635789</v>
      </c>
    </row>
    <row r="927" spans="1:18" x14ac:dyDescent="0.2">
      <c r="A927" s="1">
        <v>159993</v>
      </c>
      <c r="B927" s="1" t="s">
        <v>998</v>
      </c>
      <c r="C927" s="1" t="s">
        <v>46</v>
      </c>
      <c r="D927" s="1">
        <v>0.84750000000000003</v>
      </c>
      <c r="E927" s="1">
        <v>5022</v>
      </c>
      <c r="F927" s="1">
        <v>21290</v>
      </c>
      <c r="G927" s="1">
        <v>0.54200000000000004</v>
      </c>
      <c r="H927" s="1">
        <v>0.72750000000000004</v>
      </c>
      <c r="I927" s="1">
        <v>0.34770000000000001</v>
      </c>
      <c r="J927" s="1">
        <v>46769</v>
      </c>
      <c r="K927" s="1">
        <v>21500</v>
      </c>
      <c r="L927" s="1">
        <v>7719</v>
      </c>
      <c r="M927" s="1">
        <v>18</v>
      </c>
      <c r="N927" s="1" t="s">
        <v>28</v>
      </c>
      <c r="O927" s="1" t="s">
        <v>29</v>
      </c>
      <c r="P927" s="1" t="s">
        <v>30</v>
      </c>
      <c r="Q927" s="1" t="s">
        <v>31</v>
      </c>
      <c r="R927">
        <v>0.34253152155133404</v>
      </c>
    </row>
    <row r="928" spans="1:18" x14ac:dyDescent="0.2">
      <c r="A928" s="1">
        <v>199999</v>
      </c>
      <c r="B928" s="1" t="s">
        <v>999</v>
      </c>
      <c r="C928" s="1" t="s">
        <v>86</v>
      </c>
      <c r="D928" s="1">
        <v>0.78259999999999996</v>
      </c>
      <c r="E928" s="1">
        <v>4170</v>
      </c>
      <c r="F928" s="1">
        <v>16782</v>
      </c>
      <c r="G928" s="1">
        <v>0.46679999999999999</v>
      </c>
      <c r="H928" s="1">
        <v>0.77249999999999996</v>
      </c>
      <c r="I928" s="1">
        <v>0.64910000000000001</v>
      </c>
      <c r="J928" s="1">
        <v>45344</v>
      </c>
      <c r="K928" s="1">
        <v>25000</v>
      </c>
      <c r="L928" s="1">
        <v>9217</v>
      </c>
      <c r="M928" s="1">
        <v>15</v>
      </c>
      <c r="N928" s="1" t="s">
        <v>28</v>
      </c>
      <c r="O928" s="1" t="s">
        <v>29</v>
      </c>
      <c r="P928" s="1" t="s">
        <v>30</v>
      </c>
      <c r="Q928" s="1" t="s">
        <v>31</v>
      </c>
      <c r="R928">
        <v>0.34117060756632978</v>
      </c>
    </row>
    <row r="929" spans="1:18" x14ac:dyDescent="0.2">
      <c r="A929" s="1">
        <v>123961</v>
      </c>
      <c r="B929" s="1" t="s">
        <v>1000</v>
      </c>
      <c r="C929" s="1" t="s">
        <v>33</v>
      </c>
      <c r="D929" s="1">
        <v>9.8100000000000007E-2</v>
      </c>
      <c r="E929" s="1">
        <v>20443</v>
      </c>
      <c r="F929" s="1">
        <v>72097</v>
      </c>
      <c r="G929" s="1">
        <v>0.91830000000000001</v>
      </c>
      <c r="H929" s="1">
        <v>0.95930000000000004</v>
      </c>
      <c r="I929" s="1">
        <v>0.22239999999999999</v>
      </c>
      <c r="J929" s="1">
        <v>92498</v>
      </c>
      <c r="K929" s="1">
        <v>18000</v>
      </c>
      <c r="L929" s="1">
        <v>17924</v>
      </c>
      <c r="M929" s="1">
        <v>9</v>
      </c>
      <c r="N929" s="1" t="s">
        <v>20</v>
      </c>
      <c r="O929" s="1" t="s">
        <v>29</v>
      </c>
      <c r="P929" s="1" t="s">
        <v>22</v>
      </c>
      <c r="Q929" s="1" t="s">
        <v>23</v>
      </c>
      <c r="R929">
        <v>0.34016610299341354</v>
      </c>
    </row>
    <row r="930" spans="1:18" x14ac:dyDescent="0.2">
      <c r="A930" s="1">
        <v>172334</v>
      </c>
      <c r="B930" s="1" t="s">
        <v>1001</v>
      </c>
      <c r="C930" s="1" t="s">
        <v>109</v>
      </c>
      <c r="D930" s="1">
        <v>0.51519999999999999</v>
      </c>
      <c r="E930" s="1">
        <v>1010</v>
      </c>
      <c r="F930" s="1">
        <v>34014</v>
      </c>
      <c r="G930" s="1">
        <v>0.63539999999999996</v>
      </c>
      <c r="H930" s="1">
        <v>0.77070000000000005</v>
      </c>
      <c r="I930" s="1">
        <v>0.28689999999999999</v>
      </c>
      <c r="J930" s="1">
        <v>51732</v>
      </c>
      <c r="K930" s="1">
        <v>26375</v>
      </c>
      <c r="L930" s="1">
        <v>6316</v>
      </c>
      <c r="M930" s="1">
        <v>12</v>
      </c>
      <c r="N930" s="1" t="s">
        <v>20</v>
      </c>
      <c r="O930" s="1" t="s">
        <v>42</v>
      </c>
      <c r="P930" s="1" t="s">
        <v>22</v>
      </c>
      <c r="Q930" s="1" t="s">
        <v>23</v>
      </c>
      <c r="R930">
        <v>0.34007135468180283</v>
      </c>
    </row>
    <row r="931" spans="1:18" x14ac:dyDescent="0.2">
      <c r="A931" s="1">
        <v>190664</v>
      </c>
      <c r="B931" s="1" t="s">
        <v>1002</v>
      </c>
      <c r="C931" s="1" t="s">
        <v>58</v>
      </c>
      <c r="D931" s="1">
        <v>0.64349999999999996</v>
      </c>
      <c r="E931" s="1">
        <v>12550</v>
      </c>
      <c r="F931" s="1">
        <v>15488</v>
      </c>
      <c r="G931" s="1">
        <v>0.53249999999999997</v>
      </c>
      <c r="H931" s="1">
        <v>0.78680000000000005</v>
      </c>
      <c r="I931" s="1">
        <v>0.47170000000000001</v>
      </c>
      <c r="J931" s="1">
        <v>62763</v>
      </c>
      <c r="K931" s="1">
        <v>10298</v>
      </c>
      <c r="L931" s="1">
        <v>12204</v>
      </c>
      <c r="M931" s="1">
        <v>13</v>
      </c>
      <c r="N931" s="1" t="s">
        <v>28</v>
      </c>
      <c r="O931" s="1" t="s">
        <v>29</v>
      </c>
      <c r="P931" s="1" t="s">
        <v>39</v>
      </c>
      <c r="Q931" s="1" t="s">
        <v>23</v>
      </c>
      <c r="R931">
        <v>0.3398563298453513</v>
      </c>
    </row>
    <row r="932" spans="1:18" x14ac:dyDescent="0.2">
      <c r="A932" s="1">
        <v>236595</v>
      </c>
      <c r="B932" s="1" t="s">
        <v>1003</v>
      </c>
      <c r="C932" s="1" t="s">
        <v>171</v>
      </c>
      <c r="D932" s="1">
        <v>0.76919999999999999</v>
      </c>
      <c r="E932" s="1">
        <v>4062</v>
      </c>
      <c r="F932" s="1">
        <v>56721</v>
      </c>
      <c r="G932" s="1">
        <v>0.75509999999999999</v>
      </c>
      <c r="H932" s="1">
        <v>0.84219999999999995</v>
      </c>
      <c r="I932" s="1">
        <v>0.23569999999999999</v>
      </c>
      <c r="J932" s="1">
        <v>75272</v>
      </c>
      <c r="K932" s="1">
        <v>19883</v>
      </c>
      <c r="L932" s="1">
        <v>8352</v>
      </c>
      <c r="M932" s="1">
        <v>10</v>
      </c>
      <c r="N932" s="1" t="s">
        <v>20</v>
      </c>
      <c r="O932" s="1" t="s">
        <v>29</v>
      </c>
      <c r="P932" s="1" t="s">
        <v>22</v>
      </c>
      <c r="Q932" s="1" t="s">
        <v>23</v>
      </c>
      <c r="R932">
        <v>0.3396201982169369</v>
      </c>
    </row>
    <row r="933" spans="1:18" x14ac:dyDescent="0.2">
      <c r="A933" s="1">
        <v>221999</v>
      </c>
      <c r="B933" s="1" t="s">
        <v>1004</v>
      </c>
      <c r="C933" s="1" t="s">
        <v>163</v>
      </c>
      <c r="D933" s="1">
        <v>5.8599999999999999E-2</v>
      </c>
      <c r="E933" s="1">
        <v>7208</v>
      </c>
      <c r="F933" s="1">
        <v>67498</v>
      </c>
      <c r="G933" s="1">
        <v>0.93540000000000001</v>
      </c>
      <c r="H933" s="1">
        <v>0.96340000000000003</v>
      </c>
      <c r="I933" s="1">
        <v>0.20219999999999999</v>
      </c>
      <c r="J933" s="1">
        <v>91565</v>
      </c>
      <c r="K933" s="1">
        <v>14000</v>
      </c>
      <c r="L933" s="1">
        <v>16361</v>
      </c>
      <c r="M933" s="1">
        <v>8</v>
      </c>
      <c r="N933" s="1" t="s">
        <v>20</v>
      </c>
      <c r="O933" s="1" t="s">
        <v>29</v>
      </c>
      <c r="P933" s="1" t="s">
        <v>30</v>
      </c>
      <c r="Q933" s="1" t="s">
        <v>23</v>
      </c>
      <c r="R933">
        <v>0.33872553760613167</v>
      </c>
    </row>
    <row r="934" spans="1:18" x14ac:dyDescent="0.2">
      <c r="A934" s="1">
        <v>140872</v>
      </c>
      <c r="B934" s="1" t="s">
        <v>1005</v>
      </c>
      <c r="C934" s="1" t="s">
        <v>126</v>
      </c>
      <c r="D934" s="1">
        <v>0.61539999999999995</v>
      </c>
      <c r="E934" s="1">
        <v>1066</v>
      </c>
      <c r="F934" s="1">
        <v>30074</v>
      </c>
      <c r="G934" s="1">
        <v>0.43569999999999998</v>
      </c>
      <c r="H934" s="1">
        <v>0.62219999999999998</v>
      </c>
      <c r="I934" s="1">
        <v>0.39829999999999999</v>
      </c>
      <c r="J934" s="1">
        <v>46541</v>
      </c>
      <c r="K934" s="1">
        <v>23900</v>
      </c>
      <c r="L934" s="1">
        <v>5983</v>
      </c>
      <c r="M934" s="1">
        <v>11</v>
      </c>
      <c r="N934" s="1" t="s">
        <v>20</v>
      </c>
      <c r="O934" s="1" t="s">
        <v>42</v>
      </c>
      <c r="P934" s="1" t="s">
        <v>30</v>
      </c>
      <c r="Q934" s="1" t="s">
        <v>31</v>
      </c>
      <c r="R934">
        <v>0.33815152914801105</v>
      </c>
    </row>
    <row r="935" spans="1:18" x14ac:dyDescent="0.2">
      <c r="A935" s="1">
        <v>192712</v>
      </c>
      <c r="B935" s="1" t="s">
        <v>1006</v>
      </c>
      <c r="C935" s="1" t="s">
        <v>58</v>
      </c>
      <c r="D935" s="1">
        <v>0.4078</v>
      </c>
      <c r="E935" s="1">
        <v>539</v>
      </c>
      <c r="F935" s="1">
        <v>57050</v>
      </c>
      <c r="G935" s="1">
        <v>0.78320000000000001</v>
      </c>
      <c r="H935" s="1">
        <v>0.92959999999999998</v>
      </c>
      <c r="I935" s="1">
        <v>0.1197</v>
      </c>
      <c r="J935" s="1">
        <v>26878</v>
      </c>
      <c r="K935" s="1">
        <v>26994</v>
      </c>
      <c r="L935" s="1">
        <v>7792</v>
      </c>
      <c r="M935" s="1">
        <v>6</v>
      </c>
      <c r="N935" s="1" t="s">
        <v>20</v>
      </c>
      <c r="O935" s="1" t="s">
        <v>29</v>
      </c>
      <c r="P935" s="1" t="s">
        <v>39</v>
      </c>
      <c r="Q935" s="1" t="s">
        <v>31</v>
      </c>
      <c r="R935">
        <v>0.33749555535977249</v>
      </c>
    </row>
    <row r="936" spans="1:18" x14ac:dyDescent="0.2">
      <c r="A936" s="1">
        <v>238333</v>
      </c>
      <c r="B936" s="1" t="s">
        <v>1007</v>
      </c>
      <c r="C936" s="1" t="s">
        <v>50</v>
      </c>
      <c r="D936" s="1">
        <v>0.63039999999999996</v>
      </c>
      <c r="E936" s="1">
        <v>926</v>
      </c>
      <c r="F936" s="1">
        <v>60886</v>
      </c>
      <c r="G936" s="1">
        <v>0.71050000000000002</v>
      </c>
      <c r="H936" s="1">
        <v>0.80559999999999998</v>
      </c>
      <c r="I936" s="1">
        <v>0.2964</v>
      </c>
      <c r="J936" s="1">
        <v>53260</v>
      </c>
      <c r="K936" s="1">
        <v>25738</v>
      </c>
      <c r="L936" s="1">
        <v>7725</v>
      </c>
      <c r="M936" s="1">
        <v>12</v>
      </c>
      <c r="N936" s="1" t="s">
        <v>20</v>
      </c>
      <c r="O936" s="1" t="s">
        <v>29</v>
      </c>
      <c r="P936" s="1" t="s">
        <v>22</v>
      </c>
      <c r="Q936" s="1" t="s">
        <v>23</v>
      </c>
      <c r="R936">
        <v>0.33595981068816849</v>
      </c>
    </row>
    <row r="937" spans="1:18" x14ac:dyDescent="0.2">
      <c r="A937" s="1">
        <v>219949</v>
      </c>
      <c r="B937" s="1" t="s">
        <v>1008</v>
      </c>
      <c r="C937" s="1" t="s">
        <v>163</v>
      </c>
      <c r="D937" s="1">
        <v>0.67330000000000001</v>
      </c>
      <c r="E937" s="1">
        <v>2104</v>
      </c>
      <c r="F937" s="1">
        <v>27840</v>
      </c>
      <c r="G937" s="1">
        <v>0.45590000000000003</v>
      </c>
      <c r="H937" s="1">
        <v>0.59470000000000001</v>
      </c>
      <c r="I937" s="1">
        <v>0.30280000000000001</v>
      </c>
      <c r="J937" s="1">
        <v>57687</v>
      </c>
      <c r="K937" s="1">
        <v>17952</v>
      </c>
      <c r="L937" s="1">
        <v>6114</v>
      </c>
      <c r="M937" s="1">
        <v>19</v>
      </c>
      <c r="N937" s="1" t="s">
        <v>20</v>
      </c>
      <c r="O937" s="1" t="s">
        <v>42</v>
      </c>
      <c r="P937" s="1" t="s">
        <v>30</v>
      </c>
      <c r="Q937" s="1" t="s">
        <v>23</v>
      </c>
      <c r="R937">
        <v>0.33507122529851208</v>
      </c>
    </row>
    <row r="938" spans="1:18" x14ac:dyDescent="0.2">
      <c r="A938" s="1">
        <v>475732</v>
      </c>
      <c r="B938" s="1" t="s">
        <v>1009</v>
      </c>
      <c r="C938" s="1" t="s">
        <v>126</v>
      </c>
      <c r="D938" s="1">
        <v>0.9143</v>
      </c>
      <c r="E938" s="1">
        <v>1940</v>
      </c>
      <c r="F938" s="1">
        <v>20515</v>
      </c>
      <c r="G938" s="1">
        <v>0.5</v>
      </c>
      <c r="H938" s="1">
        <v>0.4</v>
      </c>
      <c r="I938" s="1">
        <v>0.51570000000000005</v>
      </c>
      <c r="J938" s="1">
        <v>92405</v>
      </c>
      <c r="K938" s="1">
        <v>20919</v>
      </c>
      <c r="L938" s="1">
        <v>8288</v>
      </c>
      <c r="M938" s="1">
        <v>16</v>
      </c>
      <c r="N938" s="1" t="s">
        <v>142</v>
      </c>
      <c r="O938" s="1" t="s">
        <v>29</v>
      </c>
      <c r="P938" s="1" t="s">
        <v>30</v>
      </c>
      <c r="Q938" s="1" t="s">
        <v>23</v>
      </c>
      <c r="R938">
        <v>0.33458697380845115</v>
      </c>
    </row>
    <row r="939" spans="1:18" x14ac:dyDescent="0.2">
      <c r="A939" s="1">
        <v>163453</v>
      </c>
      <c r="B939" s="1" t="s">
        <v>1010</v>
      </c>
      <c r="C939" s="1" t="s">
        <v>61</v>
      </c>
      <c r="D939" s="1">
        <v>0.82230000000000003</v>
      </c>
      <c r="E939" s="1">
        <v>9019</v>
      </c>
      <c r="F939" s="1">
        <v>19124</v>
      </c>
      <c r="G939" s="1">
        <v>0.40870000000000001</v>
      </c>
      <c r="H939" s="1">
        <v>0.73340000000000005</v>
      </c>
      <c r="I939" s="1">
        <v>0.5655</v>
      </c>
      <c r="J939" s="1">
        <v>50698</v>
      </c>
      <c r="K939" s="1">
        <v>27250</v>
      </c>
      <c r="L939" s="1">
        <v>11634</v>
      </c>
      <c r="M939" s="1">
        <v>18</v>
      </c>
      <c r="N939" s="1" t="s">
        <v>28</v>
      </c>
      <c r="O939" s="1" t="s">
        <v>29</v>
      </c>
      <c r="P939" s="1" t="s">
        <v>30</v>
      </c>
      <c r="Q939" s="1" t="s">
        <v>23</v>
      </c>
      <c r="R939">
        <v>0.33361617529236665</v>
      </c>
    </row>
    <row r="940" spans="1:18" x14ac:dyDescent="0.2">
      <c r="A940" s="1">
        <v>154101</v>
      </c>
      <c r="B940" s="1" t="s">
        <v>1011</v>
      </c>
      <c r="C940" s="1" t="s">
        <v>81</v>
      </c>
      <c r="D940" s="1">
        <v>0.80359999999999998</v>
      </c>
      <c r="E940" s="1">
        <v>1175</v>
      </c>
      <c r="F940" s="1">
        <v>36710</v>
      </c>
      <c r="G940" s="1">
        <v>0.66049999999999998</v>
      </c>
      <c r="H940" s="1">
        <v>0.73499999999999999</v>
      </c>
      <c r="I940" s="1">
        <v>0.247</v>
      </c>
      <c r="J940" s="1">
        <v>49802</v>
      </c>
      <c r="K940" s="1">
        <v>23249</v>
      </c>
      <c r="L940" s="1">
        <v>7580</v>
      </c>
      <c r="M940" s="1">
        <v>15</v>
      </c>
      <c r="N940" s="1" t="s">
        <v>20</v>
      </c>
      <c r="O940" s="1" t="s">
        <v>42</v>
      </c>
      <c r="P940" s="1" t="s">
        <v>22</v>
      </c>
      <c r="Q940" s="1" t="s">
        <v>31</v>
      </c>
      <c r="R940">
        <v>0.33348288600602316</v>
      </c>
    </row>
    <row r="941" spans="1:18" x14ac:dyDescent="0.2">
      <c r="A941" s="1">
        <v>449764</v>
      </c>
      <c r="B941" s="1" t="s">
        <v>1012</v>
      </c>
      <c r="C941" s="1" t="s">
        <v>163</v>
      </c>
      <c r="D941" s="1">
        <v>0.28029999999999999</v>
      </c>
      <c r="E941" s="1">
        <v>79</v>
      </c>
      <c r="F941" s="1">
        <v>22000</v>
      </c>
      <c r="G941" s="1">
        <v>0.2286</v>
      </c>
      <c r="H941" s="1">
        <v>0.66669999999999996</v>
      </c>
      <c r="I941" s="1">
        <v>0.48809999999999998</v>
      </c>
      <c r="J941" s="1">
        <v>35933</v>
      </c>
      <c r="K941" s="1">
        <v>9500</v>
      </c>
      <c r="L941" s="1">
        <v>2476</v>
      </c>
      <c r="M941" s="1">
        <v>6</v>
      </c>
      <c r="N941" s="1" t="s">
        <v>20</v>
      </c>
      <c r="O941" s="1" t="s">
        <v>29</v>
      </c>
      <c r="P941" s="1" t="s">
        <v>30</v>
      </c>
      <c r="Q941" s="1" t="s">
        <v>31</v>
      </c>
      <c r="R941">
        <v>0.33289242625623927</v>
      </c>
    </row>
    <row r="942" spans="1:18" x14ac:dyDescent="0.2">
      <c r="A942" s="1">
        <v>171881</v>
      </c>
      <c r="B942" s="1" t="s">
        <v>1013</v>
      </c>
      <c r="C942" s="1" t="s">
        <v>109</v>
      </c>
      <c r="D942" s="1">
        <v>0.69099999999999995</v>
      </c>
      <c r="E942" s="1">
        <v>145</v>
      </c>
      <c r="F942" s="1">
        <v>27660</v>
      </c>
      <c r="G942" s="1">
        <v>0.5</v>
      </c>
      <c r="H942" s="1">
        <v>0.5897</v>
      </c>
      <c r="I942" s="1">
        <v>0.43140000000000001</v>
      </c>
      <c r="J942" s="1">
        <v>41066</v>
      </c>
      <c r="K942" s="1">
        <v>21389</v>
      </c>
      <c r="L942" s="1">
        <v>5553</v>
      </c>
      <c r="M942" s="1">
        <v>9</v>
      </c>
      <c r="N942" s="1" t="s">
        <v>20</v>
      </c>
      <c r="O942" s="1" t="s">
        <v>21</v>
      </c>
      <c r="P942" s="1" t="s">
        <v>22</v>
      </c>
      <c r="Q942" s="1" t="s">
        <v>31</v>
      </c>
      <c r="R942">
        <v>0.33172269902364948</v>
      </c>
    </row>
    <row r="943" spans="1:18" x14ac:dyDescent="0.2">
      <c r="A943" s="1">
        <v>177117</v>
      </c>
      <c r="B943" s="1" t="s">
        <v>1014</v>
      </c>
      <c r="C943" s="1" t="s">
        <v>77</v>
      </c>
      <c r="D943" s="1">
        <v>0.69179999999999997</v>
      </c>
      <c r="E943" s="1">
        <v>254</v>
      </c>
      <c r="F943" s="1">
        <v>27562</v>
      </c>
      <c r="G943" s="1">
        <v>0.5625</v>
      </c>
      <c r="H943" s="1">
        <v>0.6724</v>
      </c>
      <c r="I943" s="1">
        <v>0.46239999999999998</v>
      </c>
      <c r="J943" s="1">
        <v>35422</v>
      </c>
      <c r="K943" s="1">
        <v>19043</v>
      </c>
      <c r="L943" s="1">
        <v>5576</v>
      </c>
      <c r="M943" s="1">
        <v>6</v>
      </c>
      <c r="N943" s="1" t="s">
        <v>20</v>
      </c>
      <c r="O943" s="1" t="s">
        <v>42</v>
      </c>
      <c r="P943" s="1" t="s">
        <v>22</v>
      </c>
      <c r="Q943" s="1" t="s">
        <v>31</v>
      </c>
      <c r="R943">
        <v>0.32962146407208781</v>
      </c>
    </row>
    <row r="944" spans="1:18" x14ac:dyDescent="0.2">
      <c r="A944" s="1">
        <v>196033</v>
      </c>
      <c r="B944" s="1" t="s">
        <v>1015</v>
      </c>
      <c r="C944" s="1" t="s">
        <v>58</v>
      </c>
      <c r="D944" s="1">
        <v>0.84019999999999995</v>
      </c>
      <c r="E944" s="1">
        <v>1904</v>
      </c>
      <c r="F944" s="1">
        <v>18678</v>
      </c>
      <c r="G944" s="1">
        <v>0.4234</v>
      </c>
      <c r="H944" s="1">
        <v>0.68710000000000004</v>
      </c>
      <c r="I944" s="1">
        <v>0.43290000000000001</v>
      </c>
      <c r="J944" s="1">
        <v>45030</v>
      </c>
      <c r="K944" s="1">
        <v>16023</v>
      </c>
      <c r="L944" s="1">
        <v>7556</v>
      </c>
      <c r="M944" s="1">
        <v>15</v>
      </c>
      <c r="N944" s="1" t="s">
        <v>28</v>
      </c>
      <c r="O944" s="1" t="s">
        <v>42</v>
      </c>
      <c r="P944" s="1" t="s">
        <v>39</v>
      </c>
      <c r="Q944" s="1" t="s">
        <v>31</v>
      </c>
      <c r="R944">
        <v>0.3286988920556958</v>
      </c>
    </row>
    <row r="945" spans="1:18" x14ac:dyDescent="0.2">
      <c r="A945" s="1">
        <v>165802</v>
      </c>
      <c r="B945" s="1" t="s">
        <v>1016</v>
      </c>
      <c r="C945" s="1" t="s">
        <v>129</v>
      </c>
      <c r="D945" s="1">
        <v>0.70679999999999998</v>
      </c>
      <c r="E945" s="1">
        <v>1167</v>
      </c>
      <c r="F945" s="1">
        <v>35689</v>
      </c>
      <c r="G945" s="1">
        <v>0.27750000000000002</v>
      </c>
      <c r="H945" s="1">
        <v>0.54590000000000005</v>
      </c>
      <c r="I945" s="1">
        <v>0.3967</v>
      </c>
      <c r="J945" s="1">
        <v>49669</v>
      </c>
      <c r="K945" s="1">
        <v>25000</v>
      </c>
      <c r="L945" s="1">
        <v>7855</v>
      </c>
      <c r="M945" s="1">
        <v>14</v>
      </c>
      <c r="N945" s="1" t="s">
        <v>20</v>
      </c>
      <c r="O945" s="1" t="s">
        <v>29</v>
      </c>
      <c r="P945" s="1" t="s">
        <v>39</v>
      </c>
      <c r="Q945" s="1" t="s">
        <v>31</v>
      </c>
      <c r="R945">
        <v>0.32831397785406524</v>
      </c>
    </row>
    <row r="946" spans="1:18" x14ac:dyDescent="0.2">
      <c r="A946" s="1">
        <v>126580</v>
      </c>
      <c r="B946" s="1" t="s">
        <v>1017</v>
      </c>
      <c r="C946" s="1" t="s">
        <v>161</v>
      </c>
      <c r="D946" s="1">
        <v>0.97350000000000003</v>
      </c>
      <c r="E946" s="1">
        <v>8697</v>
      </c>
      <c r="F946" s="1">
        <v>24336</v>
      </c>
      <c r="G946" s="1">
        <v>0.46929999999999999</v>
      </c>
      <c r="H946" s="1">
        <v>0.6835</v>
      </c>
      <c r="I946" s="1">
        <v>0.27289999999999998</v>
      </c>
      <c r="J946" s="1">
        <v>54659</v>
      </c>
      <c r="K946" s="1">
        <v>20000</v>
      </c>
      <c r="L946" s="1">
        <v>9318</v>
      </c>
      <c r="M946" s="1">
        <v>15</v>
      </c>
      <c r="N946" s="1" t="s">
        <v>28</v>
      </c>
      <c r="O946" s="1" t="s">
        <v>29</v>
      </c>
      <c r="P946" s="1" t="s">
        <v>22</v>
      </c>
      <c r="Q946" s="1" t="s">
        <v>23</v>
      </c>
      <c r="R946">
        <v>0.32828041923397644</v>
      </c>
    </row>
    <row r="947" spans="1:18" x14ac:dyDescent="0.2">
      <c r="A947" s="1">
        <v>110370</v>
      </c>
      <c r="B947" s="1" t="s">
        <v>1018</v>
      </c>
      <c r="C947" s="1" t="s">
        <v>33</v>
      </c>
      <c r="D947" s="1">
        <v>0.91100000000000003</v>
      </c>
      <c r="E947" s="1">
        <v>990</v>
      </c>
      <c r="F947" s="1">
        <v>60226</v>
      </c>
      <c r="G947" s="1">
        <v>0.61219999999999997</v>
      </c>
      <c r="H947" s="1">
        <v>0.86699999999999999</v>
      </c>
      <c r="I947" s="1">
        <v>0.25090000000000001</v>
      </c>
      <c r="J947" s="1">
        <v>49414</v>
      </c>
      <c r="K947" s="1">
        <v>27000</v>
      </c>
      <c r="L947" s="1">
        <v>9785</v>
      </c>
      <c r="M947" s="1">
        <v>8</v>
      </c>
      <c r="N947" s="1" t="s">
        <v>20</v>
      </c>
      <c r="O947" s="1" t="s">
        <v>29</v>
      </c>
      <c r="P947" s="1" t="s">
        <v>22</v>
      </c>
      <c r="Q947" s="1" t="s">
        <v>31</v>
      </c>
      <c r="R947">
        <v>0.32568187390404846</v>
      </c>
    </row>
    <row r="948" spans="1:18" x14ac:dyDescent="0.2">
      <c r="A948" s="1">
        <v>173300</v>
      </c>
      <c r="B948" s="1" t="s">
        <v>1019</v>
      </c>
      <c r="C948" s="1" t="s">
        <v>54</v>
      </c>
      <c r="D948" s="1">
        <v>0.62649999999999995</v>
      </c>
      <c r="E948" s="1">
        <v>1829</v>
      </c>
      <c r="F948" s="1">
        <v>31170</v>
      </c>
      <c r="G948" s="1">
        <v>0.61070000000000002</v>
      </c>
      <c r="H948" s="1">
        <v>0.83560000000000001</v>
      </c>
      <c r="I948" s="1">
        <v>0.19070000000000001</v>
      </c>
      <c r="J948" s="1">
        <v>59317</v>
      </c>
      <c r="K948" s="1">
        <v>26847</v>
      </c>
      <c r="L948" s="1">
        <v>7714</v>
      </c>
      <c r="M948" s="1">
        <v>12</v>
      </c>
      <c r="N948" s="1" t="s">
        <v>20</v>
      </c>
      <c r="O948" s="1" t="s">
        <v>21</v>
      </c>
      <c r="P948" s="1" t="s">
        <v>22</v>
      </c>
      <c r="Q948" s="1" t="s">
        <v>23</v>
      </c>
      <c r="R948">
        <v>0.32560920460822418</v>
      </c>
    </row>
    <row r="949" spans="1:18" x14ac:dyDescent="0.2">
      <c r="A949" s="1">
        <v>193016</v>
      </c>
      <c r="B949" s="1" t="s">
        <v>1020</v>
      </c>
      <c r="C949" s="1" t="s">
        <v>58</v>
      </c>
      <c r="D949" s="1">
        <v>0.85840000000000005</v>
      </c>
      <c r="E949" s="1">
        <v>5735</v>
      </c>
      <c r="F949" s="1">
        <v>22880</v>
      </c>
      <c r="G949" s="1">
        <v>0.45710000000000001</v>
      </c>
      <c r="H949" s="1">
        <v>0.75719999999999998</v>
      </c>
      <c r="I949" s="1">
        <v>0.50049999999999994</v>
      </c>
      <c r="J949" s="1">
        <v>52055</v>
      </c>
      <c r="K949" s="1">
        <v>19637</v>
      </c>
      <c r="L949" s="1">
        <v>9574</v>
      </c>
      <c r="M949" s="1">
        <v>16</v>
      </c>
      <c r="N949" s="1" t="s">
        <v>20</v>
      </c>
      <c r="O949" s="1" t="s">
        <v>21</v>
      </c>
      <c r="P949" s="1" t="s">
        <v>39</v>
      </c>
      <c r="Q949" s="1" t="s">
        <v>23</v>
      </c>
      <c r="R949">
        <v>0.32508086474094011</v>
      </c>
    </row>
    <row r="950" spans="1:18" x14ac:dyDescent="0.2">
      <c r="A950" s="1">
        <v>132842</v>
      </c>
      <c r="B950" s="1" t="s">
        <v>1021</v>
      </c>
      <c r="C950" s="1" t="s">
        <v>27</v>
      </c>
      <c r="D950" s="1">
        <v>0.7571</v>
      </c>
      <c r="E950" s="1">
        <v>287</v>
      </c>
      <c r="F950" s="1">
        <v>13818</v>
      </c>
      <c r="G950" s="1">
        <v>0.4</v>
      </c>
      <c r="H950" s="1">
        <v>0.83330000000000004</v>
      </c>
      <c r="I950" s="1">
        <v>0.66369999999999996</v>
      </c>
      <c r="J950" s="1">
        <v>41544</v>
      </c>
      <c r="K950" s="1">
        <v>5500</v>
      </c>
      <c r="L950" s="1">
        <v>6867</v>
      </c>
      <c r="M950" s="1">
        <v>12</v>
      </c>
      <c r="N950" s="1" t="s">
        <v>20</v>
      </c>
      <c r="O950" s="1" t="s">
        <v>29</v>
      </c>
      <c r="P950" s="1" t="s">
        <v>30</v>
      </c>
      <c r="Q950" s="1" t="s">
        <v>31</v>
      </c>
      <c r="R950">
        <v>0.32439302995288188</v>
      </c>
    </row>
    <row r="951" spans="1:18" x14ac:dyDescent="0.2">
      <c r="A951" s="1">
        <v>209603</v>
      </c>
      <c r="B951" s="1" t="s">
        <v>1022</v>
      </c>
      <c r="C951" s="1" t="s">
        <v>79</v>
      </c>
      <c r="D951" s="1">
        <v>0.74850000000000005</v>
      </c>
      <c r="E951" s="1">
        <v>420</v>
      </c>
      <c r="F951" s="1">
        <v>49006</v>
      </c>
      <c r="G951" s="1">
        <v>0.2913</v>
      </c>
      <c r="H951" s="1">
        <v>0.69489999999999996</v>
      </c>
      <c r="I951" s="1">
        <v>0.40529999999999999</v>
      </c>
      <c r="J951" s="1">
        <v>34883</v>
      </c>
      <c r="K951" s="1">
        <v>25000</v>
      </c>
      <c r="L951" s="1">
        <v>8311</v>
      </c>
      <c r="M951" s="1">
        <v>9</v>
      </c>
      <c r="N951" s="1" t="s">
        <v>20</v>
      </c>
      <c r="O951" s="1" t="s">
        <v>29</v>
      </c>
      <c r="P951" s="1" t="s">
        <v>22</v>
      </c>
      <c r="Q951" s="1" t="s">
        <v>31</v>
      </c>
      <c r="R951">
        <v>0.32413122812423778</v>
      </c>
    </row>
    <row r="952" spans="1:18" x14ac:dyDescent="0.2">
      <c r="A952" s="1">
        <v>232982</v>
      </c>
      <c r="B952" s="1" t="s">
        <v>1023</v>
      </c>
      <c r="C952" s="1" t="s">
        <v>52</v>
      </c>
      <c r="D952" s="1">
        <v>0.90359999999999996</v>
      </c>
      <c r="E952" s="1">
        <v>17514</v>
      </c>
      <c r="F952" s="1">
        <v>33780</v>
      </c>
      <c r="G952" s="1">
        <v>0.4632</v>
      </c>
      <c r="H952" s="1">
        <v>0.76910000000000001</v>
      </c>
      <c r="I952" s="1">
        <v>0.36820000000000003</v>
      </c>
      <c r="J952" s="1">
        <v>54914</v>
      </c>
      <c r="K952" s="1">
        <v>24000</v>
      </c>
      <c r="L952" s="1">
        <v>10583</v>
      </c>
      <c r="M952" s="1">
        <v>13</v>
      </c>
      <c r="N952" s="1" t="s">
        <v>28</v>
      </c>
      <c r="O952" s="1" t="s">
        <v>29</v>
      </c>
      <c r="P952" s="1" t="s">
        <v>30</v>
      </c>
      <c r="Q952" s="1" t="s">
        <v>23</v>
      </c>
      <c r="R952">
        <v>0.32331427309659566</v>
      </c>
    </row>
    <row r="953" spans="1:18" x14ac:dyDescent="0.2">
      <c r="A953" s="1">
        <v>439701</v>
      </c>
      <c r="B953" s="1" t="s">
        <v>1024</v>
      </c>
      <c r="C953" s="1" t="s">
        <v>36</v>
      </c>
      <c r="D953" s="1">
        <v>0.60640000000000005</v>
      </c>
      <c r="E953" s="1">
        <v>251</v>
      </c>
      <c r="F953" s="1">
        <v>12480</v>
      </c>
      <c r="G953" s="1">
        <v>0.47370000000000001</v>
      </c>
      <c r="H953" s="1">
        <v>0.5</v>
      </c>
      <c r="I953" s="1">
        <v>0.38600000000000001</v>
      </c>
      <c r="J953" s="1">
        <v>41471</v>
      </c>
      <c r="K953" s="1">
        <v>27000</v>
      </c>
      <c r="L953" s="1">
        <v>8073</v>
      </c>
      <c r="M953" s="1">
        <v>10</v>
      </c>
      <c r="N953" s="1" t="s">
        <v>20</v>
      </c>
      <c r="O953" s="1" t="s">
        <v>21</v>
      </c>
      <c r="P953" s="1" t="s">
        <v>30</v>
      </c>
      <c r="Q953" s="1" t="s">
        <v>31</v>
      </c>
      <c r="R953">
        <v>0.32320638792726197</v>
      </c>
    </row>
    <row r="954" spans="1:18" x14ac:dyDescent="0.2">
      <c r="A954" s="1">
        <v>186399</v>
      </c>
      <c r="B954" s="1" t="s">
        <v>1025</v>
      </c>
      <c r="C954" s="1" t="s">
        <v>66</v>
      </c>
      <c r="D954" s="1">
        <v>0.71360000000000001</v>
      </c>
      <c r="E954" s="1">
        <v>7709</v>
      </c>
      <c r="F954" s="1">
        <v>36762</v>
      </c>
      <c r="G954" s="1">
        <v>0.63749999999999996</v>
      </c>
      <c r="H954" s="1">
        <v>0.83819999999999995</v>
      </c>
      <c r="I954" s="1">
        <v>0.58809999999999996</v>
      </c>
      <c r="J954" s="1">
        <v>74479</v>
      </c>
      <c r="K954" s="1">
        <v>21500</v>
      </c>
      <c r="L954" s="1">
        <v>16467</v>
      </c>
      <c r="M954" s="1">
        <v>14</v>
      </c>
      <c r="N954" s="1" t="s">
        <v>28</v>
      </c>
      <c r="O954" s="1" t="s">
        <v>29</v>
      </c>
      <c r="P954" s="1" t="s">
        <v>39</v>
      </c>
      <c r="Q954" s="1" t="s">
        <v>23</v>
      </c>
      <c r="R954">
        <v>0.32192276412018006</v>
      </c>
    </row>
    <row r="955" spans="1:18" x14ac:dyDescent="0.2">
      <c r="A955" s="1">
        <v>183026</v>
      </c>
      <c r="B955" s="1" t="s">
        <v>1026</v>
      </c>
      <c r="C955" s="1" t="s">
        <v>38</v>
      </c>
      <c r="D955" s="1">
        <v>0.99509999999999998</v>
      </c>
      <c r="E955" s="1">
        <v>163164</v>
      </c>
      <c r="F955" s="1">
        <v>17200</v>
      </c>
      <c r="G955" s="1">
        <v>0.42830000000000001</v>
      </c>
      <c r="H955" s="1">
        <v>0.61119999999999997</v>
      </c>
      <c r="I955" s="1">
        <v>0.48749999999999999</v>
      </c>
      <c r="J955" s="1">
        <v>50318</v>
      </c>
      <c r="K955" s="1">
        <v>21082</v>
      </c>
      <c r="L955" s="1">
        <v>9805</v>
      </c>
      <c r="M955" s="1">
        <v>24</v>
      </c>
      <c r="N955" s="1" t="s">
        <v>20</v>
      </c>
      <c r="O955" s="1" t="s">
        <v>21</v>
      </c>
      <c r="P955" s="1" t="s">
        <v>39</v>
      </c>
      <c r="Q955" s="1" t="s">
        <v>23</v>
      </c>
      <c r="R955">
        <v>0.3216934274506249</v>
      </c>
    </row>
    <row r="956" spans="1:18" x14ac:dyDescent="0.2">
      <c r="A956" s="1">
        <v>147660</v>
      </c>
      <c r="B956" s="1" t="s">
        <v>1027</v>
      </c>
      <c r="C956" s="1" t="s">
        <v>25</v>
      </c>
      <c r="D956" s="1">
        <v>0.77329999999999999</v>
      </c>
      <c r="E956" s="1">
        <v>2428</v>
      </c>
      <c r="F956" s="1">
        <v>45726</v>
      </c>
      <c r="G956" s="1">
        <v>0.64</v>
      </c>
      <c r="H956" s="1">
        <v>0.77129999999999999</v>
      </c>
      <c r="I956" s="1">
        <v>0.23949999999999999</v>
      </c>
      <c r="J956" s="1">
        <v>60123</v>
      </c>
      <c r="K956" s="1">
        <v>24500</v>
      </c>
      <c r="L956" s="1">
        <v>9075</v>
      </c>
      <c r="M956" s="1">
        <v>12</v>
      </c>
      <c r="N956" s="1" t="s">
        <v>20</v>
      </c>
      <c r="O956" s="1" t="s">
        <v>29</v>
      </c>
      <c r="P956" s="1" t="s">
        <v>22</v>
      </c>
      <c r="Q956" s="1" t="s">
        <v>23</v>
      </c>
      <c r="R956">
        <v>0.32077937491304542</v>
      </c>
    </row>
    <row r="957" spans="1:18" x14ac:dyDescent="0.2">
      <c r="A957" s="1">
        <v>106412</v>
      </c>
      <c r="B957" s="1" t="s">
        <v>1028</v>
      </c>
      <c r="C957" s="1" t="s">
        <v>70</v>
      </c>
      <c r="D957" s="1">
        <v>0.4118</v>
      </c>
      <c r="E957" s="1">
        <v>1807</v>
      </c>
      <c r="F957" s="1">
        <v>17992</v>
      </c>
      <c r="G957" s="1">
        <v>0.40429999999999999</v>
      </c>
      <c r="H957" s="1">
        <v>0.64159999999999995</v>
      </c>
      <c r="I957" s="1">
        <v>0.69499999999999995</v>
      </c>
      <c r="J957" s="1">
        <v>35550</v>
      </c>
      <c r="K957" s="1">
        <v>24202</v>
      </c>
      <c r="L957" s="1">
        <v>6201</v>
      </c>
      <c r="M957" s="1">
        <v>12</v>
      </c>
      <c r="N957" s="1" t="s">
        <v>28</v>
      </c>
      <c r="O957" s="1" t="s">
        <v>42</v>
      </c>
      <c r="P957" s="1" t="s">
        <v>30</v>
      </c>
      <c r="Q957" s="1" t="s">
        <v>31</v>
      </c>
      <c r="R957">
        <v>0.31942402377579937</v>
      </c>
    </row>
    <row r="958" spans="1:18" x14ac:dyDescent="0.2">
      <c r="A958" s="1">
        <v>238661</v>
      </c>
      <c r="B958" s="1" t="s">
        <v>1029</v>
      </c>
      <c r="C958" s="1" t="s">
        <v>50</v>
      </c>
      <c r="D958" s="1">
        <v>0.75729999999999997</v>
      </c>
      <c r="E958" s="1">
        <v>1107</v>
      </c>
      <c r="F958" s="1">
        <v>35860</v>
      </c>
      <c r="G958" s="1">
        <v>0.60240000000000005</v>
      </c>
      <c r="H958" s="1">
        <v>0.73150000000000004</v>
      </c>
      <c r="I958" s="1">
        <v>0.25779999999999997</v>
      </c>
      <c r="J958" s="1">
        <v>59728</v>
      </c>
      <c r="K958" s="1">
        <v>24424</v>
      </c>
      <c r="L958" s="1">
        <v>7213</v>
      </c>
      <c r="M958" s="1">
        <v>15</v>
      </c>
      <c r="N958" s="1" t="s">
        <v>20</v>
      </c>
      <c r="O958" s="1" t="s">
        <v>29</v>
      </c>
      <c r="P958" s="1" t="s">
        <v>22</v>
      </c>
      <c r="Q958" s="1" t="s">
        <v>23</v>
      </c>
      <c r="R958">
        <v>0.31798038033372722</v>
      </c>
    </row>
    <row r="959" spans="1:18" x14ac:dyDescent="0.2">
      <c r="A959" s="1">
        <v>200572</v>
      </c>
      <c r="B959" s="1" t="s">
        <v>1030</v>
      </c>
      <c r="C959" s="1" t="s">
        <v>836</v>
      </c>
      <c r="D959" s="1">
        <v>0.99070000000000003</v>
      </c>
      <c r="E959" s="1">
        <v>958</v>
      </c>
      <c r="F959" s="1">
        <v>13544</v>
      </c>
      <c r="G959" s="1">
        <v>0.5333</v>
      </c>
      <c r="H959" s="1">
        <v>0.70860000000000001</v>
      </c>
      <c r="I959" s="1">
        <v>0.16889999999999999</v>
      </c>
      <c r="J959" s="1">
        <v>52725</v>
      </c>
      <c r="K959" s="1">
        <v>20369</v>
      </c>
      <c r="L959" s="1">
        <v>6935</v>
      </c>
      <c r="M959" s="1">
        <v>12</v>
      </c>
      <c r="N959" s="1" t="s">
        <v>28</v>
      </c>
      <c r="O959" s="1" t="s">
        <v>42</v>
      </c>
      <c r="P959" s="1" t="s">
        <v>22</v>
      </c>
      <c r="Q959" s="1" t="s">
        <v>23</v>
      </c>
      <c r="R959">
        <v>0.31745006120803632</v>
      </c>
    </row>
    <row r="960" spans="1:18" x14ac:dyDescent="0.2">
      <c r="A960" s="1">
        <v>134130</v>
      </c>
      <c r="B960" s="1" t="s">
        <v>1031</v>
      </c>
      <c r="C960" s="1" t="s">
        <v>27</v>
      </c>
      <c r="D960" s="1">
        <v>0.24199999999999999</v>
      </c>
      <c r="E960" s="1">
        <v>35629</v>
      </c>
      <c r="F960" s="1">
        <v>28659</v>
      </c>
      <c r="G960" s="1">
        <v>0.91120000000000001</v>
      </c>
      <c r="H960" s="1">
        <v>0.97709999999999997</v>
      </c>
      <c r="I960" s="1">
        <v>0.21659999999999999</v>
      </c>
      <c r="J960" s="1">
        <v>71588</v>
      </c>
      <c r="K960" s="1">
        <v>15000</v>
      </c>
      <c r="L960" s="1">
        <v>13581</v>
      </c>
      <c r="M960" s="1">
        <v>16</v>
      </c>
      <c r="N960" s="1" t="s">
        <v>28</v>
      </c>
      <c r="O960" s="1" t="s">
        <v>29</v>
      </c>
      <c r="P960" s="1" t="s">
        <v>30</v>
      </c>
      <c r="Q960" s="1" t="s">
        <v>23</v>
      </c>
      <c r="R960">
        <v>0.31664775674023271</v>
      </c>
    </row>
    <row r="961" spans="1:18" x14ac:dyDescent="0.2">
      <c r="A961" s="1">
        <v>133669</v>
      </c>
      <c r="B961" s="1" t="s">
        <v>1032</v>
      </c>
      <c r="C961" s="1" t="s">
        <v>27</v>
      </c>
      <c r="D961" s="1">
        <v>0.6613</v>
      </c>
      <c r="E961" s="1">
        <v>23757</v>
      </c>
      <c r="F961" s="1">
        <v>17324</v>
      </c>
      <c r="G961" s="1">
        <v>0.62570000000000003</v>
      </c>
      <c r="H961" s="1">
        <v>0.84470000000000001</v>
      </c>
      <c r="I961" s="1">
        <v>0.3392</v>
      </c>
      <c r="J961" s="1">
        <v>56746</v>
      </c>
      <c r="K961" s="1">
        <v>17236</v>
      </c>
      <c r="L961" s="1">
        <v>10706</v>
      </c>
      <c r="M961" s="1">
        <v>24</v>
      </c>
      <c r="N961" s="1" t="s">
        <v>28</v>
      </c>
      <c r="O961" s="1" t="s">
        <v>29</v>
      </c>
      <c r="P961" s="1" t="s">
        <v>30</v>
      </c>
      <c r="Q961" s="1" t="s">
        <v>23</v>
      </c>
      <c r="R961">
        <v>0.31659936456932114</v>
      </c>
    </row>
    <row r="962" spans="1:18" x14ac:dyDescent="0.2">
      <c r="A962" s="1">
        <v>110422</v>
      </c>
      <c r="B962" s="1" t="s">
        <v>1033</v>
      </c>
      <c r="C962" s="1" t="s">
        <v>33</v>
      </c>
      <c r="D962" s="1">
        <v>0.31319999999999998</v>
      </c>
      <c r="E962" s="1">
        <v>21996</v>
      </c>
      <c r="F962" s="1">
        <v>34665</v>
      </c>
      <c r="G962" s="1">
        <v>0.86399999999999999</v>
      </c>
      <c r="H962" s="1">
        <v>0.95550000000000002</v>
      </c>
      <c r="I962" s="1">
        <v>0.19239999999999999</v>
      </c>
      <c r="J962" s="1">
        <v>90768</v>
      </c>
      <c r="K962" s="1">
        <v>18500</v>
      </c>
      <c r="L962" s="1">
        <v>12673</v>
      </c>
      <c r="M962" s="1">
        <v>19</v>
      </c>
      <c r="N962" s="1" t="s">
        <v>28</v>
      </c>
      <c r="O962" s="1" t="s">
        <v>21</v>
      </c>
      <c r="P962" s="1" t="s">
        <v>22</v>
      </c>
      <c r="Q962" s="1" t="s">
        <v>23</v>
      </c>
      <c r="R962">
        <v>0.31487451911694275</v>
      </c>
    </row>
    <row r="963" spans="1:18" x14ac:dyDescent="0.2">
      <c r="A963" s="1">
        <v>132657</v>
      </c>
      <c r="B963" s="1" t="s">
        <v>1034</v>
      </c>
      <c r="C963" s="1" t="s">
        <v>27</v>
      </c>
      <c r="D963" s="1">
        <v>0.73470000000000002</v>
      </c>
      <c r="E963" s="1">
        <v>2859</v>
      </c>
      <c r="F963" s="1">
        <v>44480</v>
      </c>
      <c r="G963" s="1">
        <v>0.52059999999999995</v>
      </c>
      <c r="H963" s="1">
        <v>0.76600000000000001</v>
      </c>
      <c r="I963" s="1">
        <v>0.2341</v>
      </c>
      <c r="J963" s="1">
        <v>49006</v>
      </c>
      <c r="K963" s="1">
        <v>17940</v>
      </c>
      <c r="L963" s="1">
        <v>6894</v>
      </c>
      <c r="M963" s="1">
        <v>16</v>
      </c>
      <c r="N963" s="1" t="s">
        <v>20</v>
      </c>
      <c r="O963" s="1" t="s">
        <v>29</v>
      </c>
      <c r="P963" s="1" t="s">
        <v>30</v>
      </c>
      <c r="Q963" s="1" t="s">
        <v>31</v>
      </c>
      <c r="R963">
        <v>0.31484503120135621</v>
      </c>
    </row>
    <row r="964" spans="1:18" x14ac:dyDescent="0.2">
      <c r="A964" s="1">
        <v>197142</v>
      </c>
      <c r="B964" s="1" t="s">
        <v>1035</v>
      </c>
      <c r="C964" s="1" t="s">
        <v>58</v>
      </c>
      <c r="D964" s="1">
        <v>0.8659</v>
      </c>
      <c r="E964" s="1">
        <v>603</v>
      </c>
      <c r="F964" s="1">
        <v>28670</v>
      </c>
      <c r="G964" s="1">
        <v>0.3145</v>
      </c>
      <c r="H964" s="1">
        <v>0.76470000000000005</v>
      </c>
      <c r="I964" s="1">
        <v>0.64770000000000005</v>
      </c>
      <c r="J964" s="1">
        <v>38857</v>
      </c>
      <c r="K964" s="1">
        <v>21250</v>
      </c>
      <c r="L964" s="1">
        <v>5508</v>
      </c>
      <c r="M964" s="1">
        <v>10</v>
      </c>
      <c r="N964" s="1" t="s">
        <v>20</v>
      </c>
      <c r="O964" s="1" t="s">
        <v>29</v>
      </c>
      <c r="P964" s="1" t="s">
        <v>39</v>
      </c>
      <c r="Q964" s="1" t="s">
        <v>31</v>
      </c>
      <c r="R964">
        <v>0.3144553295086927</v>
      </c>
    </row>
    <row r="965" spans="1:18" x14ac:dyDescent="0.2">
      <c r="A965" s="1">
        <v>191649</v>
      </c>
      <c r="B965" s="1" t="s">
        <v>1036</v>
      </c>
      <c r="C965" s="1" t="s">
        <v>58</v>
      </c>
      <c r="D965" s="1">
        <v>0.68079999999999996</v>
      </c>
      <c r="E965" s="1">
        <v>6488</v>
      </c>
      <c r="F965" s="1">
        <v>57660</v>
      </c>
      <c r="G965" s="1">
        <v>0.68540000000000001</v>
      </c>
      <c r="H965" s="1">
        <v>0.83620000000000005</v>
      </c>
      <c r="I965" s="1">
        <v>0.25269999999999998</v>
      </c>
      <c r="J965" s="1">
        <v>69039</v>
      </c>
      <c r="K965" s="1">
        <v>23621</v>
      </c>
      <c r="L965" s="1">
        <v>14951</v>
      </c>
      <c r="M965" s="1">
        <v>13</v>
      </c>
      <c r="N965" s="1" t="s">
        <v>20</v>
      </c>
      <c r="O965" s="1" t="s">
        <v>21</v>
      </c>
      <c r="P965" s="1" t="s">
        <v>39</v>
      </c>
      <c r="Q965" s="1" t="s">
        <v>23</v>
      </c>
      <c r="R965">
        <v>0.31403879320416206</v>
      </c>
    </row>
    <row r="966" spans="1:18" x14ac:dyDescent="0.2">
      <c r="A966" s="1">
        <v>195544</v>
      </c>
      <c r="B966" s="1" t="s">
        <v>1037</v>
      </c>
      <c r="C966" s="1" t="s">
        <v>58</v>
      </c>
      <c r="D966" s="1">
        <v>0.72050000000000003</v>
      </c>
      <c r="E966" s="1">
        <v>3144</v>
      </c>
      <c r="F966" s="1">
        <v>36550</v>
      </c>
      <c r="G966" s="1">
        <v>0.68779999999999997</v>
      </c>
      <c r="H966" s="1">
        <v>0.80700000000000005</v>
      </c>
      <c r="I966" s="1">
        <v>0.33989999999999998</v>
      </c>
      <c r="J966" s="1">
        <v>63905</v>
      </c>
      <c r="K966" s="1">
        <v>22000</v>
      </c>
      <c r="L966" s="1">
        <v>9258</v>
      </c>
      <c r="M966" s="1">
        <v>12</v>
      </c>
      <c r="N966" s="1" t="s">
        <v>20</v>
      </c>
      <c r="O966" s="1" t="s">
        <v>29</v>
      </c>
      <c r="P966" s="1" t="s">
        <v>39</v>
      </c>
      <c r="Q966" s="1" t="s">
        <v>23</v>
      </c>
      <c r="R966">
        <v>0.31309847515561584</v>
      </c>
    </row>
    <row r="967" spans="1:18" x14ac:dyDescent="0.2">
      <c r="A967" s="1">
        <v>145600</v>
      </c>
      <c r="B967" s="1" t="s">
        <v>1038</v>
      </c>
      <c r="C967" s="1" t="s">
        <v>25</v>
      </c>
      <c r="D967" s="1">
        <v>0.77349999999999997</v>
      </c>
      <c r="E967" s="1">
        <v>22170</v>
      </c>
      <c r="F967" s="1">
        <v>29884</v>
      </c>
      <c r="G967" s="1">
        <v>0.61619999999999997</v>
      </c>
      <c r="H967" s="1">
        <v>0.80210000000000004</v>
      </c>
      <c r="I967" s="1">
        <v>0.48930000000000001</v>
      </c>
      <c r="J967" s="1">
        <v>68740</v>
      </c>
      <c r="K967" s="1">
        <v>16704</v>
      </c>
      <c r="L967" s="1">
        <v>14621</v>
      </c>
      <c r="M967" s="1">
        <v>17</v>
      </c>
      <c r="N967" s="1" t="s">
        <v>28</v>
      </c>
      <c r="O967" s="1" t="s">
        <v>29</v>
      </c>
      <c r="P967" s="1" t="s">
        <v>22</v>
      </c>
      <c r="Q967" s="1" t="s">
        <v>23</v>
      </c>
      <c r="R967">
        <v>0.31279787047852814</v>
      </c>
    </row>
    <row r="968" spans="1:18" x14ac:dyDescent="0.2">
      <c r="A968" s="1">
        <v>211273</v>
      </c>
      <c r="B968" s="1" t="s">
        <v>1039</v>
      </c>
      <c r="C968" s="1" t="s">
        <v>98</v>
      </c>
      <c r="D968" s="1">
        <v>0.29430000000000001</v>
      </c>
      <c r="E968" s="1">
        <v>1359</v>
      </c>
      <c r="F968" s="1">
        <v>65920</v>
      </c>
      <c r="G968" s="1">
        <v>0.81789999999999996</v>
      </c>
      <c r="H968" s="1">
        <v>0.9224</v>
      </c>
      <c r="I968" s="1">
        <v>0.14749999999999999</v>
      </c>
      <c r="J968" s="1">
        <v>75217</v>
      </c>
      <c r="K968" s="1">
        <v>25000</v>
      </c>
      <c r="L968" s="1">
        <v>12083</v>
      </c>
      <c r="M968" s="1">
        <v>8</v>
      </c>
      <c r="N968" s="1" t="s">
        <v>20</v>
      </c>
      <c r="O968" s="1" t="s">
        <v>21</v>
      </c>
      <c r="P968" s="1" t="s">
        <v>39</v>
      </c>
      <c r="Q968" s="1" t="s">
        <v>23</v>
      </c>
      <c r="R968">
        <v>0.31242916883463268</v>
      </c>
    </row>
    <row r="969" spans="1:18" x14ac:dyDescent="0.2">
      <c r="A969" s="1">
        <v>190415</v>
      </c>
      <c r="B969" s="1" t="s">
        <v>1040</v>
      </c>
      <c r="C969" s="1" t="s">
        <v>58</v>
      </c>
      <c r="D969" s="1">
        <v>8.7599999999999997E-2</v>
      </c>
      <c r="E969" s="1">
        <v>15995</v>
      </c>
      <c r="F969" s="1">
        <v>69314</v>
      </c>
      <c r="G969" s="1">
        <v>0.95379999999999998</v>
      </c>
      <c r="H969" s="1">
        <v>0.98380000000000001</v>
      </c>
      <c r="I969" s="1">
        <v>0.18410000000000001</v>
      </c>
      <c r="J969" s="1">
        <v>104043</v>
      </c>
      <c r="K969" s="1">
        <v>14000</v>
      </c>
      <c r="L969" s="1">
        <v>17953</v>
      </c>
      <c r="M969" s="1">
        <v>9</v>
      </c>
      <c r="N969" s="1" t="s">
        <v>20</v>
      </c>
      <c r="O969" s="1" t="s">
        <v>29</v>
      </c>
      <c r="P969" s="1" t="s">
        <v>39</v>
      </c>
      <c r="Q969" s="1" t="s">
        <v>23</v>
      </c>
      <c r="R969">
        <v>0.31230091363051138</v>
      </c>
    </row>
    <row r="970" spans="1:18" x14ac:dyDescent="0.2">
      <c r="A970" s="1">
        <v>234155</v>
      </c>
      <c r="B970" s="1" t="s">
        <v>1041</v>
      </c>
      <c r="C970" s="1" t="s">
        <v>52</v>
      </c>
      <c r="D970" s="1">
        <v>0.88629999999999998</v>
      </c>
      <c r="E970" s="1">
        <v>5074</v>
      </c>
      <c r="F970" s="1">
        <v>22650</v>
      </c>
      <c r="G970" s="1">
        <v>0.39439999999999997</v>
      </c>
      <c r="H970" s="1">
        <v>0.69389999999999996</v>
      </c>
      <c r="I970" s="1">
        <v>0.72130000000000005</v>
      </c>
      <c r="J970" s="1">
        <v>45543</v>
      </c>
      <c r="K970" s="1">
        <v>26500</v>
      </c>
      <c r="L970" s="1">
        <v>9469</v>
      </c>
      <c r="M970" s="1">
        <v>13</v>
      </c>
      <c r="N970" s="1" t="s">
        <v>28</v>
      </c>
      <c r="O970" s="1" t="s">
        <v>21</v>
      </c>
      <c r="P970" s="1" t="s">
        <v>30</v>
      </c>
      <c r="Q970" s="1" t="s">
        <v>31</v>
      </c>
      <c r="R970">
        <v>0.3106585267868669</v>
      </c>
    </row>
    <row r="971" spans="1:18" x14ac:dyDescent="0.2">
      <c r="A971" s="1">
        <v>237792</v>
      </c>
      <c r="B971" s="1" t="s">
        <v>1042</v>
      </c>
      <c r="C971" s="1" t="s">
        <v>255</v>
      </c>
      <c r="D971" s="1">
        <v>0.96779999999999999</v>
      </c>
      <c r="E971" s="1">
        <v>2344</v>
      </c>
      <c r="F971" s="1">
        <v>19082</v>
      </c>
      <c r="G971" s="1">
        <v>0.51029999999999998</v>
      </c>
      <c r="H971" s="1">
        <v>0.71379999999999999</v>
      </c>
      <c r="I971" s="1">
        <v>0.29430000000000001</v>
      </c>
      <c r="J971" s="1">
        <v>49358</v>
      </c>
      <c r="K971" s="1">
        <v>21600</v>
      </c>
      <c r="L971" s="1">
        <v>7788</v>
      </c>
      <c r="M971" s="1">
        <v>17</v>
      </c>
      <c r="N971" s="1" t="s">
        <v>28</v>
      </c>
      <c r="O971" s="1" t="s">
        <v>42</v>
      </c>
      <c r="P971" s="1" t="s">
        <v>30</v>
      </c>
      <c r="Q971" s="1" t="s">
        <v>31</v>
      </c>
      <c r="R971">
        <v>0.30927854107017883</v>
      </c>
    </row>
    <row r="972" spans="1:18" x14ac:dyDescent="0.2">
      <c r="A972" s="1">
        <v>145336</v>
      </c>
      <c r="B972" s="1" t="s">
        <v>1043</v>
      </c>
      <c r="C972" s="1" t="s">
        <v>25</v>
      </c>
      <c r="D972" s="1">
        <v>0.48270000000000002</v>
      </c>
      <c r="E972" s="1">
        <v>2556</v>
      </c>
      <c r="F972" s="1">
        <v>12004</v>
      </c>
      <c r="G972" s="1">
        <v>0.22109999999999999</v>
      </c>
      <c r="H972" s="1">
        <v>0.56220000000000003</v>
      </c>
      <c r="I972" s="1">
        <v>0.53590000000000004</v>
      </c>
      <c r="J972" s="1">
        <v>58169</v>
      </c>
      <c r="K972" s="1">
        <v>18618</v>
      </c>
      <c r="L972" s="1">
        <v>8619</v>
      </c>
      <c r="M972" s="1">
        <v>11</v>
      </c>
      <c r="N972" s="1" t="s">
        <v>28</v>
      </c>
      <c r="O972" s="1" t="s">
        <v>21</v>
      </c>
      <c r="P972" s="1" t="s">
        <v>22</v>
      </c>
      <c r="Q972" s="1" t="s">
        <v>23</v>
      </c>
      <c r="R972">
        <v>0.30899285779085628</v>
      </c>
    </row>
    <row r="973" spans="1:18" x14ac:dyDescent="0.2">
      <c r="A973" s="1">
        <v>210775</v>
      </c>
      <c r="B973" s="1" t="s">
        <v>1044</v>
      </c>
      <c r="C973" s="1" t="s">
        <v>98</v>
      </c>
      <c r="D973" s="1">
        <v>0.5806</v>
      </c>
      <c r="E973" s="1">
        <v>2152</v>
      </c>
      <c r="F973" s="1">
        <v>45000</v>
      </c>
      <c r="G973" s="1">
        <v>0.55530000000000002</v>
      </c>
      <c r="H973" s="1">
        <v>0.7198</v>
      </c>
      <c r="I973" s="1">
        <v>0.3624</v>
      </c>
      <c r="J973" s="1">
        <v>55055</v>
      </c>
      <c r="K973" s="1">
        <v>27000</v>
      </c>
      <c r="L973" s="1">
        <v>8028</v>
      </c>
      <c r="M973" s="1">
        <v>14</v>
      </c>
      <c r="N973" s="1" t="s">
        <v>20</v>
      </c>
      <c r="O973" s="1" t="s">
        <v>29</v>
      </c>
      <c r="P973" s="1" t="s">
        <v>39</v>
      </c>
      <c r="Q973" s="1" t="s">
        <v>23</v>
      </c>
      <c r="R973">
        <v>0.30821495853884684</v>
      </c>
    </row>
    <row r="974" spans="1:18" x14ac:dyDescent="0.2">
      <c r="A974" s="1">
        <v>192192</v>
      </c>
      <c r="B974" s="1" t="s">
        <v>1045</v>
      </c>
      <c r="C974" s="1" t="s">
        <v>58</v>
      </c>
      <c r="D974" s="1">
        <v>0.68079999999999996</v>
      </c>
      <c r="E974" s="1">
        <v>966</v>
      </c>
      <c r="F974" s="1">
        <v>39332</v>
      </c>
      <c r="G974" s="1">
        <v>0.58360000000000001</v>
      </c>
      <c r="H974" s="1">
        <v>0.73360000000000003</v>
      </c>
      <c r="I974" s="1">
        <v>0.49890000000000001</v>
      </c>
      <c r="J974" s="1">
        <v>58289</v>
      </c>
      <c r="K974" s="1">
        <v>27000</v>
      </c>
      <c r="L974" s="1">
        <v>7000</v>
      </c>
      <c r="M974" s="1">
        <v>10</v>
      </c>
      <c r="N974" s="1" t="s">
        <v>20</v>
      </c>
      <c r="O974" s="1" t="s">
        <v>42</v>
      </c>
      <c r="P974" s="1" t="s">
        <v>39</v>
      </c>
      <c r="Q974" s="1" t="s">
        <v>23</v>
      </c>
      <c r="R974">
        <v>0.30803881190900995</v>
      </c>
    </row>
    <row r="975" spans="1:18" x14ac:dyDescent="0.2">
      <c r="A975" s="1">
        <v>200253</v>
      </c>
      <c r="B975" s="1" t="s">
        <v>1046</v>
      </c>
      <c r="C975" s="1" t="s">
        <v>836</v>
      </c>
      <c r="D975" s="1">
        <v>0.6462</v>
      </c>
      <c r="E975" s="1">
        <v>2062</v>
      </c>
      <c r="F975" s="1">
        <v>8702</v>
      </c>
      <c r="G975" s="1">
        <v>0.45050000000000001</v>
      </c>
      <c r="H975" s="1">
        <v>0.66479999999999995</v>
      </c>
      <c r="I975" s="1">
        <v>0.2445</v>
      </c>
      <c r="J975" s="1">
        <v>51759</v>
      </c>
      <c r="K975" s="1">
        <v>19609</v>
      </c>
      <c r="L975" s="1">
        <v>8340</v>
      </c>
      <c r="M975" s="1">
        <v>11</v>
      </c>
      <c r="N975" s="1" t="s">
        <v>28</v>
      </c>
      <c r="O975" s="1" t="s">
        <v>29</v>
      </c>
      <c r="P975" s="1" t="s">
        <v>22</v>
      </c>
      <c r="Q975" s="1" t="s">
        <v>23</v>
      </c>
      <c r="R975">
        <v>0.30786799019047828</v>
      </c>
    </row>
    <row r="976" spans="1:18" x14ac:dyDescent="0.2">
      <c r="A976" s="1">
        <v>225575</v>
      </c>
      <c r="B976" s="1" t="s">
        <v>1047</v>
      </c>
      <c r="C976" s="1" t="s">
        <v>36</v>
      </c>
      <c r="D976" s="1">
        <v>0.39090000000000003</v>
      </c>
      <c r="E976" s="1">
        <v>1005</v>
      </c>
      <c r="F976" s="1">
        <v>26709</v>
      </c>
      <c r="G976" s="1">
        <v>0.33939999999999998</v>
      </c>
      <c r="H976" s="1">
        <v>0.58189999999999997</v>
      </c>
      <c r="I976" s="1">
        <v>0.61219999999999997</v>
      </c>
      <c r="J976" s="1">
        <v>42937</v>
      </c>
      <c r="K976" s="1">
        <v>30750</v>
      </c>
      <c r="L976" s="1">
        <v>6364</v>
      </c>
      <c r="M976" s="1">
        <v>14</v>
      </c>
      <c r="N976" s="1" t="s">
        <v>20</v>
      </c>
      <c r="O976" s="1" t="s">
        <v>29</v>
      </c>
      <c r="P976" s="1" t="s">
        <v>30</v>
      </c>
      <c r="Q976" s="1" t="s">
        <v>31</v>
      </c>
      <c r="R976">
        <v>0.30689817214795034</v>
      </c>
    </row>
    <row r="977" spans="1:18" x14ac:dyDescent="0.2">
      <c r="A977" s="1">
        <v>203368</v>
      </c>
      <c r="B977" s="1" t="s">
        <v>1048</v>
      </c>
      <c r="C977" s="1" t="s">
        <v>19</v>
      </c>
      <c r="D977" s="1">
        <v>0.80900000000000005</v>
      </c>
      <c r="E977" s="1">
        <v>2274</v>
      </c>
      <c r="F977" s="1">
        <v>50500</v>
      </c>
      <c r="G977" s="1">
        <v>0.78549999999999998</v>
      </c>
      <c r="H977" s="1">
        <v>0.82879999999999998</v>
      </c>
      <c r="I977" s="1">
        <v>0.2059</v>
      </c>
      <c r="J977" s="1">
        <v>62860</v>
      </c>
      <c r="K977" s="1">
        <v>26000</v>
      </c>
      <c r="L977" s="1">
        <v>10285</v>
      </c>
      <c r="M977" s="1">
        <v>13</v>
      </c>
      <c r="N977" s="1" t="s">
        <v>20</v>
      </c>
      <c r="O977" s="1" t="s">
        <v>21</v>
      </c>
      <c r="P977" s="1" t="s">
        <v>22</v>
      </c>
      <c r="Q977" s="1" t="s">
        <v>23</v>
      </c>
      <c r="R977">
        <v>0.30586860724382459</v>
      </c>
    </row>
    <row r="978" spans="1:18" x14ac:dyDescent="0.2">
      <c r="A978" s="1">
        <v>192819</v>
      </c>
      <c r="B978" s="1" t="s">
        <v>1049</v>
      </c>
      <c r="C978" s="1" t="s">
        <v>58</v>
      </c>
      <c r="D978" s="1">
        <v>0.56510000000000005</v>
      </c>
      <c r="E978" s="1">
        <v>5182</v>
      </c>
      <c r="F978" s="1">
        <v>47750</v>
      </c>
      <c r="G978" s="1">
        <v>0.79600000000000004</v>
      </c>
      <c r="H978" s="1">
        <v>0.8609</v>
      </c>
      <c r="I978" s="1">
        <v>0.14449999999999999</v>
      </c>
      <c r="J978" s="1">
        <v>77819</v>
      </c>
      <c r="K978" s="1">
        <v>25000</v>
      </c>
      <c r="L978" s="1">
        <v>11066</v>
      </c>
      <c r="M978" s="1">
        <v>15</v>
      </c>
      <c r="N978" s="1" t="s">
        <v>20</v>
      </c>
      <c r="O978" s="1" t="s">
        <v>21</v>
      </c>
      <c r="P978" s="1" t="s">
        <v>39</v>
      </c>
      <c r="Q978" s="1" t="s">
        <v>23</v>
      </c>
      <c r="R978">
        <v>0.30485202420521051</v>
      </c>
    </row>
    <row r="979" spans="1:18" x14ac:dyDescent="0.2">
      <c r="A979" s="1">
        <v>237066</v>
      </c>
      <c r="B979" s="1" t="s">
        <v>1050</v>
      </c>
      <c r="C979" s="1" t="s">
        <v>171</v>
      </c>
      <c r="D979" s="1">
        <v>0.89780000000000004</v>
      </c>
      <c r="E979" s="1">
        <v>1858</v>
      </c>
      <c r="F979" s="1">
        <v>52880</v>
      </c>
      <c r="G979" s="1">
        <v>0.70889999999999997</v>
      </c>
      <c r="H979" s="1">
        <v>0.77600000000000002</v>
      </c>
      <c r="I979" s="1">
        <v>0.29449999999999998</v>
      </c>
      <c r="J979" s="1">
        <v>58561</v>
      </c>
      <c r="K979" s="1">
        <v>25000</v>
      </c>
      <c r="L979" s="1">
        <v>8332</v>
      </c>
      <c r="M979" s="1">
        <v>11</v>
      </c>
      <c r="N979" s="1" t="s">
        <v>20</v>
      </c>
      <c r="O979" s="1" t="s">
        <v>21</v>
      </c>
      <c r="P979" s="1" t="s">
        <v>22</v>
      </c>
      <c r="Q979" s="1" t="s">
        <v>23</v>
      </c>
      <c r="R979">
        <v>0.30460186247058019</v>
      </c>
    </row>
    <row r="980" spans="1:18" x14ac:dyDescent="0.2">
      <c r="A980" s="1">
        <v>110529</v>
      </c>
      <c r="B980" s="1" t="s">
        <v>1051</v>
      </c>
      <c r="C980" s="1" t="s">
        <v>33</v>
      </c>
      <c r="D980" s="1">
        <v>0.75170000000000003</v>
      </c>
      <c r="E980" s="1">
        <v>25042</v>
      </c>
      <c r="F980" s="1">
        <v>20380</v>
      </c>
      <c r="G980" s="1">
        <v>0.68430000000000002</v>
      </c>
      <c r="H980" s="1">
        <v>0.87380000000000002</v>
      </c>
      <c r="I980" s="1">
        <v>0.46329999999999999</v>
      </c>
      <c r="J980" s="1">
        <v>71902</v>
      </c>
      <c r="K980" s="1">
        <v>16000</v>
      </c>
      <c r="L980" s="1">
        <v>12943</v>
      </c>
      <c r="M980" s="1">
        <v>25</v>
      </c>
      <c r="N980" s="1" t="s">
        <v>28</v>
      </c>
      <c r="O980" s="1" t="s">
        <v>21</v>
      </c>
      <c r="P980" s="1" t="s">
        <v>22</v>
      </c>
      <c r="Q980" s="1" t="s">
        <v>23</v>
      </c>
      <c r="R980">
        <v>0.30443393197838287</v>
      </c>
    </row>
    <row r="981" spans="1:18" x14ac:dyDescent="0.2">
      <c r="A981" s="1">
        <v>214829</v>
      </c>
      <c r="B981" s="1" t="s">
        <v>1052</v>
      </c>
      <c r="C981" s="1" t="s">
        <v>98</v>
      </c>
      <c r="D981" s="1">
        <v>0.97409999999999997</v>
      </c>
      <c r="E981" s="1">
        <v>668</v>
      </c>
      <c r="F981" s="1">
        <v>25392</v>
      </c>
      <c r="G981" s="1">
        <v>0.16270000000000001</v>
      </c>
      <c r="H981" s="1">
        <v>0.76839999999999997</v>
      </c>
      <c r="I981" s="1">
        <v>0.30199999999999999</v>
      </c>
      <c r="J981" s="1">
        <v>63435</v>
      </c>
      <c r="K981" s="1">
        <v>25000</v>
      </c>
      <c r="L981" s="1">
        <v>10236</v>
      </c>
      <c r="M981" s="1">
        <v>14</v>
      </c>
      <c r="N981" s="1" t="s">
        <v>28</v>
      </c>
      <c r="O981" s="1" t="s">
        <v>21</v>
      </c>
      <c r="P981" s="1" t="s">
        <v>39</v>
      </c>
      <c r="Q981" s="1" t="s">
        <v>23</v>
      </c>
      <c r="R981">
        <v>0.3035233553475899</v>
      </c>
    </row>
    <row r="982" spans="1:18" x14ac:dyDescent="0.2">
      <c r="A982" s="1">
        <v>225511</v>
      </c>
      <c r="B982" s="1" t="s">
        <v>1053</v>
      </c>
      <c r="C982" s="1" t="s">
        <v>36</v>
      </c>
      <c r="D982" s="1">
        <v>0.73919999999999997</v>
      </c>
      <c r="E982" s="1">
        <v>38380</v>
      </c>
      <c r="F982" s="1">
        <v>22547</v>
      </c>
      <c r="G982" s="1">
        <v>0.64559999999999995</v>
      </c>
      <c r="H982" s="1">
        <v>0.86990000000000001</v>
      </c>
      <c r="I982" s="1">
        <v>0.41649999999999998</v>
      </c>
      <c r="J982" s="1">
        <v>62377</v>
      </c>
      <c r="K982" s="1">
        <v>18194</v>
      </c>
      <c r="L982" s="1">
        <v>13242</v>
      </c>
      <c r="M982" s="1">
        <v>22</v>
      </c>
      <c r="N982" s="1" t="s">
        <v>28</v>
      </c>
      <c r="O982" s="1" t="s">
        <v>29</v>
      </c>
      <c r="P982" s="1" t="s">
        <v>30</v>
      </c>
      <c r="Q982" s="1" t="s">
        <v>23</v>
      </c>
      <c r="R982">
        <v>0.30286967948215648</v>
      </c>
    </row>
    <row r="983" spans="1:18" x14ac:dyDescent="0.2">
      <c r="A983" s="1">
        <v>196015</v>
      </c>
      <c r="B983" s="1" t="s">
        <v>1054</v>
      </c>
      <c r="C983" s="1" t="s">
        <v>58</v>
      </c>
      <c r="D983" s="1">
        <v>0.92149999999999999</v>
      </c>
      <c r="E983" s="1">
        <v>2741</v>
      </c>
      <c r="F983" s="1">
        <v>13572</v>
      </c>
      <c r="G983" s="1">
        <v>0.38450000000000001</v>
      </c>
      <c r="H983" s="1">
        <v>0.69489999999999996</v>
      </c>
      <c r="I983" s="1">
        <v>0.50419999999999998</v>
      </c>
      <c r="J983" s="1">
        <v>47860</v>
      </c>
      <c r="K983" s="1">
        <v>20000</v>
      </c>
      <c r="L983" s="1">
        <v>7884</v>
      </c>
      <c r="M983" s="1">
        <v>18</v>
      </c>
      <c r="N983" s="1" t="s">
        <v>28</v>
      </c>
      <c r="O983" s="1" t="s">
        <v>42</v>
      </c>
      <c r="P983" s="1" t="s">
        <v>39</v>
      </c>
      <c r="Q983" s="1" t="s">
        <v>31</v>
      </c>
      <c r="R983">
        <v>0.30139112208030416</v>
      </c>
    </row>
    <row r="984" spans="1:18" x14ac:dyDescent="0.2">
      <c r="A984" s="1">
        <v>154590</v>
      </c>
      <c r="B984" s="1" t="s">
        <v>1055</v>
      </c>
      <c r="C984" s="1" t="s">
        <v>81</v>
      </c>
      <c r="D984" s="1">
        <v>0.51880000000000004</v>
      </c>
      <c r="E984" s="1">
        <v>1301</v>
      </c>
      <c r="F984" s="1">
        <v>29750</v>
      </c>
      <c r="G984" s="1">
        <v>0.32619999999999999</v>
      </c>
      <c r="H984" s="1">
        <v>0.58160000000000001</v>
      </c>
      <c r="I984" s="1">
        <v>0.47270000000000001</v>
      </c>
      <c r="J984" s="1">
        <v>48936</v>
      </c>
      <c r="K984" s="1">
        <v>22415</v>
      </c>
      <c r="L984" s="1">
        <v>6394</v>
      </c>
      <c r="M984" s="1">
        <v>15</v>
      </c>
      <c r="N984" s="1" t="s">
        <v>20</v>
      </c>
      <c r="O984" s="1" t="s">
        <v>42</v>
      </c>
      <c r="P984" s="1" t="s">
        <v>22</v>
      </c>
      <c r="Q984" s="1" t="s">
        <v>31</v>
      </c>
      <c r="R984">
        <v>0.30013337832359255</v>
      </c>
    </row>
    <row r="985" spans="1:18" x14ac:dyDescent="0.2">
      <c r="A985" s="1">
        <v>155399</v>
      </c>
      <c r="B985" s="1" t="s">
        <v>1056</v>
      </c>
      <c r="C985" s="1" t="s">
        <v>56</v>
      </c>
      <c r="D985" s="1">
        <v>0.81689999999999996</v>
      </c>
      <c r="E985" s="1">
        <v>15142</v>
      </c>
      <c r="F985" s="1">
        <v>28568</v>
      </c>
      <c r="G985" s="1">
        <v>0.71079999999999999</v>
      </c>
      <c r="H985" s="1">
        <v>0.85589999999999999</v>
      </c>
      <c r="I985" s="1">
        <v>0.20710000000000001</v>
      </c>
      <c r="J985" s="1">
        <v>57262</v>
      </c>
      <c r="K985" s="1">
        <v>21250</v>
      </c>
      <c r="L985" s="1">
        <v>10853</v>
      </c>
      <c r="M985" s="1">
        <v>19</v>
      </c>
      <c r="N985" s="1" t="s">
        <v>28</v>
      </c>
      <c r="O985" s="1" t="s">
        <v>29</v>
      </c>
      <c r="P985" s="1" t="s">
        <v>22</v>
      </c>
      <c r="Q985" s="1" t="s">
        <v>23</v>
      </c>
      <c r="R985">
        <v>0.29966074460400993</v>
      </c>
    </row>
    <row r="986" spans="1:18" x14ac:dyDescent="0.2">
      <c r="A986" s="1">
        <v>115755</v>
      </c>
      <c r="B986" s="1" t="s">
        <v>1057</v>
      </c>
      <c r="C986" s="1" t="s">
        <v>33</v>
      </c>
      <c r="D986" s="1">
        <v>0.98199999999999998</v>
      </c>
      <c r="E986" s="1">
        <v>5612</v>
      </c>
      <c r="F986" s="1">
        <v>20850</v>
      </c>
      <c r="G986" s="1">
        <v>0.48549999999999999</v>
      </c>
      <c r="H986" s="1">
        <v>0.75990000000000002</v>
      </c>
      <c r="I986" s="1">
        <v>0.42870000000000003</v>
      </c>
      <c r="J986" s="1">
        <v>47626</v>
      </c>
      <c r="K986" s="1">
        <v>18000</v>
      </c>
      <c r="L986" s="1">
        <v>11900</v>
      </c>
      <c r="M986" s="1">
        <v>16</v>
      </c>
      <c r="N986" s="1" t="s">
        <v>28</v>
      </c>
      <c r="O986" s="1" t="s">
        <v>42</v>
      </c>
      <c r="P986" s="1" t="s">
        <v>22</v>
      </c>
      <c r="Q986" s="1" t="s">
        <v>31</v>
      </c>
      <c r="R986">
        <v>0.29956346641961895</v>
      </c>
    </row>
    <row r="987" spans="1:18" x14ac:dyDescent="0.2">
      <c r="A987" s="1">
        <v>233426</v>
      </c>
      <c r="B987" s="1" t="s">
        <v>1058</v>
      </c>
      <c r="C987" s="1" t="s">
        <v>52</v>
      </c>
      <c r="D987" s="1">
        <v>0.8306</v>
      </c>
      <c r="E987" s="1">
        <v>1767</v>
      </c>
      <c r="F987" s="1">
        <v>38068</v>
      </c>
      <c r="G987" s="1">
        <v>0.67359999999999998</v>
      </c>
      <c r="H987" s="1">
        <v>0.7571</v>
      </c>
      <c r="I987" s="1">
        <v>0.24399999999999999</v>
      </c>
      <c r="J987" s="1">
        <v>58047</v>
      </c>
      <c r="K987" s="1">
        <v>27000</v>
      </c>
      <c r="L987" s="1">
        <v>7553</v>
      </c>
      <c r="M987" s="1">
        <v>11</v>
      </c>
      <c r="N987" s="1" t="s">
        <v>20</v>
      </c>
      <c r="O987" s="1" t="s">
        <v>21</v>
      </c>
      <c r="P987" s="1" t="s">
        <v>30</v>
      </c>
      <c r="Q987" s="1" t="s">
        <v>23</v>
      </c>
      <c r="R987">
        <v>0.29899311079224011</v>
      </c>
    </row>
    <row r="988" spans="1:18" x14ac:dyDescent="0.2">
      <c r="A988" s="1">
        <v>202073</v>
      </c>
      <c r="B988" s="1" t="s">
        <v>1059</v>
      </c>
      <c r="C988" s="1" t="s">
        <v>19</v>
      </c>
      <c r="D988" s="1">
        <v>0.47310000000000002</v>
      </c>
      <c r="E988" s="1">
        <v>159</v>
      </c>
      <c r="F988" s="1">
        <v>52880</v>
      </c>
      <c r="G988" s="1">
        <v>0.72130000000000005</v>
      </c>
      <c r="H988" s="1">
        <v>0.90239999999999998</v>
      </c>
      <c r="I988" s="1">
        <v>0.1371</v>
      </c>
      <c r="J988" s="1">
        <v>32641</v>
      </c>
      <c r="K988" s="1">
        <v>24968</v>
      </c>
      <c r="L988" s="1">
        <v>7572</v>
      </c>
      <c r="M988" s="1">
        <v>6</v>
      </c>
      <c r="N988" s="1" t="s">
        <v>20</v>
      </c>
      <c r="O988" s="1" t="s">
        <v>29</v>
      </c>
      <c r="P988" s="1" t="s">
        <v>22</v>
      </c>
      <c r="Q988" s="1" t="s">
        <v>31</v>
      </c>
      <c r="R988">
        <v>0.29751693316389571</v>
      </c>
    </row>
    <row r="989" spans="1:18" x14ac:dyDescent="0.2">
      <c r="A989" s="1">
        <v>436827</v>
      </c>
      <c r="B989" s="1" t="s">
        <v>1060</v>
      </c>
      <c r="C989" s="1" t="s">
        <v>147</v>
      </c>
      <c r="D989" s="1">
        <v>0.88180000000000003</v>
      </c>
      <c r="E989" s="1">
        <v>454</v>
      </c>
      <c r="F989" s="1">
        <v>40808</v>
      </c>
      <c r="G989" s="1">
        <v>0.61619999999999997</v>
      </c>
      <c r="H989" s="1">
        <v>0.70240000000000002</v>
      </c>
      <c r="I989" s="1">
        <v>0.38190000000000002</v>
      </c>
      <c r="J989" s="1">
        <v>73997</v>
      </c>
      <c r="K989" s="1">
        <v>21500</v>
      </c>
      <c r="L989" s="1">
        <v>17573</v>
      </c>
      <c r="M989" s="1">
        <v>13</v>
      </c>
      <c r="N989" s="1" t="s">
        <v>28</v>
      </c>
      <c r="O989" s="1" t="s">
        <v>21</v>
      </c>
      <c r="P989" s="1" t="s">
        <v>39</v>
      </c>
      <c r="Q989" s="1" t="s">
        <v>23</v>
      </c>
      <c r="R989">
        <v>0.29499520901713072</v>
      </c>
    </row>
    <row r="990" spans="1:18" x14ac:dyDescent="0.2">
      <c r="A990" s="1">
        <v>189097</v>
      </c>
      <c r="B990" s="1" t="s">
        <v>1061</v>
      </c>
      <c r="C990" s="1" t="s">
        <v>58</v>
      </c>
      <c r="D990" s="1">
        <v>8.8400000000000006E-2</v>
      </c>
      <c r="E990" s="1">
        <v>3264</v>
      </c>
      <c r="F990" s="1">
        <v>69888</v>
      </c>
      <c r="G990" s="1">
        <v>0.93020000000000003</v>
      </c>
      <c r="H990" s="1">
        <v>0.9657</v>
      </c>
      <c r="I990" s="1">
        <v>0.15859999999999999</v>
      </c>
      <c r="J990" s="1">
        <v>80516</v>
      </c>
      <c r="K990" s="1">
        <v>18000</v>
      </c>
      <c r="L990" s="1">
        <v>15995</v>
      </c>
      <c r="M990" s="1">
        <v>10</v>
      </c>
      <c r="N990" s="1" t="s">
        <v>20</v>
      </c>
      <c r="O990" s="1" t="s">
        <v>29</v>
      </c>
      <c r="P990" s="1" t="s">
        <v>39</v>
      </c>
      <c r="Q990" s="1" t="s">
        <v>23</v>
      </c>
      <c r="R990">
        <v>0.29459170355122843</v>
      </c>
    </row>
    <row r="991" spans="1:18" x14ac:dyDescent="0.2">
      <c r="A991" s="1">
        <v>133553</v>
      </c>
      <c r="B991" s="1" t="s">
        <v>1062</v>
      </c>
      <c r="C991" s="1" t="s">
        <v>27</v>
      </c>
      <c r="D991" s="1">
        <v>0.64810000000000001</v>
      </c>
      <c r="E991" s="1">
        <v>7860</v>
      </c>
      <c r="F991" s="1">
        <v>44249</v>
      </c>
      <c r="G991" s="1">
        <v>0.66549999999999998</v>
      </c>
      <c r="H991" s="1">
        <v>0.88060000000000005</v>
      </c>
      <c r="I991" s="1">
        <v>0.14779999999999999</v>
      </c>
      <c r="J991" s="1">
        <v>84131</v>
      </c>
      <c r="K991" s="1">
        <v>23666</v>
      </c>
      <c r="L991" s="1">
        <v>10966</v>
      </c>
      <c r="M991" s="1">
        <v>18</v>
      </c>
      <c r="N991" s="1" t="s">
        <v>20</v>
      </c>
      <c r="O991" s="1" t="s">
        <v>29</v>
      </c>
      <c r="P991" s="1" t="s">
        <v>30</v>
      </c>
      <c r="Q991" s="1" t="s">
        <v>23</v>
      </c>
      <c r="R991">
        <v>0.29380713223800803</v>
      </c>
    </row>
    <row r="992" spans="1:18" x14ac:dyDescent="0.2">
      <c r="A992" s="1">
        <v>166513</v>
      </c>
      <c r="B992" s="1" t="s">
        <v>1063</v>
      </c>
      <c r="C992" s="1" t="s">
        <v>129</v>
      </c>
      <c r="D992" s="1">
        <v>0.83040000000000003</v>
      </c>
      <c r="E992" s="1">
        <v>11434</v>
      </c>
      <c r="F992" s="1">
        <v>36264</v>
      </c>
      <c r="G992" s="1">
        <v>0.6482</v>
      </c>
      <c r="H992" s="1">
        <v>0.83989999999999998</v>
      </c>
      <c r="I992" s="1">
        <v>0.3</v>
      </c>
      <c r="J992" s="1">
        <v>64874</v>
      </c>
      <c r="K992" s="1">
        <v>23704</v>
      </c>
      <c r="L992" s="1">
        <v>14275</v>
      </c>
      <c r="M992" s="1">
        <v>17</v>
      </c>
      <c r="N992" s="1" t="s">
        <v>28</v>
      </c>
      <c r="O992" s="1" t="s">
        <v>21</v>
      </c>
      <c r="P992" s="1" t="s">
        <v>39</v>
      </c>
      <c r="Q992" s="1" t="s">
        <v>23</v>
      </c>
      <c r="R992">
        <v>0.29333562113181433</v>
      </c>
    </row>
    <row r="993" spans="1:18" x14ac:dyDescent="0.2">
      <c r="A993" s="1">
        <v>190594</v>
      </c>
      <c r="B993" s="1" t="s">
        <v>1064</v>
      </c>
      <c r="C993" s="1" t="s">
        <v>58</v>
      </c>
      <c r="D993" s="1">
        <v>0.53800000000000003</v>
      </c>
      <c r="E993" s="1">
        <v>16289</v>
      </c>
      <c r="F993" s="1">
        <v>15332</v>
      </c>
      <c r="G993" s="1">
        <v>0.56859999999999999</v>
      </c>
      <c r="H993" s="1">
        <v>0.77649999999999997</v>
      </c>
      <c r="I993" s="1">
        <v>0.55889999999999995</v>
      </c>
      <c r="J993" s="1">
        <v>63163</v>
      </c>
      <c r="K993" s="1">
        <v>11000</v>
      </c>
      <c r="L993" s="1">
        <v>12726</v>
      </c>
      <c r="M993" s="1">
        <v>14</v>
      </c>
      <c r="N993" s="1" t="s">
        <v>28</v>
      </c>
      <c r="O993" s="1" t="s">
        <v>29</v>
      </c>
      <c r="P993" s="1" t="s">
        <v>39</v>
      </c>
      <c r="Q993" s="1" t="s">
        <v>23</v>
      </c>
      <c r="R993">
        <v>0.29266922360021808</v>
      </c>
    </row>
    <row r="994" spans="1:18" x14ac:dyDescent="0.2">
      <c r="A994" s="1">
        <v>104151</v>
      </c>
      <c r="B994" s="1" t="s">
        <v>1065</v>
      </c>
      <c r="C994" s="1" t="s">
        <v>216</v>
      </c>
      <c r="D994" s="1">
        <v>0.89890000000000003</v>
      </c>
      <c r="E994" s="1">
        <v>64674</v>
      </c>
      <c r="F994" s="1">
        <v>33139</v>
      </c>
      <c r="G994" s="1">
        <v>0.6804</v>
      </c>
      <c r="H994" s="1">
        <v>0.86639999999999995</v>
      </c>
      <c r="I994" s="1">
        <v>0.28989999999999999</v>
      </c>
      <c r="J994" s="1">
        <v>62668</v>
      </c>
      <c r="K994" s="1">
        <v>19500</v>
      </c>
      <c r="L994" s="1">
        <v>12684</v>
      </c>
      <c r="M994" s="1">
        <v>18</v>
      </c>
      <c r="N994" s="1" t="s">
        <v>28</v>
      </c>
      <c r="O994" s="1" t="s">
        <v>29</v>
      </c>
      <c r="P994" s="1" t="s">
        <v>22</v>
      </c>
      <c r="Q994" s="1" t="s">
        <v>23</v>
      </c>
      <c r="R994">
        <v>0.29241180482095885</v>
      </c>
    </row>
    <row r="995" spans="1:18" x14ac:dyDescent="0.2">
      <c r="A995" s="1">
        <v>117627</v>
      </c>
      <c r="B995" s="1" t="s">
        <v>1066</v>
      </c>
      <c r="C995" s="1" t="s">
        <v>33</v>
      </c>
      <c r="D995" s="1">
        <v>0.91500000000000004</v>
      </c>
      <c r="E995" s="1">
        <v>1116</v>
      </c>
      <c r="F995" s="1">
        <v>37710</v>
      </c>
      <c r="G995" s="1">
        <v>0.59730000000000005</v>
      </c>
      <c r="H995" s="1">
        <v>0.77290000000000003</v>
      </c>
      <c r="I995" s="1">
        <v>0.47249999999999998</v>
      </c>
      <c r="J995" s="1">
        <v>61824</v>
      </c>
      <c r="K995" s="1">
        <v>27000</v>
      </c>
      <c r="L995" s="1">
        <v>8396</v>
      </c>
      <c r="M995" s="1">
        <v>12</v>
      </c>
      <c r="N995" s="1" t="s">
        <v>20</v>
      </c>
      <c r="O995" s="1" t="s">
        <v>29</v>
      </c>
      <c r="P995" s="1" t="s">
        <v>22</v>
      </c>
      <c r="Q995" s="1" t="s">
        <v>23</v>
      </c>
      <c r="R995">
        <v>0.29226903099523371</v>
      </c>
    </row>
    <row r="996" spans="1:18" x14ac:dyDescent="0.2">
      <c r="A996" s="1">
        <v>231712</v>
      </c>
      <c r="B996" s="1" t="s">
        <v>1067</v>
      </c>
      <c r="C996" s="1" t="s">
        <v>52</v>
      </c>
      <c r="D996" s="1">
        <v>0.86040000000000005</v>
      </c>
      <c r="E996" s="1">
        <v>4365</v>
      </c>
      <c r="F996" s="1">
        <v>31178</v>
      </c>
      <c r="G996" s="1">
        <v>0.71640000000000004</v>
      </c>
      <c r="H996" s="1">
        <v>0.81240000000000001</v>
      </c>
      <c r="I996" s="1">
        <v>0.1613</v>
      </c>
      <c r="J996" s="1">
        <v>60509</v>
      </c>
      <c r="K996" s="1">
        <v>25000</v>
      </c>
      <c r="L996" s="1">
        <v>10989</v>
      </c>
      <c r="M996" s="1">
        <v>13</v>
      </c>
      <c r="N996" s="1" t="s">
        <v>28</v>
      </c>
      <c r="O996" s="1" t="s">
        <v>29</v>
      </c>
      <c r="P996" s="1" t="s">
        <v>30</v>
      </c>
      <c r="Q996" s="1" t="s">
        <v>23</v>
      </c>
      <c r="R996">
        <v>0.29147338504899567</v>
      </c>
    </row>
    <row r="997" spans="1:18" x14ac:dyDescent="0.2">
      <c r="A997" s="1">
        <v>231174</v>
      </c>
      <c r="B997" s="1" t="s">
        <v>1068</v>
      </c>
      <c r="C997" s="1" t="s">
        <v>451</v>
      </c>
      <c r="D997" s="1">
        <v>0.65300000000000002</v>
      </c>
      <c r="E997" s="1">
        <v>11743</v>
      </c>
      <c r="F997" s="1">
        <v>45502</v>
      </c>
      <c r="G997" s="1">
        <v>0.78590000000000004</v>
      </c>
      <c r="H997" s="1">
        <v>0.89180000000000004</v>
      </c>
      <c r="I997" s="1">
        <v>0.13150000000000001</v>
      </c>
      <c r="J997" s="1">
        <v>62472</v>
      </c>
      <c r="K997" s="1">
        <v>20951</v>
      </c>
      <c r="L997" s="1">
        <v>10288</v>
      </c>
      <c r="M997" s="1">
        <v>17</v>
      </c>
      <c r="N997" s="1" t="s">
        <v>28</v>
      </c>
      <c r="O997" s="1" t="s">
        <v>29</v>
      </c>
      <c r="P997" s="1" t="s">
        <v>39</v>
      </c>
      <c r="Q997" s="1" t="s">
        <v>23</v>
      </c>
      <c r="R997">
        <v>0.29142352269613658</v>
      </c>
    </row>
    <row r="998" spans="1:18" x14ac:dyDescent="0.2">
      <c r="A998" s="1">
        <v>197027</v>
      </c>
      <c r="B998" s="1" t="s">
        <v>1069</v>
      </c>
      <c r="C998" s="1" t="s">
        <v>58</v>
      </c>
      <c r="D998" s="1">
        <v>0.34239999999999998</v>
      </c>
      <c r="E998" s="1">
        <v>962</v>
      </c>
      <c r="F998" s="1">
        <v>895</v>
      </c>
      <c r="G998" s="1">
        <v>0.82379999999999998</v>
      </c>
      <c r="H998" s="1">
        <v>0.84460000000000002</v>
      </c>
      <c r="I998" s="1">
        <v>7.8100000000000003E-2</v>
      </c>
      <c r="J998" s="1">
        <v>90610</v>
      </c>
      <c r="K998" s="1">
        <v>8833</v>
      </c>
      <c r="L998" s="1">
        <v>11875</v>
      </c>
      <c r="M998" s="1">
        <v>13</v>
      </c>
      <c r="N998" s="1" t="s">
        <v>28</v>
      </c>
      <c r="O998" s="1" t="s">
        <v>21</v>
      </c>
      <c r="P998" s="1" t="s">
        <v>39</v>
      </c>
      <c r="Q998" s="1" t="s">
        <v>23</v>
      </c>
      <c r="R998">
        <v>0.29036029251150153</v>
      </c>
    </row>
    <row r="999" spans="1:18" x14ac:dyDescent="0.2">
      <c r="A999" s="1">
        <v>168218</v>
      </c>
      <c r="B999" s="1" t="s">
        <v>1070</v>
      </c>
      <c r="C999" s="1" t="s">
        <v>129</v>
      </c>
      <c r="D999" s="1">
        <v>0.14050000000000001</v>
      </c>
      <c r="E999" s="1">
        <v>2300</v>
      </c>
      <c r="F999" s="1">
        <v>67176</v>
      </c>
      <c r="G999" s="1">
        <v>0.9153</v>
      </c>
      <c r="H999" s="1">
        <v>0.96499999999999997</v>
      </c>
      <c r="I999" s="1">
        <v>0.21129999999999999</v>
      </c>
      <c r="J999" s="1">
        <v>84803</v>
      </c>
      <c r="K999" s="1">
        <v>10000</v>
      </c>
      <c r="L999" s="1">
        <v>14120</v>
      </c>
      <c r="M999" s="1">
        <v>7</v>
      </c>
      <c r="N999" s="1" t="s">
        <v>20</v>
      </c>
      <c r="O999" s="1" t="s">
        <v>21</v>
      </c>
      <c r="P999" s="1" t="s">
        <v>39</v>
      </c>
      <c r="Q999" s="1" t="s">
        <v>23</v>
      </c>
      <c r="R999">
        <v>0.2884931543155006</v>
      </c>
    </row>
    <row r="1000" spans="1:18" x14ac:dyDescent="0.2">
      <c r="A1000" s="1">
        <v>151351</v>
      </c>
      <c r="B1000" s="1" t="s">
        <v>1071</v>
      </c>
      <c r="C1000" s="1" t="s">
        <v>102</v>
      </c>
      <c r="D1000" s="1">
        <v>0.78210000000000002</v>
      </c>
      <c r="E1000" s="1">
        <v>37806</v>
      </c>
      <c r="F1000" s="1">
        <v>41891</v>
      </c>
      <c r="G1000" s="1">
        <v>0.80210000000000004</v>
      </c>
      <c r="H1000" s="1">
        <v>0.91059999999999997</v>
      </c>
      <c r="I1000" s="1">
        <v>0.1676</v>
      </c>
      <c r="J1000" s="1">
        <v>63742</v>
      </c>
      <c r="K1000" s="1">
        <v>19509</v>
      </c>
      <c r="L1000" s="1">
        <v>12043</v>
      </c>
      <c r="M1000" s="1">
        <v>18</v>
      </c>
      <c r="N1000" s="1" t="s">
        <v>28</v>
      </c>
      <c r="O1000" s="1" t="s">
        <v>29</v>
      </c>
      <c r="P1000" s="1" t="s">
        <v>22</v>
      </c>
      <c r="Q1000" s="1" t="s">
        <v>23</v>
      </c>
      <c r="R1000">
        <v>0.28664389551882496</v>
      </c>
    </row>
    <row r="1001" spans="1:18" x14ac:dyDescent="0.2">
      <c r="A1001" s="1">
        <v>113582</v>
      </c>
      <c r="B1001" s="1" t="s">
        <v>1072</v>
      </c>
      <c r="C1001" s="1" t="s">
        <v>33</v>
      </c>
      <c r="D1001" s="1">
        <v>1</v>
      </c>
      <c r="E1001" s="1">
        <v>77</v>
      </c>
      <c r="F1001" s="1">
        <v>29300</v>
      </c>
      <c r="G1001" s="1">
        <v>0.8</v>
      </c>
      <c r="H1001" s="1">
        <v>0</v>
      </c>
      <c r="I1001" s="1">
        <v>0.51090000000000002</v>
      </c>
      <c r="J1001" s="1">
        <v>46920</v>
      </c>
      <c r="K1001" s="1">
        <v>36844</v>
      </c>
      <c r="L1001" s="1">
        <v>7708</v>
      </c>
      <c r="M1001" s="1">
        <v>8</v>
      </c>
      <c r="N1001" s="1" t="s">
        <v>142</v>
      </c>
      <c r="O1001" s="1" t="s">
        <v>29</v>
      </c>
      <c r="P1001" s="1" t="s">
        <v>22</v>
      </c>
      <c r="Q1001" s="1" t="s">
        <v>31</v>
      </c>
      <c r="R1001">
        <v>0.28654499799846289</v>
      </c>
    </row>
    <row r="1002" spans="1:18" x14ac:dyDescent="0.2">
      <c r="A1002" s="1">
        <v>238032</v>
      </c>
      <c r="B1002" s="1" t="s">
        <v>1073</v>
      </c>
      <c r="C1002" s="1" t="s">
        <v>255</v>
      </c>
      <c r="D1002" s="1">
        <v>0.89</v>
      </c>
      <c r="E1002" s="1">
        <v>17385</v>
      </c>
      <c r="F1002" s="1">
        <v>28608</v>
      </c>
      <c r="G1002" s="1">
        <v>0.64659999999999995</v>
      </c>
      <c r="H1002" s="1">
        <v>0.83430000000000004</v>
      </c>
      <c r="I1002" s="1">
        <v>0.2157</v>
      </c>
      <c r="J1002" s="1">
        <v>55939</v>
      </c>
      <c r="K1002" s="1">
        <v>22500</v>
      </c>
      <c r="L1002" s="1">
        <v>11832</v>
      </c>
      <c r="M1002" s="1">
        <v>19</v>
      </c>
      <c r="N1002" s="1" t="s">
        <v>28</v>
      </c>
      <c r="O1002" s="1" t="s">
        <v>29</v>
      </c>
      <c r="P1002" s="1" t="s">
        <v>30</v>
      </c>
      <c r="Q1002" s="1" t="s">
        <v>23</v>
      </c>
      <c r="R1002">
        <v>0.28602034287332412</v>
      </c>
    </row>
    <row r="1003" spans="1:18" x14ac:dyDescent="0.2">
      <c r="A1003" s="1">
        <v>142328</v>
      </c>
      <c r="B1003" s="1" t="s">
        <v>1074</v>
      </c>
      <c r="C1003" s="1" t="s">
        <v>407</v>
      </c>
      <c r="D1003" s="1">
        <v>0.87690000000000001</v>
      </c>
      <c r="E1003" s="1">
        <v>2385</v>
      </c>
      <c r="F1003" s="1">
        <v>22028</v>
      </c>
      <c r="G1003" s="1">
        <v>0.4017</v>
      </c>
      <c r="H1003" s="1">
        <v>0.61050000000000004</v>
      </c>
      <c r="I1003" s="1">
        <v>0.24279999999999999</v>
      </c>
      <c r="J1003" s="1">
        <v>46001</v>
      </c>
      <c r="K1003" s="1">
        <v>18500</v>
      </c>
      <c r="L1003" s="1">
        <v>7551</v>
      </c>
      <c r="M1003" s="1">
        <v>16</v>
      </c>
      <c r="N1003" s="1" t="s">
        <v>28</v>
      </c>
      <c r="O1003" s="1" t="s">
        <v>29</v>
      </c>
      <c r="P1003" s="1" t="s">
        <v>22</v>
      </c>
      <c r="Q1003" s="1" t="s">
        <v>31</v>
      </c>
      <c r="R1003">
        <v>0.2856401524752834</v>
      </c>
    </row>
    <row r="1004" spans="1:18" x14ac:dyDescent="0.2">
      <c r="A1004" s="1">
        <v>128771</v>
      </c>
      <c r="B1004" s="1" t="s">
        <v>1075</v>
      </c>
      <c r="C1004" s="1" t="s">
        <v>147</v>
      </c>
      <c r="D1004" s="1">
        <v>0.73329999999999995</v>
      </c>
      <c r="E1004" s="1">
        <v>7822</v>
      </c>
      <c r="F1004" s="1">
        <v>16550</v>
      </c>
      <c r="G1004" s="1">
        <v>0.4844</v>
      </c>
      <c r="H1004" s="1">
        <v>0.77110000000000001</v>
      </c>
      <c r="I1004" s="1">
        <v>0.3836</v>
      </c>
      <c r="J1004" s="1">
        <v>58562</v>
      </c>
      <c r="K1004" s="1">
        <v>22300</v>
      </c>
      <c r="L1004" s="1">
        <v>10902</v>
      </c>
      <c r="M1004" s="1">
        <v>14</v>
      </c>
      <c r="N1004" s="1" t="s">
        <v>28</v>
      </c>
      <c r="O1004" s="1" t="s">
        <v>21</v>
      </c>
      <c r="P1004" s="1" t="s">
        <v>39</v>
      </c>
      <c r="Q1004" s="1" t="s">
        <v>23</v>
      </c>
      <c r="R1004">
        <v>0.28447418167281036</v>
      </c>
    </row>
    <row r="1005" spans="1:18" x14ac:dyDescent="0.2">
      <c r="A1005" s="1">
        <v>152390</v>
      </c>
      <c r="B1005" s="1" t="s">
        <v>1076</v>
      </c>
      <c r="C1005" s="1" t="s">
        <v>102</v>
      </c>
      <c r="D1005" s="1">
        <v>0.75970000000000004</v>
      </c>
      <c r="E1005" s="1">
        <v>1458</v>
      </c>
      <c r="F1005" s="1">
        <v>53230</v>
      </c>
      <c r="G1005" s="1">
        <v>0.69330000000000003</v>
      </c>
      <c r="H1005" s="1">
        <v>0.88100000000000001</v>
      </c>
      <c r="I1005" s="1">
        <v>0.23880000000000001</v>
      </c>
      <c r="J1005" s="1">
        <v>59354</v>
      </c>
      <c r="K1005" s="1">
        <v>27000</v>
      </c>
      <c r="L1005" s="1">
        <v>7935</v>
      </c>
      <c r="M1005" s="1">
        <v>9</v>
      </c>
      <c r="N1005" s="1" t="s">
        <v>20</v>
      </c>
      <c r="O1005" s="1" t="s">
        <v>21</v>
      </c>
      <c r="P1005" s="1" t="s">
        <v>22</v>
      </c>
      <c r="Q1005" s="1" t="s">
        <v>23</v>
      </c>
      <c r="R1005">
        <v>0.28323600721358455</v>
      </c>
    </row>
    <row r="1006" spans="1:18" x14ac:dyDescent="0.2">
      <c r="A1006" s="1">
        <v>227429</v>
      </c>
      <c r="B1006" s="1" t="s">
        <v>1077</v>
      </c>
      <c r="C1006" s="1" t="s">
        <v>36</v>
      </c>
      <c r="D1006" s="1">
        <v>0.40279999999999999</v>
      </c>
      <c r="E1006" s="1">
        <v>620</v>
      </c>
      <c r="F1006" s="1">
        <v>13498</v>
      </c>
      <c r="G1006" s="1">
        <v>0.26869999999999999</v>
      </c>
      <c r="H1006" s="1">
        <v>0.48980000000000001</v>
      </c>
      <c r="I1006" s="1">
        <v>0.67279999999999995</v>
      </c>
      <c r="J1006" s="1">
        <v>29288</v>
      </c>
      <c r="K1006" s="1">
        <v>23373</v>
      </c>
      <c r="L1006" s="1">
        <v>6785</v>
      </c>
      <c r="M1006" s="1">
        <v>20</v>
      </c>
      <c r="N1006" s="1" t="s">
        <v>20</v>
      </c>
      <c r="O1006" s="1" t="s">
        <v>29</v>
      </c>
      <c r="P1006" s="1" t="s">
        <v>30</v>
      </c>
      <c r="Q1006" s="1" t="s">
        <v>31</v>
      </c>
      <c r="R1006">
        <v>0.28248869270374777</v>
      </c>
    </row>
    <row r="1007" spans="1:18" x14ac:dyDescent="0.2">
      <c r="A1007" s="1">
        <v>224226</v>
      </c>
      <c r="B1007" s="1" t="s">
        <v>1078</v>
      </c>
      <c r="C1007" s="1" t="s">
        <v>36</v>
      </c>
      <c r="D1007" s="1">
        <v>0.88839999999999997</v>
      </c>
      <c r="E1007" s="1">
        <v>2403</v>
      </c>
      <c r="F1007" s="1">
        <v>40190</v>
      </c>
      <c r="G1007" s="1">
        <v>0.57010000000000005</v>
      </c>
      <c r="H1007" s="1">
        <v>0.64370000000000005</v>
      </c>
      <c r="I1007" s="1">
        <v>0.23050000000000001</v>
      </c>
      <c r="J1007" s="1">
        <v>56807</v>
      </c>
      <c r="K1007" s="1">
        <v>21591</v>
      </c>
      <c r="L1007" s="1">
        <v>8487</v>
      </c>
      <c r="M1007" s="1">
        <v>16</v>
      </c>
      <c r="N1007" s="1" t="s">
        <v>20</v>
      </c>
      <c r="O1007" s="1" t="s">
        <v>29</v>
      </c>
      <c r="P1007" s="1" t="s">
        <v>30</v>
      </c>
      <c r="Q1007" s="1" t="s">
        <v>23</v>
      </c>
      <c r="R1007">
        <v>0.28213430307590159</v>
      </c>
    </row>
    <row r="1008" spans="1:18" x14ac:dyDescent="0.2">
      <c r="A1008" s="1">
        <v>202763</v>
      </c>
      <c r="B1008" s="1" t="s">
        <v>1079</v>
      </c>
      <c r="C1008" s="1" t="s">
        <v>19</v>
      </c>
      <c r="D1008" s="1">
        <v>0.8337</v>
      </c>
      <c r="E1008" s="1">
        <v>2223</v>
      </c>
      <c r="F1008" s="1">
        <v>41164</v>
      </c>
      <c r="G1008" s="1">
        <v>0.5786</v>
      </c>
      <c r="H1008" s="1">
        <v>0.73740000000000006</v>
      </c>
      <c r="I1008" s="1">
        <v>0.1469</v>
      </c>
      <c r="J1008" s="1">
        <v>56996</v>
      </c>
      <c r="K1008" s="1">
        <v>25439</v>
      </c>
      <c r="L1008" s="1">
        <v>7542</v>
      </c>
      <c r="M1008" s="1">
        <v>12</v>
      </c>
      <c r="N1008" s="1" t="s">
        <v>20</v>
      </c>
      <c r="O1008" s="1" t="s">
        <v>42</v>
      </c>
      <c r="P1008" s="1" t="s">
        <v>22</v>
      </c>
      <c r="Q1008" s="1" t="s">
        <v>23</v>
      </c>
      <c r="R1008">
        <v>0.28073794052130019</v>
      </c>
    </row>
    <row r="1009" spans="1:18" x14ac:dyDescent="0.2">
      <c r="A1009" s="1">
        <v>182634</v>
      </c>
      <c r="B1009" s="1" t="s">
        <v>1080</v>
      </c>
      <c r="C1009" s="1" t="s">
        <v>38</v>
      </c>
      <c r="D1009" s="1">
        <v>0.80079999999999996</v>
      </c>
      <c r="E1009" s="1">
        <v>771</v>
      </c>
      <c r="F1009" s="1">
        <v>19125</v>
      </c>
      <c r="G1009" s="1">
        <v>0.57450000000000001</v>
      </c>
      <c r="H1009" s="1">
        <v>0.76739999999999997</v>
      </c>
      <c r="I1009" s="1">
        <v>0.2278</v>
      </c>
      <c r="J1009" s="1">
        <v>46474</v>
      </c>
      <c r="K1009" s="1">
        <v>27000</v>
      </c>
      <c r="L1009" s="1">
        <v>7194</v>
      </c>
      <c r="M1009" s="1">
        <v>10</v>
      </c>
      <c r="N1009" s="1" t="s">
        <v>20</v>
      </c>
      <c r="O1009" s="1" t="s">
        <v>42</v>
      </c>
      <c r="P1009" s="1" t="s">
        <v>39</v>
      </c>
      <c r="Q1009" s="1" t="s">
        <v>31</v>
      </c>
      <c r="R1009">
        <v>0.28057575982799154</v>
      </c>
    </row>
    <row r="1010" spans="1:18" x14ac:dyDescent="0.2">
      <c r="A1010" s="1">
        <v>229063</v>
      </c>
      <c r="B1010" s="1" t="s">
        <v>1081</v>
      </c>
      <c r="C1010" s="1" t="s">
        <v>36</v>
      </c>
      <c r="D1010" s="1">
        <v>0.96909999999999996</v>
      </c>
      <c r="E1010" s="1">
        <v>6844</v>
      </c>
      <c r="F1010" s="1">
        <v>21473</v>
      </c>
      <c r="G1010" s="1">
        <v>0.22159999999999999</v>
      </c>
      <c r="H1010" s="1">
        <v>0.66210000000000002</v>
      </c>
      <c r="I1010" s="1">
        <v>0.72260000000000002</v>
      </c>
      <c r="J1010" s="1">
        <v>38924</v>
      </c>
      <c r="K1010" s="1">
        <v>29000</v>
      </c>
      <c r="L1010" s="1">
        <v>8730</v>
      </c>
      <c r="M1010" s="1">
        <v>19</v>
      </c>
      <c r="N1010" s="1" t="s">
        <v>28</v>
      </c>
      <c r="O1010" s="1" t="s">
        <v>29</v>
      </c>
      <c r="P1010" s="1" t="s">
        <v>30</v>
      </c>
      <c r="Q1010" s="1" t="s">
        <v>31</v>
      </c>
      <c r="R1010">
        <v>0.28007856614951754</v>
      </c>
    </row>
    <row r="1011" spans="1:18" x14ac:dyDescent="0.2">
      <c r="A1011" s="1">
        <v>148496</v>
      </c>
      <c r="B1011" s="1" t="s">
        <v>1082</v>
      </c>
      <c r="C1011" s="1" t="s">
        <v>25</v>
      </c>
      <c r="D1011" s="1">
        <v>0.9032</v>
      </c>
      <c r="E1011" s="1">
        <v>2561</v>
      </c>
      <c r="F1011" s="1">
        <v>38978</v>
      </c>
      <c r="G1011" s="1">
        <v>0.55259999999999998</v>
      </c>
      <c r="H1011" s="1">
        <v>0.77929999999999999</v>
      </c>
      <c r="I1011" s="1">
        <v>0.51519999999999999</v>
      </c>
      <c r="J1011" s="1">
        <v>60327</v>
      </c>
      <c r="K1011" s="1">
        <v>24411</v>
      </c>
      <c r="L1011" s="1">
        <v>8029</v>
      </c>
      <c r="M1011" s="1">
        <v>12</v>
      </c>
      <c r="N1011" s="1" t="s">
        <v>20</v>
      </c>
      <c r="O1011" s="1" t="s">
        <v>21</v>
      </c>
      <c r="P1011" s="1" t="s">
        <v>22</v>
      </c>
      <c r="Q1011" s="1" t="s">
        <v>23</v>
      </c>
      <c r="R1011">
        <v>0.27987641292257281</v>
      </c>
    </row>
    <row r="1012" spans="1:18" x14ac:dyDescent="0.2">
      <c r="A1012" s="1">
        <v>156213</v>
      </c>
      <c r="B1012" s="1" t="s">
        <v>1083</v>
      </c>
      <c r="C1012" s="1" t="s">
        <v>104</v>
      </c>
      <c r="D1012" s="1">
        <v>0.63400000000000001</v>
      </c>
      <c r="E1012" s="1">
        <v>1420</v>
      </c>
      <c r="F1012" s="1">
        <v>33640</v>
      </c>
      <c r="G1012" s="1">
        <v>0.64980000000000004</v>
      </c>
      <c r="H1012" s="1">
        <v>0.83330000000000004</v>
      </c>
      <c r="I1012" s="1">
        <v>0.2767</v>
      </c>
      <c r="J1012" s="1">
        <v>42368</v>
      </c>
      <c r="K1012" s="1">
        <v>24028</v>
      </c>
      <c r="L1012" s="1">
        <v>7374</v>
      </c>
      <c r="M1012" s="1">
        <v>13</v>
      </c>
      <c r="N1012" s="1" t="s">
        <v>20</v>
      </c>
      <c r="O1012" s="1" t="s">
        <v>42</v>
      </c>
      <c r="P1012" s="1" t="s">
        <v>30</v>
      </c>
      <c r="Q1012" s="1" t="s">
        <v>31</v>
      </c>
      <c r="R1012">
        <v>0.27962803146168258</v>
      </c>
    </row>
    <row r="1013" spans="1:18" x14ac:dyDescent="0.2">
      <c r="A1013" s="1">
        <v>204194</v>
      </c>
      <c r="B1013" s="1" t="s">
        <v>1084</v>
      </c>
      <c r="C1013" s="1" t="s">
        <v>19</v>
      </c>
      <c r="D1013" s="1">
        <v>0.84150000000000003</v>
      </c>
      <c r="E1013" s="1">
        <v>1358</v>
      </c>
      <c r="F1013" s="1">
        <v>37158</v>
      </c>
      <c r="G1013" s="1">
        <v>0.68110000000000004</v>
      </c>
      <c r="H1013" s="1">
        <v>0.79410000000000003</v>
      </c>
      <c r="I1013" s="1">
        <v>0.3029</v>
      </c>
      <c r="J1013" s="1">
        <v>49555</v>
      </c>
      <c r="K1013" s="1">
        <v>25000</v>
      </c>
      <c r="L1013" s="1">
        <v>5687</v>
      </c>
      <c r="M1013" s="1">
        <v>13</v>
      </c>
      <c r="N1013" s="1" t="s">
        <v>20</v>
      </c>
      <c r="O1013" s="1" t="s">
        <v>42</v>
      </c>
      <c r="P1013" s="1" t="s">
        <v>22</v>
      </c>
      <c r="Q1013" s="1" t="s">
        <v>31</v>
      </c>
      <c r="R1013">
        <v>0.27797526300916775</v>
      </c>
    </row>
    <row r="1014" spans="1:18" x14ac:dyDescent="0.2">
      <c r="A1014" s="1">
        <v>110361</v>
      </c>
      <c r="B1014" s="1" t="s">
        <v>1085</v>
      </c>
      <c r="C1014" s="1" t="s">
        <v>33</v>
      </c>
      <c r="D1014" s="1">
        <v>0.8488</v>
      </c>
      <c r="E1014" s="1">
        <v>8179</v>
      </c>
      <c r="F1014" s="1">
        <v>41228</v>
      </c>
      <c r="G1014" s="1">
        <v>0.61880000000000002</v>
      </c>
      <c r="H1014" s="1">
        <v>0.74360000000000004</v>
      </c>
      <c r="I1014" s="1">
        <v>0.42059999999999997</v>
      </c>
      <c r="J1014" s="1">
        <v>61504</v>
      </c>
      <c r="K1014" s="1">
        <v>26063</v>
      </c>
      <c r="L1014" s="1">
        <v>10941</v>
      </c>
      <c r="M1014" s="1">
        <v>21</v>
      </c>
      <c r="N1014" s="1" t="s">
        <v>20</v>
      </c>
      <c r="O1014" s="1" t="s">
        <v>29</v>
      </c>
      <c r="P1014" s="1" t="s">
        <v>22</v>
      </c>
      <c r="Q1014" s="1" t="s">
        <v>23</v>
      </c>
      <c r="R1014">
        <v>0.27728355827127982</v>
      </c>
    </row>
    <row r="1015" spans="1:18" x14ac:dyDescent="0.2">
      <c r="A1015" s="1">
        <v>184603</v>
      </c>
      <c r="B1015" s="1" t="s">
        <v>1086</v>
      </c>
      <c r="C1015" s="1" t="s">
        <v>66</v>
      </c>
      <c r="D1015" s="1">
        <v>0.90710000000000002</v>
      </c>
      <c r="E1015" s="1">
        <v>2627</v>
      </c>
      <c r="F1015" s="1">
        <v>38004</v>
      </c>
      <c r="G1015" s="1">
        <v>0.53320000000000001</v>
      </c>
      <c r="H1015" s="1">
        <v>0.76980000000000004</v>
      </c>
      <c r="I1015" s="1">
        <v>0.2195</v>
      </c>
      <c r="J1015" s="1">
        <v>57273</v>
      </c>
      <c r="K1015" s="1">
        <v>25000</v>
      </c>
      <c r="L1015" s="1">
        <v>9579</v>
      </c>
      <c r="M1015" s="1">
        <v>14</v>
      </c>
      <c r="N1015" s="1" t="s">
        <v>20</v>
      </c>
      <c r="O1015" s="1" t="s">
        <v>21</v>
      </c>
      <c r="P1015" s="1" t="s">
        <v>39</v>
      </c>
      <c r="Q1015" s="1" t="s">
        <v>23</v>
      </c>
      <c r="R1015">
        <v>0.2767887012997895</v>
      </c>
    </row>
    <row r="1016" spans="1:18" x14ac:dyDescent="0.2">
      <c r="A1016" s="1">
        <v>240471</v>
      </c>
      <c r="B1016" s="1" t="s">
        <v>1087</v>
      </c>
      <c r="C1016" s="1" t="s">
        <v>50</v>
      </c>
      <c r="D1016" s="1">
        <v>0.81720000000000004</v>
      </c>
      <c r="E1016" s="1">
        <v>4205</v>
      </c>
      <c r="F1016" s="1">
        <v>17470</v>
      </c>
      <c r="G1016" s="1">
        <v>0.56999999999999995</v>
      </c>
      <c r="H1016" s="1">
        <v>0.76449999999999996</v>
      </c>
      <c r="I1016" s="1">
        <v>0.20830000000000001</v>
      </c>
      <c r="J1016" s="1">
        <v>54458</v>
      </c>
      <c r="K1016" s="1">
        <v>20500</v>
      </c>
      <c r="L1016" s="1">
        <v>8788</v>
      </c>
      <c r="M1016" s="1">
        <v>19</v>
      </c>
      <c r="N1016" s="1" t="s">
        <v>28</v>
      </c>
      <c r="O1016" s="1" t="s">
        <v>42</v>
      </c>
      <c r="P1016" s="1" t="s">
        <v>22</v>
      </c>
      <c r="Q1016" s="1" t="s">
        <v>23</v>
      </c>
      <c r="R1016">
        <v>0.27602439868042228</v>
      </c>
    </row>
    <row r="1017" spans="1:18" x14ac:dyDescent="0.2">
      <c r="A1017" s="1">
        <v>215929</v>
      </c>
      <c r="B1017" s="1" t="s">
        <v>1088</v>
      </c>
      <c r="C1017" s="1" t="s">
        <v>98</v>
      </c>
      <c r="D1017" s="1">
        <v>0.81230000000000002</v>
      </c>
      <c r="E1017" s="1">
        <v>3554</v>
      </c>
      <c r="F1017" s="1">
        <v>53983</v>
      </c>
      <c r="G1017" s="1">
        <v>0.79790000000000005</v>
      </c>
      <c r="H1017" s="1">
        <v>0.8538</v>
      </c>
      <c r="I1017" s="1">
        <v>0.24060000000000001</v>
      </c>
      <c r="J1017" s="1">
        <v>74652</v>
      </c>
      <c r="K1017" s="1">
        <v>27000</v>
      </c>
      <c r="L1017" s="1">
        <v>11510</v>
      </c>
      <c r="M1017" s="1">
        <v>11</v>
      </c>
      <c r="N1017" s="1" t="s">
        <v>20</v>
      </c>
      <c r="O1017" s="1" t="s">
        <v>29</v>
      </c>
      <c r="P1017" s="1" t="s">
        <v>39</v>
      </c>
      <c r="Q1017" s="1" t="s">
        <v>23</v>
      </c>
      <c r="R1017">
        <v>0.27564640343871749</v>
      </c>
    </row>
    <row r="1018" spans="1:18" x14ac:dyDescent="0.2">
      <c r="A1018" s="1">
        <v>169442</v>
      </c>
      <c r="B1018" s="1" t="s">
        <v>1089</v>
      </c>
      <c r="C1018" s="1" t="s">
        <v>109</v>
      </c>
      <c r="D1018" s="1">
        <v>0.9194</v>
      </c>
      <c r="E1018" s="1">
        <v>1230</v>
      </c>
      <c r="F1018" s="1">
        <v>53350</v>
      </c>
      <c r="G1018" s="1">
        <v>0.70609999999999995</v>
      </c>
      <c r="H1018" s="1">
        <v>0.82169999999999999</v>
      </c>
      <c r="I1018" s="1">
        <v>0.30020000000000002</v>
      </c>
      <c r="J1018" s="1">
        <v>44860</v>
      </c>
      <c r="K1018" s="1">
        <v>26000</v>
      </c>
      <c r="L1018" s="1">
        <v>10972</v>
      </c>
      <c r="M1018" s="1">
        <v>10</v>
      </c>
      <c r="N1018" s="1" t="s">
        <v>20</v>
      </c>
      <c r="O1018" s="1" t="s">
        <v>29</v>
      </c>
      <c r="P1018" s="1" t="s">
        <v>22</v>
      </c>
      <c r="Q1018" s="1" t="s">
        <v>31</v>
      </c>
      <c r="R1018">
        <v>0.27546914254035548</v>
      </c>
    </row>
    <row r="1019" spans="1:18" x14ac:dyDescent="0.2">
      <c r="A1019" s="1">
        <v>162928</v>
      </c>
      <c r="B1019" s="1" t="s">
        <v>1090</v>
      </c>
      <c r="C1019" s="1" t="s">
        <v>61</v>
      </c>
      <c r="D1019" s="1">
        <v>6.4399999999999999E-2</v>
      </c>
      <c r="E1019" s="1">
        <v>5693</v>
      </c>
      <c r="F1019" s="1">
        <v>65230</v>
      </c>
      <c r="G1019" s="1">
        <v>0.93779999999999997</v>
      </c>
      <c r="H1019" s="1">
        <v>0.98089999999999999</v>
      </c>
      <c r="I1019" s="1">
        <v>0.19489999999999999</v>
      </c>
      <c r="J1019" s="1">
        <v>87555</v>
      </c>
      <c r="K1019" s="1">
        <v>10250</v>
      </c>
      <c r="L1019" s="1">
        <v>18971</v>
      </c>
      <c r="M1019" s="1">
        <v>6</v>
      </c>
      <c r="N1019" s="1" t="s">
        <v>20</v>
      </c>
      <c r="O1019" s="1" t="s">
        <v>29</v>
      </c>
      <c r="P1019" s="1" t="s">
        <v>30</v>
      </c>
      <c r="Q1019" s="1" t="s">
        <v>23</v>
      </c>
      <c r="R1019">
        <v>0.27515229709159406</v>
      </c>
    </row>
    <row r="1020" spans="1:18" x14ac:dyDescent="0.2">
      <c r="A1020" s="1">
        <v>426314</v>
      </c>
      <c r="B1020" s="1" t="s">
        <v>1091</v>
      </c>
      <c r="C1020" s="1" t="s">
        <v>27</v>
      </c>
      <c r="D1020" s="1">
        <v>0.57909999999999995</v>
      </c>
      <c r="E1020" s="1">
        <v>9139</v>
      </c>
      <c r="F1020" s="1">
        <v>12097</v>
      </c>
      <c r="G1020" s="1">
        <v>0.20549999999999999</v>
      </c>
      <c r="H1020" s="1">
        <v>0.60289999999999999</v>
      </c>
      <c r="I1020" s="1">
        <v>0.25509999999999999</v>
      </c>
      <c r="J1020" s="1">
        <v>84131</v>
      </c>
      <c r="K1020" s="1">
        <v>23666</v>
      </c>
      <c r="L1020" s="1">
        <v>9064</v>
      </c>
      <c r="M1020" s="1">
        <v>23</v>
      </c>
      <c r="N1020" s="1" t="s">
        <v>20</v>
      </c>
      <c r="O1020" s="1" t="s">
        <v>29</v>
      </c>
      <c r="P1020" s="1" t="s">
        <v>30</v>
      </c>
      <c r="Q1020" s="1" t="s">
        <v>23</v>
      </c>
      <c r="R1020">
        <v>0.27484954182097787</v>
      </c>
    </row>
    <row r="1021" spans="1:18" x14ac:dyDescent="0.2">
      <c r="A1021" s="1">
        <v>174862</v>
      </c>
      <c r="B1021" s="1" t="s">
        <v>1092</v>
      </c>
      <c r="C1021" s="1" t="s">
        <v>54</v>
      </c>
      <c r="D1021" s="1">
        <v>0.2278</v>
      </c>
      <c r="E1021" s="1">
        <v>796</v>
      </c>
      <c r="F1021" s="1">
        <v>31410</v>
      </c>
      <c r="G1021" s="1">
        <v>0.45390000000000003</v>
      </c>
      <c r="H1021" s="1">
        <v>0.69840000000000002</v>
      </c>
      <c r="I1021" s="1">
        <v>0.24440000000000001</v>
      </c>
      <c r="J1021" s="1">
        <v>48057</v>
      </c>
      <c r="K1021" s="1">
        <v>22500</v>
      </c>
      <c r="L1021" s="1">
        <v>5375</v>
      </c>
      <c r="M1021" s="1">
        <v>15</v>
      </c>
      <c r="N1021" s="1" t="s">
        <v>20</v>
      </c>
      <c r="O1021" s="1" t="s">
        <v>42</v>
      </c>
      <c r="P1021" s="1" t="s">
        <v>22</v>
      </c>
      <c r="Q1021" s="1" t="s">
        <v>31</v>
      </c>
      <c r="R1021">
        <v>0.27452680451860734</v>
      </c>
    </row>
    <row r="1022" spans="1:18" x14ac:dyDescent="0.2">
      <c r="A1022" s="1">
        <v>132471</v>
      </c>
      <c r="B1022" s="1" t="s">
        <v>1093</v>
      </c>
      <c r="C1022" s="1" t="s">
        <v>27</v>
      </c>
      <c r="D1022" s="1">
        <v>0.77239999999999998</v>
      </c>
      <c r="E1022" s="1">
        <v>2212</v>
      </c>
      <c r="F1022" s="1">
        <v>34350</v>
      </c>
      <c r="G1022" s="1">
        <v>0.37869999999999998</v>
      </c>
      <c r="H1022" s="1">
        <v>0.63370000000000004</v>
      </c>
      <c r="I1022" s="1">
        <v>0.39079999999999998</v>
      </c>
      <c r="J1022" s="1">
        <v>55966</v>
      </c>
      <c r="K1022" s="1">
        <v>26997</v>
      </c>
      <c r="L1022" s="1">
        <v>8861</v>
      </c>
      <c r="M1022" s="1">
        <v>7</v>
      </c>
      <c r="N1022" s="1" t="s">
        <v>20</v>
      </c>
      <c r="O1022" s="1" t="s">
        <v>21</v>
      </c>
      <c r="P1022" s="1" t="s">
        <v>30</v>
      </c>
      <c r="Q1022" s="1" t="s">
        <v>23</v>
      </c>
      <c r="R1022">
        <v>0.27386918319296594</v>
      </c>
    </row>
    <row r="1023" spans="1:18" x14ac:dyDescent="0.2">
      <c r="A1023" s="1">
        <v>121345</v>
      </c>
      <c r="B1023" s="1" t="s">
        <v>1094</v>
      </c>
      <c r="C1023" s="1" t="s">
        <v>33</v>
      </c>
      <c r="D1023" s="1">
        <v>7.0900000000000005E-2</v>
      </c>
      <c r="E1023" s="1">
        <v>1666</v>
      </c>
      <c r="F1023" s="1">
        <v>65420</v>
      </c>
      <c r="G1023" s="1">
        <v>0.93200000000000005</v>
      </c>
      <c r="H1023" s="1">
        <v>0.97550000000000003</v>
      </c>
      <c r="I1023" s="1">
        <v>0.1953</v>
      </c>
      <c r="J1023" s="1">
        <v>77779</v>
      </c>
      <c r="K1023" s="1">
        <v>11782</v>
      </c>
      <c r="L1023" s="1">
        <v>15085</v>
      </c>
      <c r="M1023" s="1">
        <v>7</v>
      </c>
      <c r="N1023" s="1" t="s">
        <v>20</v>
      </c>
      <c r="O1023" s="1" t="s">
        <v>21</v>
      </c>
      <c r="P1023" s="1" t="s">
        <v>22</v>
      </c>
      <c r="Q1023" s="1" t="s">
        <v>23</v>
      </c>
      <c r="R1023">
        <v>0.27293222591351696</v>
      </c>
    </row>
    <row r="1024" spans="1:18" x14ac:dyDescent="0.2">
      <c r="A1024" s="1">
        <v>236577</v>
      </c>
      <c r="B1024" s="1" t="s">
        <v>1095</v>
      </c>
      <c r="C1024" s="1" t="s">
        <v>171</v>
      </c>
      <c r="D1024" s="1">
        <v>0.83399999999999996</v>
      </c>
      <c r="E1024" s="1">
        <v>1762</v>
      </c>
      <c r="F1024" s="1">
        <v>40407</v>
      </c>
      <c r="G1024" s="1">
        <v>0.61950000000000005</v>
      </c>
      <c r="H1024" s="1">
        <v>0.72370000000000001</v>
      </c>
      <c r="I1024" s="1">
        <v>0.35339999999999999</v>
      </c>
      <c r="J1024" s="1">
        <v>64506</v>
      </c>
      <c r="K1024" s="1">
        <v>24000</v>
      </c>
      <c r="L1024" s="1">
        <v>9581</v>
      </c>
      <c r="M1024" s="1">
        <v>13</v>
      </c>
      <c r="N1024" s="1" t="s">
        <v>20</v>
      </c>
      <c r="O1024" s="1" t="s">
        <v>29</v>
      </c>
      <c r="P1024" s="1" t="s">
        <v>22</v>
      </c>
      <c r="Q1024" s="1" t="s">
        <v>23</v>
      </c>
      <c r="R1024">
        <v>0.27220312193076379</v>
      </c>
    </row>
    <row r="1025" spans="1:18" x14ac:dyDescent="0.2">
      <c r="A1025" s="1">
        <v>147244</v>
      </c>
      <c r="B1025" s="1" t="s">
        <v>1096</v>
      </c>
      <c r="C1025" s="1" t="s">
        <v>25</v>
      </c>
      <c r="D1025" s="1">
        <v>0.66679999999999995</v>
      </c>
      <c r="E1025" s="1">
        <v>1382</v>
      </c>
      <c r="F1025" s="1">
        <v>26892</v>
      </c>
      <c r="G1025" s="1">
        <v>0.5494</v>
      </c>
      <c r="H1025" s="1">
        <v>0.75</v>
      </c>
      <c r="I1025" s="1">
        <v>0.37569999999999998</v>
      </c>
      <c r="J1025" s="1">
        <v>51262</v>
      </c>
      <c r="K1025" s="1">
        <v>27000</v>
      </c>
      <c r="L1025" s="1">
        <v>6557</v>
      </c>
      <c r="M1025" s="1">
        <v>10</v>
      </c>
      <c r="N1025" s="1" t="s">
        <v>20</v>
      </c>
      <c r="O1025" s="1" t="s">
        <v>29</v>
      </c>
      <c r="P1025" s="1" t="s">
        <v>22</v>
      </c>
      <c r="Q1025" s="1" t="s">
        <v>23</v>
      </c>
      <c r="R1025">
        <v>0.27190237481555779</v>
      </c>
    </row>
    <row r="1026" spans="1:18" x14ac:dyDescent="0.2">
      <c r="A1026" s="1">
        <v>218441</v>
      </c>
      <c r="B1026" s="1" t="s">
        <v>1097</v>
      </c>
      <c r="C1026" s="1" t="s">
        <v>155</v>
      </c>
      <c r="D1026" s="1">
        <v>0.66669999999999996</v>
      </c>
      <c r="E1026" s="1">
        <v>1819</v>
      </c>
      <c r="F1026" s="1">
        <v>25800</v>
      </c>
      <c r="G1026" s="1">
        <v>0.54530000000000001</v>
      </c>
      <c r="H1026" s="1">
        <v>0.72489999999999999</v>
      </c>
      <c r="I1026" s="1">
        <v>0.33350000000000002</v>
      </c>
      <c r="J1026" s="1">
        <v>43035</v>
      </c>
      <c r="K1026" s="1">
        <v>23082</v>
      </c>
      <c r="L1026" s="1">
        <v>6276</v>
      </c>
      <c r="M1026" s="1">
        <v>13</v>
      </c>
      <c r="N1026" s="1" t="s">
        <v>20</v>
      </c>
      <c r="O1026" s="1" t="s">
        <v>42</v>
      </c>
      <c r="P1026" s="1" t="s">
        <v>30</v>
      </c>
      <c r="Q1026" s="1" t="s">
        <v>31</v>
      </c>
      <c r="R1026">
        <v>0.27082313824942572</v>
      </c>
    </row>
    <row r="1027" spans="1:18" x14ac:dyDescent="0.2">
      <c r="A1027" s="1">
        <v>235316</v>
      </c>
      <c r="B1027" s="1" t="s">
        <v>1098</v>
      </c>
      <c r="C1027" s="1" t="s">
        <v>171</v>
      </c>
      <c r="D1027" s="1">
        <v>0.81689999999999996</v>
      </c>
      <c r="E1027" s="1">
        <v>5198</v>
      </c>
      <c r="F1027" s="1">
        <v>55480</v>
      </c>
      <c r="G1027" s="1">
        <v>0.8629</v>
      </c>
      <c r="H1027" s="1">
        <v>0.92900000000000005</v>
      </c>
      <c r="I1027" s="1">
        <v>0.14410000000000001</v>
      </c>
      <c r="J1027" s="1">
        <v>78892</v>
      </c>
      <c r="K1027" s="1">
        <v>24454</v>
      </c>
      <c r="L1027" s="1">
        <v>11036</v>
      </c>
      <c r="M1027" s="1">
        <v>12</v>
      </c>
      <c r="N1027" s="1" t="s">
        <v>20</v>
      </c>
      <c r="O1027" s="1" t="s">
        <v>29</v>
      </c>
      <c r="P1027" s="1" t="s">
        <v>22</v>
      </c>
      <c r="Q1027" s="1" t="s">
        <v>23</v>
      </c>
      <c r="R1027">
        <v>0.27007643656665237</v>
      </c>
    </row>
    <row r="1028" spans="1:18" x14ac:dyDescent="0.2">
      <c r="A1028" s="1">
        <v>157951</v>
      </c>
      <c r="B1028" s="1" t="s">
        <v>1099</v>
      </c>
      <c r="C1028" s="1" t="s">
        <v>104</v>
      </c>
      <c r="D1028" s="1">
        <v>0.93869999999999998</v>
      </c>
      <c r="E1028" s="1">
        <v>12155</v>
      </c>
      <c r="F1028" s="1">
        <v>27000</v>
      </c>
      <c r="G1028" s="1">
        <v>0.55559999999999998</v>
      </c>
      <c r="H1028" s="1">
        <v>0.78310000000000002</v>
      </c>
      <c r="I1028" s="1">
        <v>0.30480000000000002</v>
      </c>
      <c r="J1028" s="1">
        <v>43889</v>
      </c>
      <c r="K1028" s="1">
        <v>22095</v>
      </c>
      <c r="L1028" s="1">
        <v>8169</v>
      </c>
      <c r="M1028" s="1">
        <v>19</v>
      </c>
      <c r="N1028" s="1" t="s">
        <v>28</v>
      </c>
      <c r="O1028" s="1" t="s">
        <v>29</v>
      </c>
      <c r="P1028" s="1" t="s">
        <v>30</v>
      </c>
      <c r="Q1028" s="1" t="s">
        <v>31</v>
      </c>
      <c r="R1028">
        <v>0.26957683880033922</v>
      </c>
    </row>
    <row r="1029" spans="1:18" x14ac:dyDescent="0.2">
      <c r="A1029" s="1">
        <v>230852</v>
      </c>
      <c r="B1029" s="1" t="s">
        <v>1100</v>
      </c>
      <c r="C1029" s="1" t="s">
        <v>451</v>
      </c>
      <c r="D1029" s="1">
        <v>0.82920000000000005</v>
      </c>
      <c r="E1029" s="1">
        <v>2752</v>
      </c>
      <c r="F1029" s="1">
        <v>47850</v>
      </c>
      <c r="G1029" s="1">
        <v>0.65229999999999999</v>
      </c>
      <c r="H1029" s="1">
        <v>0.81699999999999995</v>
      </c>
      <c r="I1029" s="1">
        <v>0.25019999999999998</v>
      </c>
      <c r="J1029" s="1">
        <v>58386</v>
      </c>
      <c r="K1029" s="1">
        <v>26814</v>
      </c>
      <c r="L1029" s="1">
        <v>9955</v>
      </c>
      <c r="M1029" s="1">
        <v>13</v>
      </c>
      <c r="N1029" s="1" t="s">
        <v>20</v>
      </c>
      <c r="O1029" s="1" t="s">
        <v>29</v>
      </c>
      <c r="P1029" s="1" t="s">
        <v>39</v>
      </c>
      <c r="Q1029" s="1" t="s">
        <v>23</v>
      </c>
      <c r="R1029">
        <v>0.26785411917501023</v>
      </c>
    </row>
    <row r="1030" spans="1:18" x14ac:dyDescent="0.2">
      <c r="A1030" s="1">
        <v>161004</v>
      </c>
      <c r="B1030" s="1" t="s">
        <v>1101</v>
      </c>
      <c r="C1030" s="1" t="s">
        <v>74</v>
      </c>
      <c r="D1030" s="1">
        <v>7.1300000000000002E-2</v>
      </c>
      <c r="E1030" s="1">
        <v>1873</v>
      </c>
      <c r="F1030" s="1">
        <v>67832</v>
      </c>
      <c r="G1030" s="1">
        <v>0.95279999999999998</v>
      </c>
      <c r="H1030" s="1">
        <v>0.96830000000000005</v>
      </c>
      <c r="I1030" s="1">
        <v>0.17349999999999999</v>
      </c>
      <c r="J1030" s="1">
        <v>82735</v>
      </c>
      <c r="K1030" s="1">
        <v>18500</v>
      </c>
      <c r="L1030" s="1">
        <v>14216</v>
      </c>
      <c r="M1030" s="1">
        <v>9</v>
      </c>
      <c r="N1030" s="1" t="s">
        <v>20</v>
      </c>
      <c r="O1030" s="1" t="s">
        <v>42</v>
      </c>
      <c r="P1030" s="1" t="s">
        <v>39</v>
      </c>
      <c r="Q1030" s="1" t="s">
        <v>23</v>
      </c>
      <c r="R1030">
        <v>0.26759162741040288</v>
      </c>
    </row>
    <row r="1031" spans="1:18" x14ac:dyDescent="0.2">
      <c r="A1031" s="1">
        <v>214689</v>
      </c>
      <c r="B1031" s="1" t="s">
        <v>1102</v>
      </c>
      <c r="C1031" s="1" t="s">
        <v>98</v>
      </c>
      <c r="D1031" s="1">
        <v>0.98060000000000003</v>
      </c>
      <c r="E1031" s="1">
        <v>2367</v>
      </c>
      <c r="F1031" s="1">
        <v>26958</v>
      </c>
      <c r="G1031" s="1">
        <v>0.16500000000000001</v>
      </c>
      <c r="H1031" s="1">
        <v>0.79520000000000002</v>
      </c>
      <c r="I1031" s="1">
        <v>0.29370000000000002</v>
      </c>
      <c r="J1031" s="1">
        <v>63435</v>
      </c>
      <c r="K1031" s="1">
        <v>25000</v>
      </c>
      <c r="L1031" s="1">
        <v>9491</v>
      </c>
      <c r="M1031" s="1">
        <v>13</v>
      </c>
      <c r="N1031" s="1" t="s">
        <v>28</v>
      </c>
      <c r="O1031" s="1" t="s">
        <v>29</v>
      </c>
      <c r="P1031" s="1" t="s">
        <v>39</v>
      </c>
      <c r="Q1031" s="1" t="s">
        <v>23</v>
      </c>
      <c r="R1031">
        <v>0.26691019753423784</v>
      </c>
    </row>
    <row r="1032" spans="1:18" x14ac:dyDescent="0.2">
      <c r="A1032" s="1">
        <v>216278</v>
      </c>
      <c r="B1032" s="1" t="s">
        <v>1103</v>
      </c>
      <c r="C1032" s="1" t="s">
        <v>98</v>
      </c>
      <c r="D1032" s="1">
        <v>0.81430000000000002</v>
      </c>
      <c r="E1032" s="1">
        <v>2163</v>
      </c>
      <c r="F1032" s="1">
        <v>59850</v>
      </c>
      <c r="G1032" s="1">
        <v>0.81740000000000002</v>
      </c>
      <c r="H1032" s="1">
        <v>0.86329999999999996</v>
      </c>
      <c r="I1032" s="1">
        <v>0.249</v>
      </c>
      <c r="J1032" s="1">
        <v>61723</v>
      </c>
      <c r="K1032" s="1">
        <v>27000</v>
      </c>
      <c r="L1032" s="1">
        <v>9249</v>
      </c>
      <c r="M1032" s="1">
        <v>13</v>
      </c>
      <c r="N1032" s="1" t="s">
        <v>20</v>
      </c>
      <c r="O1032" s="1" t="s">
        <v>42</v>
      </c>
      <c r="P1032" s="1" t="s">
        <v>39</v>
      </c>
      <c r="Q1032" s="1" t="s">
        <v>23</v>
      </c>
      <c r="R1032">
        <v>0.26568443663083274</v>
      </c>
    </row>
    <row r="1033" spans="1:18" x14ac:dyDescent="0.2">
      <c r="A1033" s="1">
        <v>161341</v>
      </c>
      <c r="B1033" s="1" t="s">
        <v>1104</v>
      </c>
      <c r="C1033" s="1" t="s">
        <v>74</v>
      </c>
      <c r="D1033" s="1">
        <v>0.99870000000000003</v>
      </c>
      <c r="E1033" s="1">
        <v>1913</v>
      </c>
      <c r="F1033" s="1">
        <v>14862</v>
      </c>
      <c r="G1033" s="1">
        <v>0.51549999999999996</v>
      </c>
      <c r="H1033" s="1">
        <v>0.58420000000000005</v>
      </c>
      <c r="I1033" s="1">
        <v>0.24349999999999999</v>
      </c>
      <c r="J1033" s="1">
        <v>40956</v>
      </c>
      <c r="K1033" s="1">
        <v>16000</v>
      </c>
      <c r="L1033" s="1">
        <v>7782</v>
      </c>
      <c r="M1033" s="1">
        <v>30</v>
      </c>
      <c r="N1033" s="1" t="s">
        <v>28</v>
      </c>
      <c r="O1033" s="1" t="s">
        <v>42</v>
      </c>
      <c r="P1033" s="1" t="s">
        <v>39</v>
      </c>
      <c r="Q1033" s="1" t="s">
        <v>31</v>
      </c>
      <c r="R1033">
        <v>0.26473507683254449</v>
      </c>
    </row>
    <row r="1034" spans="1:18" x14ac:dyDescent="0.2">
      <c r="A1034" s="1">
        <v>168546</v>
      </c>
      <c r="B1034" s="1" t="s">
        <v>1105</v>
      </c>
      <c r="C1034" s="1" t="s">
        <v>109</v>
      </c>
      <c r="D1034" s="1">
        <v>0.80700000000000005</v>
      </c>
      <c r="E1034" s="1">
        <v>1300</v>
      </c>
      <c r="F1034" s="1">
        <v>56950</v>
      </c>
      <c r="G1034" s="1">
        <v>0.6159</v>
      </c>
      <c r="H1034" s="1">
        <v>0.70799999999999996</v>
      </c>
      <c r="I1034" s="1">
        <v>0.47489999999999999</v>
      </c>
      <c r="J1034" s="1">
        <v>58799</v>
      </c>
      <c r="K1034" s="1">
        <v>27000</v>
      </c>
      <c r="L1034" s="1">
        <v>7469</v>
      </c>
      <c r="M1034" s="1">
        <v>11</v>
      </c>
      <c r="N1034" s="1" t="s">
        <v>20</v>
      </c>
      <c r="O1034" s="1" t="s">
        <v>42</v>
      </c>
      <c r="P1034" s="1" t="s">
        <v>22</v>
      </c>
      <c r="Q1034" s="1" t="s">
        <v>23</v>
      </c>
      <c r="R1034">
        <v>0.26451101343915961</v>
      </c>
    </row>
    <row r="1035" spans="1:18" x14ac:dyDescent="0.2">
      <c r="A1035" s="1">
        <v>133492</v>
      </c>
      <c r="B1035" s="1" t="s">
        <v>1106</v>
      </c>
      <c r="C1035" s="1" t="s">
        <v>27</v>
      </c>
      <c r="D1035" s="1">
        <v>0.75800000000000001</v>
      </c>
      <c r="E1035" s="1">
        <v>1888</v>
      </c>
      <c r="F1035" s="1">
        <v>51884</v>
      </c>
      <c r="G1035" s="1">
        <v>0.65920000000000001</v>
      </c>
      <c r="H1035" s="1">
        <v>0.75839999999999996</v>
      </c>
      <c r="I1035" s="1">
        <v>0.20849999999999999</v>
      </c>
      <c r="J1035" s="1">
        <v>51819</v>
      </c>
      <c r="K1035" s="1">
        <v>27000</v>
      </c>
      <c r="L1035" s="1">
        <v>8920</v>
      </c>
      <c r="M1035" s="1">
        <v>11</v>
      </c>
      <c r="N1035" s="1" t="s">
        <v>20</v>
      </c>
      <c r="O1035" s="1" t="s">
        <v>29</v>
      </c>
      <c r="P1035" s="1" t="s">
        <v>30</v>
      </c>
      <c r="Q1035" s="1" t="s">
        <v>23</v>
      </c>
      <c r="R1035">
        <v>0.26333577638860761</v>
      </c>
    </row>
    <row r="1036" spans="1:18" x14ac:dyDescent="0.2">
      <c r="A1036" s="1">
        <v>107044</v>
      </c>
      <c r="B1036" s="1" t="s">
        <v>1107</v>
      </c>
      <c r="C1036" s="1" t="s">
        <v>70</v>
      </c>
      <c r="D1036" s="1">
        <v>0.70520000000000005</v>
      </c>
      <c r="E1036" s="1">
        <v>3382</v>
      </c>
      <c r="F1036" s="1">
        <v>26262</v>
      </c>
      <c r="G1036" s="1">
        <v>0.68789999999999996</v>
      </c>
      <c r="H1036" s="1">
        <v>0.86399999999999999</v>
      </c>
      <c r="I1036" s="1">
        <v>0.23810000000000001</v>
      </c>
      <c r="J1036" s="1">
        <v>52876</v>
      </c>
      <c r="K1036" s="1">
        <v>26500</v>
      </c>
      <c r="L1036" s="1">
        <v>8008</v>
      </c>
      <c r="M1036" s="1">
        <v>13</v>
      </c>
      <c r="N1036" s="1" t="s">
        <v>20</v>
      </c>
      <c r="O1036" s="1" t="s">
        <v>42</v>
      </c>
      <c r="P1036" s="1" t="s">
        <v>30</v>
      </c>
      <c r="Q1036" s="1" t="s">
        <v>23</v>
      </c>
      <c r="R1036">
        <v>0.2631217202702425</v>
      </c>
    </row>
    <row r="1037" spans="1:18" x14ac:dyDescent="0.2">
      <c r="A1037" s="1">
        <v>447689</v>
      </c>
      <c r="B1037" s="1" t="s">
        <v>1108</v>
      </c>
      <c r="C1037" s="1" t="s">
        <v>126</v>
      </c>
      <c r="D1037" s="1">
        <v>0.95499999999999996</v>
      </c>
      <c r="E1037" s="1">
        <v>11344</v>
      </c>
      <c r="F1037" s="1">
        <v>13844</v>
      </c>
      <c r="G1037" s="1">
        <v>0.2147</v>
      </c>
      <c r="H1037" s="1">
        <v>0.63370000000000004</v>
      </c>
      <c r="I1037" s="1">
        <v>0.5181</v>
      </c>
      <c r="J1037" s="1">
        <v>47730</v>
      </c>
      <c r="K1037" s="1">
        <v>20076</v>
      </c>
      <c r="L1037" s="1">
        <v>8110</v>
      </c>
      <c r="M1037" s="1">
        <v>19</v>
      </c>
      <c r="N1037" s="1" t="s">
        <v>28</v>
      </c>
      <c r="O1037" s="1" t="s">
        <v>21</v>
      </c>
      <c r="P1037" s="1" t="s">
        <v>30</v>
      </c>
      <c r="Q1037" s="1" t="s">
        <v>31</v>
      </c>
      <c r="R1037">
        <v>0.26292605104997713</v>
      </c>
    </row>
    <row r="1038" spans="1:18" x14ac:dyDescent="0.2">
      <c r="A1038" s="1">
        <v>198598</v>
      </c>
      <c r="B1038" s="1" t="s">
        <v>1109</v>
      </c>
      <c r="C1038" s="1" t="s">
        <v>86</v>
      </c>
      <c r="D1038" s="1">
        <v>0.70140000000000002</v>
      </c>
      <c r="E1038" s="1">
        <v>708</v>
      </c>
      <c r="F1038" s="1">
        <v>21000</v>
      </c>
      <c r="G1038" s="1">
        <v>0.46200000000000002</v>
      </c>
      <c r="H1038" s="1">
        <v>0.65869999999999995</v>
      </c>
      <c r="I1038" s="1">
        <v>0.46110000000000001</v>
      </c>
      <c r="J1038" s="1">
        <v>46566</v>
      </c>
      <c r="K1038" s="1">
        <v>25607</v>
      </c>
      <c r="L1038" s="1">
        <v>6155</v>
      </c>
      <c r="M1038" s="1">
        <v>10</v>
      </c>
      <c r="N1038" s="1" t="s">
        <v>20</v>
      </c>
      <c r="O1038" s="1" t="s">
        <v>29</v>
      </c>
      <c r="P1038" s="1" t="s">
        <v>30</v>
      </c>
      <c r="Q1038" s="1" t="s">
        <v>31</v>
      </c>
      <c r="R1038">
        <v>0.26253330553367538</v>
      </c>
    </row>
    <row r="1039" spans="1:18" x14ac:dyDescent="0.2">
      <c r="A1039" s="1">
        <v>225247</v>
      </c>
      <c r="B1039" s="1" t="s">
        <v>1110</v>
      </c>
      <c r="C1039" s="1" t="s">
        <v>36</v>
      </c>
      <c r="D1039" s="1">
        <v>0.9</v>
      </c>
      <c r="E1039" s="1">
        <v>1283</v>
      </c>
      <c r="F1039" s="1">
        <v>32960</v>
      </c>
      <c r="G1039" s="1">
        <v>0.46039999999999998</v>
      </c>
      <c r="H1039" s="1">
        <v>0.64870000000000005</v>
      </c>
      <c r="I1039" s="1">
        <v>0.40060000000000001</v>
      </c>
      <c r="J1039" s="1">
        <v>54771</v>
      </c>
      <c r="K1039" s="1">
        <v>24711</v>
      </c>
      <c r="L1039" s="1">
        <v>8035</v>
      </c>
      <c r="M1039" s="1">
        <v>15</v>
      </c>
      <c r="N1039" s="1" t="s">
        <v>20</v>
      </c>
      <c r="O1039" s="1" t="s">
        <v>29</v>
      </c>
      <c r="P1039" s="1" t="s">
        <v>30</v>
      </c>
      <c r="Q1039" s="1" t="s">
        <v>23</v>
      </c>
      <c r="R1039">
        <v>0.26249203738076354</v>
      </c>
    </row>
    <row r="1040" spans="1:18" x14ac:dyDescent="0.2">
      <c r="A1040" s="1">
        <v>192323</v>
      </c>
      <c r="B1040" s="1" t="s">
        <v>1111</v>
      </c>
      <c r="C1040" s="1" t="s">
        <v>58</v>
      </c>
      <c r="D1040" s="1">
        <v>0.82979999999999998</v>
      </c>
      <c r="E1040" s="1">
        <v>2439</v>
      </c>
      <c r="F1040" s="1">
        <v>40330</v>
      </c>
      <c r="G1040" s="1">
        <v>0.73129999999999995</v>
      </c>
      <c r="H1040" s="1">
        <v>0.83550000000000002</v>
      </c>
      <c r="I1040" s="1">
        <v>0.30980000000000002</v>
      </c>
      <c r="J1040" s="1">
        <v>62731</v>
      </c>
      <c r="K1040" s="1">
        <v>23000</v>
      </c>
      <c r="L1040" s="1">
        <v>9082</v>
      </c>
      <c r="M1040" s="1">
        <v>12</v>
      </c>
      <c r="N1040" s="1" t="s">
        <v>20</v>
      </c>
      <c r="O1040" s="1" t="s">
        <v>21</v>
      </c>
      <c r="P1040" s="1" t="s">
        <v>39</v>
      </c>
      <c r="Q1040" s="1" t="s">
        <v>23</v>
      </c>
      <c r="R1040">
        <v>0.26172649755872623</v>
      </c>
    </row>
    <row r="1041" spans="1:18" x14ac:dyDescent="0.2">
      <c r="A1041" s="1">
        <v>126818</v>
      </c>
      <c r="B1041" s="1" t="s">
        <v>1112</v>
      </c>
      <c r="C1041" s="1" t="s">
        <v>161</v>
      </c>
      <c r="D1041" s="1">
        <v>0.88539999999999996</v>
      </c>
      <c r="E1041" s="1">
        <v>25538</v>
      </c>
      <c r="F1041" s="1">
        <v>34783</v>
      </c>
      <c r="G1041" s="1">
        <v>0.66510000000000002</v>
      </c>
      <c r="H1041" s="1">
        <v>0.8589</v>
      </c>
      <c r="I1041" s="1">
        <v>0.2109</v>
      </c>
      <c r="J1041" s="1">
        <v>60543</v>
      </c>
      <c r="K1041" s="1">
        <v>20000</v>
      </c>
      <c r="L1041" s="1">
        <v>11801</v>
      </c>
      <c r="M1041" s="1">
        <v>17</v>
      </c>
      <c r="N1041" s="1" t="s">
        <v>28</v>
      </c>
      <c r="O1041" s="1" t="s">
        <v>29</v>
      </c>
      <c r="P1041" s="1" t="s">
        <v>22</v>
      </c>
      <c r="Q1041" s="1" t="s">
        <v>23</v>
      </c>
      <c r="R1041">
        <v>0.26044690790164093</v>
      </c>
    </row>
    <row r="1042" spans="1:18" x14ac:dyDescent="0.2">
      <c r="A1042" s="1">
        <v>213543</v>
      </c>
      <c r="B1042" s="1" t="s">
        <v>1113</v>
      </c>
      <c r="C1042" s="1" t="s">
        <v>98</v>
      </c>
      <c r="D1042" s="1">
        <v>0.25929999999999997</v>
      </c>
      <c r="E1042" s="1">
        <v>5898</v>
      </c>
      <c r="F1042" s="1">
        <v>64980</v>
      </c>
      <c r="G1042" s="1">
        <v>0.87909999999999999</v>
      </c>
      <c r="H1042" s="1">
        <v>0.93700000000000006</v>
      </c>
      <c r="I1042" s="1">
        <v>0.17710000000000001</v>
      </c>
      <c r="J1042" s="1">
        <v>105584</v>
      </c>
      <c r="K1042" s="1">
        <v>21960</v>
      </c>
      <c r="L1042" s="1">
        <v>15219</v>
      </c>
      <c r="M1042" s="1">
        <v>10</v>
      </c>
      <c r="N1042" s="1" t="s">
        <v>20</v>
      </c>
      <c r="O1042" s="1" t="s">
        <v>29</v>
      </c>
      <c r="P1042" s="1" t="s">
        <v>39</v>
      </c>
      <c r="Q1042" s="1" t="s">
        <v>23</v>
      </c>
      <c r="R1042">
        <v>0.25924791044169571</v>
      </c>
    </row>
    <row r="1043" spans="1:18" x14ac:dyDescent="0.2">
      <c r="A1043" s="1">
        <v>201195</v>
      </c>
      <c r="B1043" s="1" t="s">
        <v>1114</v>
      </c>
      <c r="C1043" s="1" t="s">
        <v>19</v>
      </c>
      <c r="D1043" s="1">
        <v>0.75700000000000001</v>
      </c>
      <c r="E1043" s="1">
        <v>2842</v>
      </c>
      <c r="F1043" s="1">
        <v>39832</v>
      </c>
      <c r="G1043" s="1">
        <v>0.66769999999999996</v>
      </c>
      <c r="H1043" s="1">
        <v>0.83840000000000003</v>
      </c>
      <c r="I1043" s="1">
        <v>0.29160000000000003</v>
      </c>
      <c r="J1043" s="1">
        <v>54122</v>
      </c>
      <c r="K1043" s="1">
        <v>27000</v>
      </c>
      <c r="L1043" s="1">
        <v>8614</v>
      </c>
      <c r="M1043" s="1">
        <v>12</v>
      </c>
      <c r="N1043" s="1" t="s">
        <v>20</v>
      </c>
      <c r="O1043" s="1" t="s">
        <v>21</v>
      </c>
      <c r="P1043" s="1" t="s">
        <v>22</v>
      </c>
      <c r="Q1043" s="1" t="s">
        <v>23</v>
      </c>
      <c r="R1043">
        <v>0.2583277432685146</v>
      </c>
    </row>
    <row r="1044" spans="1:18" x14ac:dyDescent="0.2">
      <c r="A1044" s="1">
        <v>237312</v>
      </c>
      <c r="B1044" s="1" t="s">
        <v>1115</v>
      </c>
      <c r="C1044" s="1" t="s">
        <v>255</v>
      </c>
      <c r="D1044" s="1">
        <v>0.61519999999999997</v>
      </c>
      <c r="E1044" s="1">
        <v>2259</v>
      </c>
      <c r="F1044" s="1">
        <v>33800</v>
      </c>
      <c r="G1044" s="1">
        <v>0.45550000000000002</v>
      </c>
      <c r="H1044" s="1">
        <v>0.74790000000000001</v>
      </c>
      <c r="I1044" s="1">
        <v>0.31430000000000002</v>
      </c>
      <c r="J1044" s="1">
        <v>55774</v>
      </c>
      <c r="K1044" s="1">
        <v>19500</v>
      </c>
      <c r="L1044" s="1">
        <v>7297</v>
      </c>
      <c r="M1044" s="1">
        <v>15</v>
      </c>
      <c r="N1044" s="1" t="s">
        <v>20</v>
      </c>
      <c r="O1044" s="1" t="s">
        <v>29</v>
      </c>
      <c r="P1044" s="1" t="s">
        <v>30</v>
      </c>
      <c r="Q1044" s="1" t="s">
        <v>23</v>
      </c>
      <c r="R1044">
        <v>0.25829469327879784</v>
      </c>
    </row>
    <row r="1045" spans="1:18" x14ac:dyDescent="0.2">
      <c r="A1045" s="1">
        <v>445267</v>
      </c>
      <c r="B1045" s="1" t="s">
        <v>1116</v>
      </c>
      <c r="C1045" s="1" t="s">
        <v>77</v>
      </c>
      <c r="D1045" s="1">
        <v>0.87529999999999997</v>
      </c>
      <c r="E1045" s="1">
        <v>2092</v>
      </c>
      <c r="F1045" s="1">
        <v>7440</v>
      </c>
      <c r="G1045" s="1">
        <v>0</v>
      </c>
      <c r="H1045" s="1">
        <v>0.52939999999999998</v>
      </c>
      <c r="I1045" s="1">
        <v>0.31879999999999997</v>
      </c>
      <c r="J1045" s="1">
        <v>48991</v>
      </c>
      <c r="K1045" s="1">
        <v>17619</v>
      </c>
      <c r="L1045" s="1">
        <v>6109</v>
      </c>
      <c r="M1045" s="1">
        <v>28</v>
      </c>
      <c r="N1045" s="1" t="s">
        <v>20</v>
      </c>
      <c r="O1045" s="1" t="s">
        <v>42</v>
      </c>
      <c r="P1045" s="1" t="s">
        <v>22</v>
      </c>
      <c r="Q1045" s="1" t="s">
        <v>31</v>
      </c>
      <c r="R1045">
        <v>0.25630077296044096</v>
      </c>
    </row>
    <row r="1046" spans="1:18" x14ac:dyDescent="0.2">
      <c r="A1046" s="1">
        <v>110635</v>
      </c>
      <c r="B1046" s="1" t="s">
        <v>1117</v>
      </c>
      <c r="C1046" s="1" t="s">
        <v>33</v>
      </c>
      <c r="D1046" s="1">
        <v>0.10979999999999999</v>
      </c>
      <c r="E1046" s="1">
        <v>33068</v>
      </c>
      <c r="F1046" s="1">
        <v>50547</v>
      </c>
      <c r="G1046" s="1">
        <v>0.9284</v>
      </c>
      <c r="H1046" s="1">
        <v>0.96789999999999998</v>
      </c>
      <c r="I1046" s="1">
        <v>0.28639999999999999</v>
      </c>
      <c r="J1046" s="1">
        <v>92446</v>
      </c>
      <c r="K1046" s="1">
        <v>13000</v>
      </c>
      <c r="L1046" s="1">
        <v>21246</v>
      </c>
      <c r="M1046" s="1">
        <v>18</v>
      </c>
      <c r="N1046" s="1" t="s">
        <v>28</v>
      </c>
      <c r="O1046" s="1" t="s">
        <v>29</v>
      </c>
      <c r="P1046" s="1" t="s">
        <v>22</v>
      </c>
      <c r="Q1046" s="1" t="s">
        <v>23</v>
      </c>
      <c r="R1046">
        <v>0.25627357059064659</v>
      </c>
    </row>
    <row r="1047" spans="1:18" x14ac:dyDescent="0.2">
      <c r="A1047" s="1">
        <v>144962</v>
      </c>
      <c r="B1047" s="1" t="s">
        <v>1118</v>
      </c>
      <c r="C1047" s="1" t="s">
        <v>25</v>
      </c>
      <c r="D1047" s="1">
        <v>0.73640000000000005</v>
      </c>
      <c r="E1047" s="1">
        <v>3006</v>
      </c>
      <c r="F1047" s="1">
        <v>42955</v>
      </c>
      <c r="G1047" s="1">
        <v>0.7</v>
      </c>
      <c r="H1047" s="1">
        <v>0.79900000000000004</v>
      </c>
      <c r="I1047" s="1">
        <v>0.36809999999999998</v>
      </c>
      <c r="J1047" s="1">
        <v>61462</v>
      </c>
      <c r="K1047" s="1">
        <v>20489</v>
      </c>
      <c r="L1047" s="1">
        <v>8989</v>
      </c>
      <c r="M1047" s="1">
        <v>15</v>
      </c>
      <c r="N1047" s="1" t="s">
        <v>20</v>
      </c>
      <c r="O1047" s="1" t="s">
        <v>21</v>
      </c>
      <c r="P1047" s="1" t="s">
        <v>22</v>
      </c>
      <c r="Q1047" s="1" t="s">
        <v>23</v>
      </c>
      <c r="R1047">
        <v>0.25546813813497937</v>
      </c>
    </row>
    <row r="1048" spans="1:18" x14ac:dyDescent="0.2">
      <c r="A1048" s="1">
        <v>486956</v>
      </c>
      <c r="B1048" s="1" t="s">
        <v>1119</v>
      </c>
      <c r="C1048" s="1" t="s">
        <v>66</v>
      </c>
      <c r="D1048" s="1">
        <v>1</v>
      </c>
      <c r="E1048" s="1">
        <v>1226</v>
      </c>
      <c r="F1048" s="1">
        <v>20785</v>
      </c>
      <c r="G1048" s="1">
        <v>0.33329999999999999</v>
      </c>
      <c r="H1048" s="1">
        <v>0.8</v>
      </c>
      <c r="I1048" s="1">
        <v>0.38679999999999998</v>
      </c>
      <c r="J1048" s="1">
        <v>92405</v>
      </c>
      <c r="K1048" s="1">
        <v>20919</v>
      </c>
      <c r="L1048" s="1">
        <v>8080</v>
      </c>
      <c r="M1048" s="1">
        <v>12</v>
      </c>
      <c r="N1048" s="1" t="s">
        <v>142</v>
      </c>
      <c r="O1048" s="1" t="s">
        <v>21</v>
      </c>
      <c r="P1048" s="1" t="s">
        <v>39</v>
      </c>
      <c r="Q1048" s="1" t="s">
        <v>23</v>
      </c>
      <c r="R1048">
        <v>0.25524957894463529</v>
      </c>
    </row>
    <row r="1049" spans="1:18" x14ac:dyDescent="0.2">
      <c r="A1049" s="1">
        <v>216694</v>
      </c>
      <c r="B1049" s="1" t="s">
        <v>1120</v>
      </c>
      <c r="C1049" s="1" t="s">
        <v>98</v>
      </c>
      <c r="D1049" s="1">
        <v>0.8982</v>
      </c>
      <c r="E1049" s="1">
        <v>1009</v>
      </c>
      <c r="F1049" s="1">
        <v>30480</v>
      </c>
      <c r="G1049" s="1">
        <v>0.65539999999999998</v>
      </c>
      <c r="H1049" s="1">
        <v>0.71640000000000004</v>
      </c>
      <c r="I1049" s="1">
        <v>0.38159999999999999</v>
      </c>
      <c r="J1049" s="1">
        <v>58537</v>
      </c>
      <c r="K1049" s="1">
        <v>27000</v>
      </c>
      <c r="L1049" s="1">
        <v>6739</v>
      </c>
      <c r="M1049" s="1">
        <v>12</v>
      </c>
      <c r="N1049" s="1" t="s">
        <v>20</v>
      </c>
      <c r="O1049" s="1" t="s">
        <v>42</v>
      </c>
      <c r="P1049" s="1" t="s">
        <v>39</v>
      </c>
      <c r="Q1049" s="1" t="s">
        <v>23</v>
      </c>
      <c r="R1049">
        <v>0.25474710003849976</v>
      </c>
    </row>
    <row r="1050" spans="1:18" x14ac:dyDescent="0.2">
      <c r="A1050" s="1">
        <v>209551</v>
      </c>
      <c r="B1050" s="1" t="s">
        <v>1121</v>
      </c>
      <c r="C1050" s="1" t="s">
        <v>79</v>
      </c>
      <c r="D1050" s="1">
        <v>0.88300000000000001</v>
      </c>
      <c r="E1050" s="1">
        <v>20497</v>
      </c>
      <c r="F1050" s="1">
        <v>44598</v>
      </c>
      <c r="G1050" s="1">
        <v>0.71689999999999998</v>
      </c>
      <c r="H1050" s="1">
        <v>0.86399999999999999</v>
      </c>
      <c r="I1050" s="1">
        <v>0.2135</v>
      </c>
      <c r="J1050" s="1">
        <v>61324</v>
      </c>
      <c r="K1050" s="1">
        <v>20139</v>
      </c>
      <c r="L1050" s="1">
        <v>12404</v>
      </c>
      <c r="M1050" s="1">
        <v>19</v>
      </c>
      <c r="N1050" s="1" t="s">
        <v>28</v>
      </c>
      <c r="O1050" s="1" t="s">
        <v>29</v>
      </c>
      <c r="P1050" s="1" t="s">
        <v>22</v>
      </c>
      <c r="Q1050" s="1" t="s">
        <v>23</v>
      </c>
      <c r="R1050">
        <v>0.25395051748241204</v>
      </c>
    </row>
    <row r="1051" spans="1:18" x14ac:dyDescent="0.2">
      <c r="A1051" s="1">
        <v>199306</v>
      </c>
      <c r="B1051" s="1" t="s">
        <v>1122</v>
      </c>
      <c r="C1051" s="1" t="s">
        <v>86</v>
      </c>
      <c r="D1051" s="1">
        <v>0.96030000000000004</v>
      </c>
      <c r="E1051" s="1">
        <v>655</v>
      </c>
      <c r="F1051" s="1">
        <v>35070</v>
      </c>
      <c r="G1051" s="1">
        <v>0.34970000000000001</v>
      </c>
      <c r="H1051" s="1">
        <v>0.72309999999999997</v>
      </c>
      <c r="I1051" s="1">
        <v>0.50760000000000005</v>
      </c>
      <c r="J1051" s="1">
        <v>51562</v>
      </c>
      <c r="K1051" s="1">
        <v>26163</v>
      </c>
      <c r="L1051" s="1">
        <v>7705</v>
      </c>
      <c r="M1051" s="1">
        <v>11</v>
      </c>
      <c r="N1051" s="1" t="s">
        <v>20</v>
      </c>
      <c r="O1051" s="1" t="s">
        <v>42</v>
      </c>
      <c r="P1051" s="1" t="s">
        <v>30</v>
      </c>
      <c r="Q1051" s="1" t="s">
        <v>23</v>
      </c>
      <c r="R1051">
        <v>0.25318969885272435</v>
      </c>
    </row>
    <row r="1052" spans="1:18" x14ac:dyDescent="0.2">
      <c r="A1052" s="1">
        <v>366711</v>
      </c>
      <c r="B1052" s="1" t="s">
        <v>1123</v>
      </c>
      <c r="C1052" s="1" t="s">
        <v>33</v>
      </c>
      <c r="D1052" s="1">
        <v>0.95099999999999996</v>
      </c>
      <c r="E1052" s="1">
        <v>14877</v>
      </c>
      <c r="F1052" s="1">
        <v>20682</v>
      </c>
      <c r="G1052" s="1">
        <v>0.54559999999999997</v>
      </c>
      <c r="H1052" s="1">
        <v>0.78639999999999999</v>
      </c>
      <c r="I1052" s="1">
        <v>0.42609999999999998</v>
      </c>
      <c r="J1052" s="1">
        <v>62908</v>
      </c>
      <c r="K1052" s="1">
        <v>17350</v>
      </c>
      <c r="L1052" s="1">
        <v>12046</v>
      </c>
      <c r="M1052" s="1">
        <v>24</v>
      </c>
      <c r="N1052" s="1" t="s">
        <v>28</v>
      </c>
      <c r="O1052" s="1" t="s">
        <v>21</v>
      </c>
      <c r="P1052" s="1" t="s">
        <v>22</v>
      </c>
      <c r="Q1052" s="1" t="s">
        <v>23</v>
      </c>
      <c r="R1052">
        <v>0.25256944876767484</v>
      </c>
    </row>
    <row r="1053" spans="1:18" x14ac:dyDescent="0.2">
      <c r="A1053" s="1">
        <v>174233</v>
      </c>
      <c r="B1053" s="1" t="s">
        <v>1124</v>
      </c>
      <c r="C1053" s="1" t="s">
        <v>54</v>
      </c>
      <c r="D1053" s="1">
        <v>0.88749999999999996</v>
      </c>
      <c r="E1053" s="1">
        <v>7336</v>
      </c>
      <c r="F1053" s="1">
        <v>20130</v>
      </c>
      <c r="G1053" s="1">
        <v>0.6472</v>
      </c>
      <c r="H1053" s="1">
        <v>0.81140000000000001</v>
      </c>
      <c r="I1053" s="1">
        <v>0.18790000000000001</v>
      </c>
      <c r="J1053" s="1">
        <v>62616</v>
      </c>
      <c r="K1053" s="1">
        <v>22024</v>
      </c>
      <c r="L1053" s="1">
        <v>9267</v>
      </c>
      <c r="M1053" s="1">
        <v>16</v>
      </c>
      <c r="N1053" s="1" t="s">
        <v>28</v>
      </c>
      <c r="O1053" s="1" t="s">
        <v>29</v>
      </c>
      <c r="P1053" s="1" t="s">
        <v>22</v>
      </c>
      <c r="Q1053" s="1" t="s">
        <v>23</v>
      </c>
      <c r="R1053">
        <v>0.25255058279109377</v>
      </c>
    </row>
    <row r="1054" spans="1:18" x14ac:dyDescent="0.2">
      <c r="A1054" s="1">
        <v>174817</v>
      </c>
      <c r="B1054" s="1" t="s">
        <v>1125</v>
      </c>
      <c r="C1054" s="1" t="s">
        <v>54</v>
      </c>
      <c r="D1054" s="1">
        <v>0.92779999999999996</v>
      </c>
      <c r="E1054" s="1">
        <v>1073</v>
      </c>
      <c r="F1054" s="1">
        <v>45080</v>
      </c>
      <c r="G1054" s="1">
        <v>0.66010000000000002</v>
      </c>
      <c r="H1054" s="1">
        <v>0.74629999999999996</v>
      </c>
      <c r="I1054" s="1">
        <v>0.2452</v>
      </c>
      <c r="J1054" s="1">
        <v>58170</v>
      </c>
      <c r="K1054" s="1">
        <v>21500</v>
      </c>
      <c r="L1054" s="1">
        <v>7511</v>
      </c>
      <c r="M1054" s="1">
        <v>18</v>
      </c>
      <c r="N1054" s="1" t="s">
        <v>20</v>
      </c>
      <c r="O1054" s="1" t="s">
        <v>42</v>
      </c>
      <c r="P1054" s="1" t="s">
        <v>22</v>
      </c>
      <c r="Q1054" s="1" t="s">
        <v>23</v>
      </c>
      <c r="R1054">
        <v>0.25217460220974808</v>
      </c>
    </row>
    <row r="1055" spans="1:18" x14ac:dyDescent="0.2">
      <c r="A1055" s="1">
        <v>177542</v>
      </c>
      <c r="B1055" s="1" t="s">
        <v>1126</v>
      </c>
      <c r="C1055" s="1" t="s">
        <v>77</v>
      </c>
      <c r="D1055" s="1">
        <v>0.72629999999999995</v>
      </c>
      <c r="E1055" s="1">
        <v>410</v>
      </c>
      <c r="F1055" s="1">
        <v>26880</v>
      </c>
      <c r="G1055" s="1">
        <v>0.50390000000000001</v>
      </c>
      <c r="H1055" s="1">
        <v>0.7833</v>
      </c>
      <c r="I1055" s="1">
        <v>0.36830000000000002</v>
      </c>
      <c r="J1055" s="1">
        <v>42643</v>
      </c>
      <c r="K1055" s="1">
        <v>18599</v>
      </c>
      <c r="L1055" s="1">
        <v>2888</v>
      </c>
      <c r="M1055" s="1">
        <v>8</v>
      </c>
      <c r="N1055" s="1" t="s">
        <v>20</v>
      </c>
      <c r="O1055" s="1" t="s">
        <v>42</v>
      </c>
      <c r="P1055" s="1" t="s">
        <v>22</v>
      </c>
      <c r="Q1055" s="1" t="s">
        <v>31</v>
      </c>
      <c r="R1055">
        <v>0.25119971420157794</v>
      </c>
    </row>
    <row r="1056" spans="1:18" x14ac:dyDescent="0.2">
      <c r="A1056" s="1">
        <v>114813</v>
      </c>
      <c r="B1056" s="1" t="s">
        <v>1127</v>
      </c>
      <c r="C1056" s="1" t="s">
        <v>33</v>
      </c>
      <c r="D1056" s="1">
        <v>0.64070000000000005</v>
      </c>
      <c r="E1056" s="1">
        <v>1544</v>
      </c>
      <c r="F1056" s="1">
        <v>36660</v>
      </c>
      <c r="G1056" s="1">
        <v>0.5</v>
      </c>
      <c r="H1056" s="1">
        <v>0.7157</v>
      </c>
      <c r="I1056" s="1">
        <v>0.58350000000000002</v>
      </c>
      <c r="J1056" s="1">
        <v>58896</v>
      </c>
      <c r="K1056" s="1">
        <v>23146</v>
      </c>
      <c r="L1056" s="1">
        <v>8399</v>
      </c>
      <c r="M1056" s="1">
        <v>10</v>
      </c>
      <c r="N1056" s="1" t="s">
        <v>20</v>
      </c>
      <c r="O1056" s="1" t="s">
        <v>29</v>
      </c>
      <c r="P1056" s="1" t="s">
        <v>22</v>
      </c>
      <c r="Q1056" s="1" t="s">
        <v>23</v>
      </c>
      <c r="R1056">
        <v>0.25058501987155657</v>
      </c>
    </row>
    <row r="1057" spans="1:18" x14ac:dyDescent="0.2">
      <c r="A1057" s="1">
        <v>225432</v>
      </c>
      <c r="B1057" s="1" t="s">
        <v>1128</v>
      </c>
      <c r="C1057" s="1" t="s">
        <v>36</v>
      </c>
      <c r="D1057" s="1">
        <v>0.89959999999999996</v>
      </c>
      <c r="E1057" s="1">
        <v>12555</v>
      </c>
      <c r="F1057" s="1">
        <v>17548</v>
      </c>
      <c r="G1057" s="1">
        <v>0.33200000000000002</v>
      </c>
      <c r="H1057" s="1">
        <v>0.67090000000000005</v>
      </c>
      <c r="I1057" s="1">
        <v>0.55220000000000002</v>
      </c>
      <c r="J1057" s="1">
        <v>53551</v>
      </c>
      <c r="K1057" s="1">
        <v>18750</v>
      </c>
      <c r="L1057" s="1">
        <v>9421</v>
      </c>
      <c r="M1057" s="1">
        <v>18</v>
      </c>
      <c r="N1057" s="1" t="s">
        <v>28</v>
      </c>
      <c r="O1057" s="1" t="s">
        <v>29</v>
      </c>
      <c r="P1057" s="1" t="s">
        <v>30</v>
      </c>
      <c r="Q1057" s="1" t="s">
        <v>23</v>
      </c>
      <c r="R1057">
        <v>0.25012551991060894</v>
      </c>
    </row>
    <row r="1058" spans="1:18" x14ac:dyDescent="0.2">
      <c r="A1058" s="1">
        <v>201548</v>
      </c>
      <c r="B1058" s="1" t="s">
        <v>1129</v>
      </c>
      <c r="C1058" s="1" t="s">
        <v>19</v>
      </c>
      <c r="D1058" s="1">
        <v>0.70220000000000005</v>
      </c>
      <c r="E1058" s="1">
        <v>1585</v>
      </c>
      <c r="F1058" s="1">
        <v>43234</v>
      </c>
      <c r="G1058" s="1">
        <v>0.60270000000000001</v>
      </c>
      <c r="H1058" s="1">
        <v>0.75539999999999996</v>
      </c>
      <c r="I1058" s="1">
        <v>0.33889999999999998</v>
      </c>
      <c r="J1058" s="1">
        <v>54143</v>
      </c>
      <c r="K1058" s="1">
        <v>26889</v>
      </c>
      <c r="L1058" s="1">
        <v>8673</v>
      </c>
      <c r="M1058" s="1">
        <v>9</v>
      </c>
      <c r="N1058" s="1" t="s">
        <v>20</v>
      </c>
      <c r="O1058" s="1" t="s">
        <v>21</v>
      </c>
      <c r="P1058" s="1" t="s">
        <v>22</v>
      </c>
      <c r="Q1058" s="1" t="s">
        <v>23</v>
      </c>
      <c r="R1058">
        <v>0.2486007961415394</v>
      </c>
    </row>
    <row r="1059" spans="1:18" x14ac:dyDescent="0.2">
      <c r="A1059" s="1">
        <v>207582</v>
      </c>
      <c r="B1059" s="1" t="s">
        <v>1130</v>
      </c>
      <c r="C1059" s="1" t="s">
        <v>224</v>
      </c>
      <c r="D1059" s="1">
        <v>0.98899999999999999</v>
      </c>
      <c r="E1059" s="1">
        <v>3487</v>
      </c>
      <c r="F1059" s="1">
        <v>35470</v>
      </c>
      <c r="G1059" s="1">
        <v>0.56830000000000003</v>
      </c>
      <c r="H1059" s="1">
        <v>0.80489999999999995</v>
      </c>
      <c r="I1059" s="1">
        <v>0.2843</v>
      </c>
      <c r="J1059" s="1">
        <v>46885</v>
      </c>
      <c r="K1059" s="1">
        <v>27000</v>
      </c>
      <c r="L1059" s="1">
        <v>7834</v>
      </c>
      <c r="M1059" s="1">
        <v>18</v>
      </c>
      <c r="N1059" s="1" t="s">
        <v>20</v>
      </c>
      <c r="O1059" s="1" t="s">
        <v>29</v>
      </c>
      <c r="P1059" s="1" t="s">
        <v>30</v>
      </c>
      <c r="Q1059" s="1" t="s">
        <v>31</v>
      </c>
      <c r="R1059">
        <v>0.2482453915472812</v>
      </c>
    </row>
    <row r="1060" spans="1:18" x14ac:dyDescent="0.2">
      <c r="A1060" s="1">
        <v>194578</v>
      </c>
      <c r="B1060" s="1" t="s">
        <v>1131</v>
      </c>
      <c r="C1060" s="1" t="s">
        <v>58</v>
      </c>
      <c r="D1060" s="1">
        <v>0.73250000000000004</v>
      </c>
      <c r="E1060" s="1">
        <v>3910</v>
      </c>
      <c r="F1060" s="1">
        <v>61845</v>
      </c>
      <c r="G1060" s="1">
        <v>0.73540000000000005</v>
      </c>
      <c r="H1060" s="1">
        <v>0.88260000000000005</v>
      </c>
      <c r="I1060" s="1">
        <v>0.18859999999999999</v>
      </c>
      <c r="J1060" s="1">
        <v>54295</v>
      </c>
      <c r="K1060" s="1">
        <v>26000</v>
      </c>
      <c r="L1060" s="1">
        <v>12587</v>
      </c>
      <c r="M1060" s="1">
        <v>9</v>
      </c>
      <c r="N1060" s="1" t="s">
        <v>20</v>
      </c>
      <c r="O1060" s="1" t="s">
        <v>29</v>
      </c>
      <c r="P1060" s="1" t="s">
        <v>39</v>
      </c>
      <c r="Q1060" s="1" t="s">
        <v>23</v>
      </c>
      <c r="R1060">
        <v>0.24768485239725602</v>
      </c>
    </row>
    <row r="1061" spans="1:18" x14ac:dyDescent="0.2">
      <c r="A1061" s="1">
        <v>162283</v>
      </c>
      <c r="B1061" s="1" t="s">
        <v>1132</v>
      </c>
      <c r="C1061" s="1" t="s">
        <v>61</v>
      </c>
      <c r="D1061" s="1">
        <v>0.45829999999999999</v>
      </c>
      <c r="E1061" s="1">
        <v>1844</v>
      </c>
      <c r="F1061" s="1">
        <v>14024</v>
      </c>
      <c r="G1061" s="1">
        <v>0.26219999999999999</v>
      </c>
      <c r="H1061" s="1">
        <v>0.66220000000000001</v>
      </c>
      <c r="I1061" s="1">
        <v>0.53920000000000001</v>
      </c>
      <c r="J1061" s="1">
        <v>46490</v>
      </c>
      <c r="K1061" s="1">
        <v>25000</v>
      </c>
      <c r="L1061" s="1">
        <v>10091</v>
      </c>
      <c r="M1061" s="1">
        <v>12</v>
      </c>
      <c r="N1061" s="1" t="s">
        <v>28</v>
      </c>
      <c r="O1061" s="1" t="s">
        <v>29</v>
      </c>
      <c r="P1061" s="1" t="s">
        <v>30</v>
      </c>
      <c r="Q1061" s="1" t="s">
        <v>31</v>
      </c>
      <c r="R1061">
        <v>0.24731537495007316</v>
      </c>
    </row>
    <row r="1062" spans="1:18" x14ac:dyDescent="0.2">
      <c r="A1062" s="1">
        <v>214704</v>
      </c>
      <c r="B1062" s="1" t="s">
        <v>1133</v>
      </c>
      <c r="C1062" s="1" t="s">
        <v>98</v>
      </c>
      <c r="D1062" s="1">
        <v>0.98670000000000002</v>
      </c>
      <c r="E1062" s="1">
        <v>1872</v>
      </c>
      <c r="F1062" s="1">
        <v>26958</v>
      </c>
      <c r="G1062" s="1">
        <v>0.31519999999999998</v>
      </c>
      <c r="H1062" s="1">
        <v>0.76749999999999996</v>
      </c>
      <c r="I1062" s="1">
        <v>0.28760000000000002</v>
      </c>
      <c r="J1062" s="1">
        <v>63435</v>
      </c>
      <c r="K1062" s="1">
        <v>25000</v>
      </c>
      <c r="L1062" s="1">
        <v>10158</v>
      </c>
      <c r="M1062" s="1">
        <v>13</v>
      </c>
      <c r="N1062" s="1" t="s">
        <v>28</v>
      </c>
      <c r="O1062" s="1" t="s">
        <v>21</v>
      </c>
      <c r="P1062" s="1" t="s">
        <v>39</v>
      </c>
      <c r="Q1062" s="1" t="s">
        <v>23</v>
      </c>
      <c r="R1062">
        <v>0.24714216089610086</v>
      </c>
    </row>
    <row r="1063" spans="1:18" x14ac:dyDescent="0.2">
      <c r="A1063" s="1">
        <v>181853</v>
      </c>
      <c r="B1063" s="1" t="s">
        <v>1134</v>
      </c>
      <c r="C1063" s="1" t="s">
        <v>221</v>
      </c>
      <c r="D1063" s="1">
        <v>0.51880000000000004</v>
      </c>
      <c r="E1063" s="1">
        <v>428</v>
      </c>
      <c r="F1063" s="1">
        <v>23000</v>
      </c>
      <c r="G1063" s="1">
        <v>0.52210000000000001</v>
      </c>
      <c r="H1063" s="1">
        <v>0.68700000000000006</v>
      </c>
      <c r="I1063" s="1">
        <v>0.40179999999999999</v>
      </c>
      <c r="J1063" s="1">
        <v>44130</v>
      </c>
      <c r="K1063" s="1">
        <v>21500</v>
      </c>
      <c r="L1063" s="1">
        <v>5879</v>
      </c>
      <c r="M1063" s="1">
        <v>11</v>
      </c>
      <c r="N1063" s="1" t="s">
        <v>20</v>
      </c>
      <c r="O1063" s="1" t="s">
        <v>42</v>
      </c>
      <c r="P1063" s="1" t="s">
        <v>22</v>
      </c>
      <c r="Q1063" s="1" t="s">
        <v>31</v>
      </c>
      <c r="R1063">
        <v>0.2450494670792136</v>
      </c>
    </row>
    <row r="1064" spans="1:18" x14ac:dyDescent="0.2">
      <c r="A1064" s="1">
        <v>181127</v>
      </c>
      <c r="B1064" s="1" t="s">
        <v>1135</v>
      </c>
      <c r="C1064" s="1" t="s">
        <v>221</v>
      </c>
      <c r="D1064" s="1">
        <v>0.71650000000000003</v>
      </c>
      <c r="E1064" s="1">
        <v>891</v>
      </c>
      <c r="F1064" s="1">
        <v>37770</v>
      </c>
      <c r="G1064" s="1">
        <v>0.48849999999999999</v>
      </c>
      <c r="H1064" s="1">
        <v>0.65629999999999999</v>
      </c>
      <c r="I1064" s="1">
        <v>0.2737</v>
      </c>
      <c r="J1064" s="1">
        <v>51303</v>
      </c>
      <c r="K1064" s="1">
        <v>27000</v>
      </c>
      <c r="L1064" s="1">
        <v>7146</v>
      </c>
      <c r="M1064" s="1">
        <v>14</v>
      </c>
      <c r="N1064" s="1" t="s">
        <v>20</v>
      </c>
      <c r="O1064" s="1" t="s">
        <v>42</v>
      </c>
      <c r="P1064" s="1" t="s">
        <v>22</v>
      </c>
      <c r="Q1064" s="1" t="s">
        <v>23</v>
      </c>
      <c r="R1064">
        <v>0.24401888524508242</v>
      </c>
    </row>
    <row r="1065" spans="1:18" x14ac:dyDescent="0.2">
      <c r="A1065" s="1">
        <v>237525</v>
      </c>
      <c r="B1065" s="1" t="s">
        <v>1136</v>
      </c>
      <c r="C1065" s="1" t="s">
        <v>255</v>
      </c>
      <c r="D1065" s="1">
        <v>0.95730000000000004</v>
      </c>
      <c r="E1065" s="1">
        <v>7266</v>
      </c>
      <c r="F1065" s="1">
        <v>20342</v>
      </c>
      <c r="G1065" s="1">
        <v>0.51229999999999998</v>
      </c>
      <c r="H1065" s="1">
        <v>0.7218</v>
      </c>
      <c r="I1065" s="1">
        <v>0.38679999999999998</v>
      </c>
      <c r="J1065" s="1">
        <v>46354</v>
      </c>
      <c r="K1065" s="1">
        <v>23250</v>
      </c>
      <c r="L1065" s="1">
        <v>8576</v>
      </c>
      <c r="M1065" s="1">
        <v>16</v>
      </c>
      <c r="N1065" s="1" t="s">
        <v>28</v>
      </c>
      <c r="O1065" s="1" t="s">
        <v>29</v>
      </c>
      <c r="P1065" s="1" t="s">
        <v>30</v>
      </c>
      <c r="Q1065" s="1" t="s">
        <v>31</v>
      </c>
      <c r="R1065">
        <v>0.2439010753713915</v>
      </c>
    </row>
    <row r="1066" spans="1:18" x14ac:dyDescent="0.2">
      <c r="A1066" s="1">
        <v>201441</v>
      </c>
      <c r="B1066" s="1" t="s">
        <v>1137</v>
      </c>
      <c r="C1066" s="1" t="s">
        <v>19</v>
      </c>
      <c r="D1066" s="1">
        <v>0.80959999999999999</v>
      </c>
      <c r="E1066" s="1">
        <v>12812</v>
      </c>
      <c r="F1066" s="1">
        <v>22448</v>
      </c>
      <c r="G1066" s="1">
        <v>0.63729999999999998</v>
      </c>
      <c r="H1066" s="1">
        <v>0.81569999999999998</v>
      </c>
      <c r="I1066" s="1">
        <v>0.23130000000000001</v>
      </c>
      <c r="J1066" s="1">
        <v>47896</v>
      </c>
      <c r="K1066" s="1">
        <v>25000</v>
      </c>
      <c r="L1066" s="1">
        <v>10477</v>
      </c>
      <c r="M1066" s="1">
        <v>17</v>
      </c>
      <c r="N1066" s="1" t="s">
        <v>28</v>
      </c>
      <c r="O1066" s="1" t="s">
        <v>42</v>
      </c>
      <c r="P1066" s="1" t="s">
        <v>22</v>
      </c>
      <c r="Q1066" s="1" t="s">
        <v>31</v>
      </c>
      <c r="R1066">
        <v>0.24369218617359245</v>
      </c>
    </row>
    <row r="1067" spans="1:18" x14ac:dyDescent="0.2">
      <c r="A1067" s="1">
        <v>194824</v>
      </c>
      <c r="B1067" s="1" t="s">
        <v>1138</v>
      </c>
      <c r="C1067" s="1" t="s">
        <v>58</v>
      </c>
      <c r="D1067" s="1">
        <v>0.63470000000000004</v>
      </c>
      <c r="E1067" s="1">
        <v>5714</v>
      </c>
      <c r="F1067" s="1">
        <v>64081</v>
      </c>
      <c r="G1067" s="1">
        <v>0.83620000000000005</v>
      </c>
      <c r="H1067" s="1">
        <v>0.90720000000000001</v>
      </c>
      <c r="I1067" s="1">
        <v>0.19919999999999999</v>
      </c>
      <c r="J1067" s="1">
        <v>102051</v>
      </c>
      <c r="K1067" s="1">
        <v>23750</v>
      </c>
      <c r="L1067" s="1">
        <v>13820</v>
      </c>
      <c r="M1067" s="1">
        <v>14</v>
      </c>
      <c r="N1067" s="1" t="s">
        <v>20</v>
      </c>
      <c r="O1067" s="1" t="s">
        <v>29</v>
      </c>
      <c r="P1067" s="1" t="s">
        <v>39</v>
      </c>
      <c r="Q1067" s="1" t="s">
        <v>23</v>
      </c>
      <c r="R1067">
        <v>0.24322336426554869</v>
      </c>
    </row>
    <row r="1068" spans="1:18" x14ac:dyDescent="0.2">
      <c r="A1068" s="1">
        <v>205957</v>
      </c>
      <c r="B1068" s="1" t="s">
        <v>1139</v>
      </c>
      <c r="C1068" s="1" t="s">
        <v>19</v>
      </c>
      <c r="D1068" s="1">
        <v>0.58360000000000001</v>
      </c>
      <c r="E1068" s="1">
        <v>2901</v>
      </c>
      <c r="F1068" s="1">
        <v>34100</v>
      </c>
      <c r="G1068" s="1">
        <v>0.75449999999999995</v>
      </c>
      <c r="H1068" s="1">
        <v>0.87480000000000002</v>
      </c>
      <c r="I1068" s="1">
        <v>0.23039999999999999</v>
      </c>
      <c r="J1068" s="1">
        <v>50030</v>
      </c>
      <c r="K1068" s="1">
        <v>23384</v>
      </c>
      <c r="L1068" s="1">
        <v>6622</v>
      </c>
      <c r="M1068" s="1">
        <v>17</v>
      </c>
      <c r="N1068" s="1" t="s">
        <v>20</v>
      </c>
      <c r="O1068" s="1" t="s">
        <v>29</v>
      </c>
      <c r="P1068" s="1" t="s">
        <v>22</v>
      </c>
      <c r="Q1068" s="1" t="s">
        <v>23</v>
      </c>
      <c r="R1068">
        <v>0.24275723165904073</v>
      </c>
    </row>
    <row r="1069" spans="1:18" x14ac:dyDescent="0.2">
      <c r="A1069" s="1">
        <v>161457</v>
      </c>
      <c r="B1069" s="1" t="s">
        <v>1140</v>
      </c>
      <c r="C1069" s="1" t="s">
        <v>74</v>
      </c>
      <c r="D1069" s="1">
        <v>0.9163</v>
      </c>
      <c r="E1069" s="1">
        <v>2135</v>
      </c>
      <c r="F1069" s="1">
        <v>44210</v>
      </c>
      <c r="G1069" s="1">
        <v>0.6835</v>
      </c>
      <c r="H1069" s="1">
        <v>0.79420000000000002</v>
      </c>
      <c r="I1069" s="1">
        <v>0.1178</v>
      </c>
      <c r="J1069" s="1">
        <v>55921</v>
      </c>
      <c r="K1069" s="1">
        <v>25250</v>
      </c>
      <c r="L1069" s="1">
        <v>9669</v>
      </c>
      <c r="M1069" s="1">
        <v>11</v>
      </c>
      <c r="N1069" s="1" t="s">
        <v>20</v>
      </c>
      <c r="O1069" s="1" t="s">
        <v>21</v>
      </c>
      <c r="P1069" s="1" t="s">
        <v>39</v>
      </c>
      <c r="Q1069" s="1" t="s">
        <v>23</v>
      </c>
      <c r="R1069">
        <v>0.24271000628884609</v>
      </c>
    </row>
    <row r="1070" spans="1:18" x14ac:dyDescent="0.2">
      <c r="A1070" s="1">
        <v>112394</v>
      </c>
      <c r="B1070" s="1" t="s">
        <v>1141</v>
      </c>
      <c r="C1070" s="1" t="s">
        <v>33</v>
      </c>
      <c r="D1070" s="1">
        <v>0.51180000000000003</v>
      </c>
      <c r="E1070" s="1">
        <v>455</v>
      </c>
      <c r="F1070" s="1">
        <v>22480</v>
      </c>
      <c r="G1070" s="1">
        <v>0.28739999999999999</v>
      </c>
      <c r="H1070" s="1">
        <v>0.6875</v>
      </c>
      <c r="I1070" s="1">
        <v>0.49740000000000001</v>
      </c>
      <c r="J1070" s="1">
        <v>51017</v>
      </c>
      <c r="K1070" s="1">
        <v>31000</v>
      </c>
      <c r="L1070" s="1">
        <v>7964</v>
      </c>
      <c r="M1070" s="1">
        <v>13</v>
      </c>
      <c r="N1070" s="1" t="s">
        <v>142</v>
      </c>
      <c r="O1070" s="1" t="s">
        <v>29</v>
      </c>
      <c r="P1070" s="1" t="s">
        <v>22</v>
      </c>
      <c r="Q1070" s="1" t="s">
        <v>23</v>
      </c>
      <c r="R1070">
        <v>0.24256784872372139</v>
      </c>
    </row>
    <row r="1071" spans="1:18" x14ac:dyDescent="0.2">
      <c r="A1071" s="1">
        <v>166683</v>
      </c>
      <c r="B1071" s="1" t="s">
        <v>1142</v>
      </c>
      <c r="C1071" s="1" t="s">
        <v>129</v>
      </c>
      <c r="D1071" s="1">
        <v>4.5499999999999999E-2</v>
      </c>
      <c r="E1071" s="1">
        <v>4535</v>
      </c>
      <c r="F1071" s="1">
        <v>62396</v>
      </c>
      <c r="G1071" s="1">
        <v>0.96409999999999996</v>
      </c>
      <c r="H1071" s="1">
        <v>0.99080000000000001</v>
      </c>
      <c r="I1071" s="1">
        <v>0.19320000000000001</v>
      </c>
      <c r="J1071" s="1">
        <v>143372</v>
      </c>
      <c r="K1071" s="1">
        <v>14768</v>
      </c>
      <c r="L1071" s="1">
        <v>24177</v>
      </c>
      <c r="M1071" s="1">
        <v>3</v>
      </c>
      <c r="N1071" s="1" t="s">
        <v>20</v>
      </c>
      <c r="O1071" s="1" t="s">
        <v>29</v>
      </c>
      <c r="P1071" s="1" t="s">
        <v>39</v>
      </c>
      <c r="Q1071" s="1" t="s">
        <v>23</v>
      </c>
      <c r="R1071">
        <v>0.24223003268350629</v>
      </c>
    </row>
    <row r="1072" spans="1:18" x14ac:dyDescent="0.2">
      <c r="A1072" s="1">
        <v>173920</v>
      </c>
      <c r="B1072" s="1" t="s">
        <v>1143</v>
      </c>
      <c r="C1072" s="1" t="s">
        <v>54</v>
      </c>
      <c r="D1072" s="1">
        <v>0.88439999999999996</v>
      </c>
      <c r="E1072" s="1">
        <v>11703</v>
      </c>
      <c r="F1072" s="1">
        <v>18942</v>
      </c>
      <c r="G1072" s="1">
        <v>0.53949999999999998</v>
      </c>
      <c r="H1072" s="1">
        <v>0.80249999999999999</v>
      </c>
      <c r="I1072" s="1">
        <v>0.20960000000000001</v>
      </c>
      <c r="J1072" s="1">
        <v>56922</v>
      </c>
      <c r="K1072" s="1">
        <v>21106</v>
      </c>
      <c r="L1072" s="1">
        <v>11257</v>
      </c>
      <c r="M1072" s="1">
        <v>21</v>
      </c>
      <c r="N1072" s="1" t="s">
        <v>28</v>
      </c>
      <c r="O1072" s="1" t="s">
        <v>29</v>
      </c>
      <c r="P1072" s="1" t="s">
        <v>22</v>
      </c>
      <c r="Q1072" s="1" t="s">
        <v>23</v>
      </c>
      <c r="R1072">
        <v>0.24199691456252626</v>
      </c>
    </row>
    <row r="1073" spans="1:18" x14ac:dyDescent="0.2">
      <c r="A1073" s="1">
        <v>153278</v>
      </c>
      <c r="B1073" s="1" t="s">
        <v>1144</v>
      </c>
      <c r="C1073" s="1" t="s">
        <v>81</v>
      </c>
      <c r="D1073" s="1">
        <v>0.88629999999999998</v>
      </c>
      <c r="E1073" s="1">
        <v>1440</v>
      </c>
      <c r="F1073" s="1">
        <v>42095</v>
      </c>
      <c r="G1073" s="1">
        <v>0.40079999999999999</v>
      </c>
      <c r="H1073" s="1">
        <v>0.76559999999999995</v>
      </c>
      <c r="I1073" s="1">
        <v>0.39839999999999998</v>
      </c>
      <c r="J1073" s="1">
        <v>51190</v>
      </c>
      <c r="K1073" s="1">
        <v>25750</v>
      </c>
      <c r="L1073" s="1">
        <v>7559</v>
      </c>
      <c r="M1073" s="1">
        <v>10</v>
      </c>
      <c r="N1073" s="1" t="s">
        <v>20</v>
      </c>
      <c r="O1073" s="1" t="s">
        <v>29</v>
      </c>
      <c r="P1073" s="1" t="s">
        <v>22</v>
      </c>
      <c r="Q1073" s="1" t="s">
        <v>23</v>
      </c>
      <c r="R1073">
        <v>0.24194279271292496</v>
      </c>
    </row>
    <row r="1074" spans="1:18" x14ac:dyDescent="0.2">
      <c r="A1074" s="1">
        <v>170000</v>
      </c>
      <c r="B1074" s="1" t="s">
        <v>1145</v>
      </c>
      <c r="C1074" s="1" t="s">
        <v>109</v>
      </c>
      <c r="D1074" s="1">
        <v>0.99160000000000004</v>
      </c>
      <c r="E1074" s="1">
        <v>716</v>
      </c>
      <c r="F1074" s="1">
        <v>18690</v>
      </c>
      <c r="G1074" s="1">
        <v>0.51039999999999996</v>
      </c>
      <c r="H1074" s="1">
        <v>0.6522</v>
      </c>
      <c r="I1074" s="1">
        <v>0.46910000000000002</v>
      </c>
      <c r="J1074" s="1">
        <v>41663</v>
      </c>
      <c r="K1074" s="1">
        <v>24375</v>
      </c>
      <c r="L1074" s="1">
        <v>5647</v>
      </c>
      <c r="M1074" s="1">
        <v>15</v>
      </c>
      <c r="N1074" s="1" t="s">
        <v>20</v>
      </c>
      <c r="O1074" s="1" t="s">
        <v>29</v>
      </c>
      <c r="P1074" s="1" t="s">
        <v>22</v>
      </c>
      <c r="Q1074" s="1" t="s">
        <v>31</v>
      </c>
      <c r="R1074">
        <v>0.2408352583139175</v>
      </c>
    </row>
    <row r="1075" spans="1:18" x14ac:dyDescent="0.2">
      <c r="A1075" s="1">
        <v>237950</v>
      </c>
      <c r="B1075" s="1" t="s">
        <v>1146</v>
      </c>
      <c r="C1075" s="1" t="s">
        <v>255</v>
      </c>
      <c r="D1075" s="1">
        <v>0.36680000000000001</v>
      </c>
      <c r="E1075" s="1">
        <v>981</v>
      </c>
      <c r="F1075" s="1">
        <v>21072</v>
      </c>
      <c r="G1075" s="1">
        <v>0.3296</v>
      </c>
      <c r="H1075" s="1">
        <v>0.61760000000000004</v>
      </c>
      <c r="I1075" s="1">
        <v>0.27379999999999999</v>
      </c>
      <c r="J1075" s="1">
        <v>55939</v>
      </c>
      <c r="K1075" s="1">
        <v>22500</v>
      </c>
      <c r="L1075" s="1">
        <v>8140</v>
      </c>
      <c r="M1075" s="1">
        <v>13</v>
      </c>
      <c r="N1075" s="1" t="s">
        <v>28</v>
      </c>
      <c r="O1075" s="1" t="s">
        <v>29</v>
      </c>
      <c r="P1075" s="1" t="s">
        <v>30</v>
      </c>
      <c r="Q1075" s="1" t="s">
        <v>23</v>
      </c>
      <c r="R1075">
        <v>0.24046351352379747</v>
      </c>
    </row>
    <row r="1076" spans="1:18" x14ac:dyDescent="0.2">
      <c r="A1076" s="1">
        <v>136950</v>
      </c>
      <c r="B1076" s="1" t="s">
        <v>1147</v>
      </c>
      <c r="C1076" s="1" t="s">
        <v>27</v>
      </c>
      <c r="D1076" s="1">
        <v>0.47539999999999999</v>
      </c>
      <c r="E1076" s="1">
        <v>2631</v>
      </c>
      <c r="F1076" s="1">
        <v>60580</v>
      </c>
      <c r="G1076" s="1">
        <v>0.75049999999999994</v>
      </c>
      <c r="H1076" s="1">
        <v>0.85240000000000005</v>
      </c>
      <c r="I1076" s="1">
        <v>0.22850000000000001</v>
      </c>
      <c r="J1076" s="1">
        <v>58295</v>
      </c>
      <c r="K1076" s="1">
        <v>25500</v>
      </c>
      <c r="L1076" s="1">
        <v>10589</v>
      </c>
      <c r="M1076" s="1">
        <v>12</v>
      </c>
      <c r="N1076" s="1" t="s">
        <v>20</v>
      </c>
      <c r="O1076" s="1" t="s">
        <v>21</v>
      </c>
      <c r="P1076" s="1" t="s">
        <v>30</v>
      </c>
      <c r="Q1076" s="1" t="s">
        <v>23</v>
      </c>
      <c r="R1076">
        <v>0.2398259397976179</v>
      </c>
    </row>
    <row r="1077" spans="1:18" x14ac:dyDescent="0.2">
      <c r="A1077" s="1">
        <v>160977</v>
      </c>
      <c r="B1077" s="1" t="s">
        <v>1148</v>
      </c>
      <c r="C1077" s="1" t="s">
        <v>74</v>
      </c>
      <c r="D1077" s="1">
        <v>0.13320000000000001</v>
      </c>
      <c r="E1077" s="1">
        <v>1760</v>
      </c>
      <c r="F1077" s="1">
        <v>66590</v>
      </c>
      <c r="G1077" s="1">
        <v>0.89690000000000003</v>
      </c>
      <c r="H1077" s="1">
        <v>0.91290000000000004</v>
      </c>
      <c r="I1077" s="1">
        <v>0.1152</v>
      </c>
      <c r="J1077" s="1">
        <v>69498</v>
      </c>
      <c r="K1077" s="1">
        <v>14275</v>
      </c>
      <c r="L1077" s="1">
        <v>11886</v>
      </c>
      <c r="M1077" s="1">
        <v>9</v>
      </c>
      <c r="N1077" s="1" t="s">
        <v>20</v>
      </c>
      <c r="O1077" s="1" t="s">
        <v>29</v>
      </c>
      <c r="P1077" s="1" t="s">
        <v>39</v>
      </c>
      <c r="Q1077" s="1" t="s">
        <v>23</v>
      </c>
      <c r="R1077">
        <v>0.23845500015665122</v>
      </c>
    </row>
    <row r="1078" spans="1:18" x14ac:dyDescent="0.2">
      <c r="A1078" s="1">
        <v>214759</v>
      </c>
      <c r="B1078" s="1" t="s">
        <v>1149</v>
      </c>
      <c r="C1078" s="1" t="s">
        <v>98</v>
      </c>
      <c r="D1078" s="1">
        <v>0.95469999999999999</v>
      </c>
      <c r="E1078" s="1">
        <v>402</v>
      </c>
      <c r="F1078" s="1">
        <v>24134</v>
      </c>
      <c r="G1078" s="1">
        <v>0.38619999999999999</v>
      </c>
      <c r="H1078" s="1">
        <v>0.77780000000000005</v>
      </c>
      <c r="I1078" s="1">
        <v>0.3866</v>
      </c>
      <c r="J1078" s="1">
        <v>63435</v>
      </c>
      <c r="K1078" s="1">
        <v>25000</v>
      </c>
      <c r="L1078" s="1">
        <v>9599</v>
      </c>
      <c r="M1078" s="1">
        <v>9</v>
      </c>
      <c r="N1078" s="1" t="s">
        <v>28</v>
      </c>
      <c r="O1078" s="1" t="s">
        <v>42</v>
      </c>
      <c r="P1078" s="1" t="s">
        <v>39</v>
      </c>
      <c r="Q1078" s="1" t="s">
        <v>23</v>
      </c>
      <c r="R1078">
        <v>0.23817111495947918</v>
      </c>
    </row>
    <row r="1079" spans="1:18" x14ac:dyDescent="0.2">
      <c r="A1079" s="1">
        <v>204617</v>
      </c>
      <c r="B1079" s="1" t="s">
        <v>1150</v>
      </c>
      <c r="C1079" s="1" t="s">
        <v>19</v>
      </c>
      <c r="D1079" s="1">
        <v>0.94230000000000003</v>
      </c>
      <c r="E1079" s="1">
        <v>760</v>
      </c>
      <c r="F1079" s="1">
        <v>35720</v>
      </c>
      <c r="G1079" s="1">
        <v>0.41020000000000001</v>
      </c>
      <c r="H1079" s="1">
        <v>0.63959999999999995</v>
      </c>
      <c r="I1079" s="1">
        <v>0.36909999999999998</v>
      </c>
      <c r="J1079" s="1">
        <v>51748</v>
      </c>
      <c r="K1079" s="1">
        <v>26000</v>
      </c>
      <c r="L1079" s="1">
        <v>8164</v>
      </c>
      <c r="M1079" s="1">
        <v>12</v>
      </c>
      <c r="N1079" s="1" t="s">
        <v>20</v>
      </c>
      <c r="O1079" s="1" t="s">
        <v>29</v>
      </c>
      <c r="P1079" s="1" t="s">
        <v>22</v>
      </c>
      <c r="Q1079" s="1" t="s">
        <v>23</v>
      </c>
      <c r="R1079">
        <v>0.23792331207997885</v>
      </c>
    </row>
    <row r="1080" spans="1:18" x14ac:dyDescent="0.2">
      <c r="A1080" s="1">
        <v>154749</v>
      </c>
      <c r="B1080" s="1" t="s">
        <v>1151</v>
      </c>
      <c r="C1080" s="1" t="s">
        <v>56</v>
      </c>
      <c r="D1080" s="1">
        <v>0.93500000000000005</v>
      </c>
      <c r="E1080" s="1">
        <v>504</v>
      </c>
      <c r="F1080" s="1">
        <v>35014</v>
      </c>
      <c r="G1080" s="1">
        <v>0.41120000000000001</v>
      </c>
      <c r="H1080" s="1">
        <v>0.61880000000000002</v>
      </c>
      <c r="I1080" s="1">
        <v>0.40560000000000002</v>
      </c>
      <c r="J1080" s="1">
        <v>49898</v>
      </c>
      <c r="K1080" s="1">
        <v>24000</v>
      </c>
      <c r="L1080" s="1">
        <v>6033</v>
      </c>
      <c r="M1080" s="1">
        <v>11</v>
      </c>
      <c r="N1080" s="1" t="s">
        <v>20</v>
      </c>
      <c r="O1080" s="1" t="s">
        <v>42</v>
      </c>
      <c r="P1080" s="1" t="s">
        <v>22</v>
      </c>
      <c r="Q1080" s="1" t="s">
        <v>31</v>
      </c>
      <c r="R1080">
        <v>0.23747693548632687</v>
      </c>
    </row>
    <row r="1081" spans="1:18" x14ac:dyDescent="0.2">
      <c r="A1081" s="1">
        <v>215798</v>
      </c>
      <c r="B1081" s="1" t="s">
        <v>1152</v>
      </c>
      <c r="C1081" s="1" t="s">
        <v>98</v>
      </c>
      <c r="D1081" s="1">
        <v>0.61729999999999996</v>
      </c>
      <c r="E1081" s="1">
        <v>1259</v>
      </c>
      <c r="F1081" s="1">
        <v>42396</v>
      </c>
      <c r="G1081" s="1">
        <v>0.68589999999999995</v>
      </c>
      <c r="H1081" s="1">
        <v>0.82250000000000001</v>
      </c>
      <c r="I1081" s="1">
        <v>0.26719999999999999</v>
      </c>
      <c r="J1081" s="1">
        <v>59982</v>
      </c>
      <c r="K1081" s="1">
        <v>27000</v>
      </c>
      <c r="L1081" s="1">
        <v>8302</v>
      </c>
      <c r="M1081" s="1">
        <v>11</v>
      </c>
      <c r="N1081" s="1" t="s">
        <v>20</v>
      </c>
      <c r="O1081" s="1" t="s">
        <v>21</v>
      </c>
      <c r="P1081" s="1" t="s">
        <v>39</v>
      </c>
      <c r="Q1081" s="1" t="s">
        <v>23</v>
      </c>
      <c r="R1081">
        <v>0.23682451307418095</v>
      </c>
    </row>
    <row r="1082" spans="1:18" x14ac:dyDescent="0.2">
      <c r="A1082" s="1">
        <v>229115</v>
      </c>
      <c r="B1082" s="1" t="s">
        <v>1153</v>
      </c>
      <c r="C1082" s="1" t="s">
        <v>36</v>
      </c>
      <c r="D1082" s="1">
        <v>0.72650000000000003</v>
      </c>
      <c r="E1082" s="1">
        <v>32394</v>
      </c>
      <c r="F1082" s="1">
        <v>24451</v>
      </c>
      <c r="G1082" s="1">
        <v>0.68689999999999996</v>
      </c>
      <c r="H1082" s="1">
        <v>0.84950000000000003</v>
      </c>
      <c r="I1082" s="1">
        <v>0.27750000000000002</v>
      </c>
      <c r="J1082" s="1">
        <v>62454</v>
      </c>
      <c r="K1082" s="1">
        <v>21500</v>
      </c>
      <c r="L1082" s="1">
        <v>11757</v>
      </c>
      <c r="M1082" s="1">
        <v>20</v>
      </c>
      <c r="N1082" s="1" t="s">
        <v>28</v>
      </c>
      <c r="O1082" s="1" t="s">
        <v>29</v>
      </c>
      <c r="P1082" s="1" t="s">
        <v>30</v>
      </c>
      <c r="Q1082" s="1" t="s">
        <v>23</v>
      </c>
      <c r="R1082">
        <v>0.23613487738678796</v>
      </c>
    </row>
    <row r="1083" spans="1:18" x14ac:dyDescent="0.2">
      <c r="A1083" s="1">
        <v>163578</v>
      </c>
      <c r="B1083" s="1" t="s">
        <v>1154</v>
      </c>
      <c r="C1083" s="1" t="s">
        <v>61</v>
      </c>
      <c r="D1083" s="1">
        <v>0.8216</v>
      </c>
      <c r="E1083" s="1">
        <v>709</v>
      </c>
      <c r="F1083" s="1">
        <v>43360</v>
      </c>
      <c r="G1083" s="1">
        <v>0.5</v>
      </c>
      <c r="H1083" s="1">
        <v>0.72770000000000001</v>
      </c>
      <c r="I1083" s="1">
        <v>0.3644</v>
      </c>
      <c r="J1083" s="1">
        <v>65344</v>
      </c>
      <c r="K1083" s="1">
        <v>22666</v>
      </c>
      <c r="L1083" s="1">
        <v>7645</v>
      </c>
      <c r="M1083" s="1">
        <v>9</v>
      </c>
      <c r="N1083" s="1" t="s">
        <v>20</v>
      </c>
      <c r="O1083" s="1" t="s">
        <v>29</v>
      </c>
      <c r="P1083" s="1" t="s">
        <v>30</v>
      </c>
      <c r="Q1083" s="1" t="s">
        <v>23</v>
      </c>
      <c r="R1083">
        <v>0.23576149995659068</v>
      </c>
    </row>
    <row r="1084" spans="1:18" x14ac:dyDescent="0.2">
      <c r="A1084" s="1">
        <v>129020</v>
      </c>
      <c r="B1084" s="1" t="s">
        <v>1155</v>
      </c>
      <c r="C1084" s="1" t="s">
        <v>147</v>
      </c>
      <c r="D1084" s="1">
        <v>0.52390000000000003</v>
      </c>
      <c r="E1084" s="1">
        <v>19835</v>
      </c>
      <c r="F1084" s="1">
        <v>43712</v>
      </c>
      <c r="G1084" s="1">
        <v>0.83289999999999997</v>
      </c>
      <c r="H1084" s="1">
        <v>0.92459999999999998</v>
      </c>
      <c r="I1084" s="1">
        <v>0.25380000000000003</v>
      </c>
      <c r="J1084" s="1">
        <v>73997</v>
      </c>
      <c r="K1084" s="1">
        <v>21500</v>
      </c>
      <c r="L1084" s="1">
        <v>14634</v>
      </c>
      <c r="M1084" s="1">
        <v>17</v>
      </c>
      <c r="N1084" s="1" t="s">
        <v>28</v>
      </c>
      <c r="O1084" s="1" t="s">
        <v>42</v>
      </c>
      <c r="P1084" s="1" t="s">
        <v>39</v>
      </c>
      <c r="Q1084" s="1" t="s">
        <v>23</v>
      </c>
      <c r="R1084">
        <v>0.23469272651996442</v>
      </c>
    </row>
    <row r="1085" spans="1:18" x14ac:dyDescent="0.2">
      <c r="A1085" s="1">
        <v>183974</v>
      </c>
      <c r="B1085" s="1" t="s">
        <v>1156</v>
      </c>
      <c r="C1085" s="1" t="s">
        <v>66</v>
      </c>
      <c r="D1085" s="1">
        <v>0.83079999999999998</v>
      </c>
      <c r="E1085" s="1">
        <v>910</v>
      </c>
      <c r="F1085" s="1">
        <v>37732</v>
      </c>
      <c r="G1085" s="1">
        <v>0.5605</v>
      </c>
      <c r="H1085" s="1">
        <v>0.77839999999999998</v>
      </c>
      <c r="I1085" s="1">
        <v>0.38279999999999997</v>
      </c>
      <c r="J1085" s="1">
        <v>53726</v>
      </c>
      <c r="K1085" s="1">
        <v>23163</v>
      </c>
      <c r="L1085" s="1">
        <v>7533</v>
      </c>
      <c r="M1085" s="1">
        <v>12</v>
      </c>
      <c r="N1085" s="1" t="s">
        <v>20</v>
      </c>
      <c r="O1085" s="1" t="s">
        <v>21</v>
      </c>
      <c r="P1085" s="1" t="s">
        <v>39</v>
      </c>
      <c r="Q1085" s="1" t="s">
        <v>23</v>
      </c>
      <c r="R1085">
        <v>0.23435190563152597</v>
      </c>
    </row>
    <row r="1086" spans="1:18" x14ac:dyDescent="0.2">
      <c r="A1086" s="1">
        <v>154518</v>
      </c>
      <c r="B1086" s="1" t="s">
        <v>1157</v>
      </c>
      <c r="C1086" s="1" t="s">
        <v>81</v>
      </c>
      <c r="D1086" s="1">
        <v>0.76980000000000004</v>
      </c>
      <c r="E1086" s="1">
        <v>1827</v>
      </c>
      <c r="F1086" s="1">
        <v>25978</v>
      </c>
      <c r="G1086" s="1">
        <v>0.2114</v>
      </c>
      <c r="H1086" s="1">
        <v>0.44140000000000001</v>
      </c>
      <c r="I1086" s="1">
        <v>0.35520000000000002</v>
      </c>
      <c r="J1086" s="1">
        <v>51165</v>
      </c>
      <c r="K1086" s="1">
        <v>18752</v>
      </c>
      <c r="L1086" s="1">
        <v>5766</v>
      </c>
      <c r="M1086" s="1">
        <v>22</v>
      </c>
      <c r="N1086" s="1" t="s">
        <v>20</v>
      </c>
      <c r="O1086" s="1" t="s">
        <v>42</v>
      </c>
      <c r="P1086" s="1" t="s">
        <v>22</v>
      </c>
      <c r="Q1086" s="1" t="s">
        <v>23</v>
      </c>
      <c r="R1086">
        <v>0.23406398586479404</v>
      </c>
    </row>
    <row r="1087" spans="1:18" x14ac:dyDescent="0.2">
      <c r="A1087" s="1">
        <v>231059</v>
      </c>
      <c r="B1087" s="1" t="s">
        <v>1158</v>
      </c>
      <c r="C1087" s="1" t="s">
        <v>451</v>
      </c>
      <c r="D1087" s="1">
        <v>0.84509999999999996</v>
      </c>
      <c r="E1087" s="1">
        <v>1092</v>
      </c>
      <c r="F1087" s="1">
        <v>51450</v>
      </c>
      <c r="G1087" s="1">
        <v>0.72770000000000001</v>
      </c>
      <c r="H1087" s="1">
        <v>0.7994</v>
      </c>
      <c r="I1087" s="1">
        <v>0.23680000000000001</v>
      </c>
      <c r="J1087" s="1">
        <v>61317</v>
      </c>
      <c r="K1087" s="1">
        <v>26922</v>
      </c>
      <c r="L1087" s="1">
        <v>9332</v>
      </c>
      <c r="M1087" s="1">
        <v>10</v>
      </c>
      <c r="N1087" s="1" t="s">
        <v>20</v>
      </c>
      <c r="O1087" s="1" t="s">
        <v>21</v>
      </c>
      <c r="P1087" s="1" t="s">
        <v>39</v>
      </c>
      <c r="Q1087" s="1" t="s">
        <v>23</v>
      </c>
      <c r="R1087">
        <v>0.23398964646972875</v>
      </c>
    </row>
    <row r="1088" spans="1:18" x14ac:dyDescent="0.2">
      <c r="A1088" s="1">
        <v>163851</v>
      </c>
      <c r="B1088" s="1" t="s">
        <v>1159</v>
      </c>
      <c r="C1088" s="1" t="s">
        <v>61</v>
      </c>
      <c r="D1088" s="1">
        <v>0.87470000000000003</v>
      </c>
      <c r="E1088" s="1">
        <v>6057</v>
      </c>
      <c r="F1088" s="1">
        <v>22174</v>
      </c>
      <c r="G1088" s="1">
        <v>0.68149999999999999</v>
      </c>
      <c r="H1088" s="1">
        <v>0.77659999999999996</v>
      </c>
      <c r="I1088" s="1">
        <v>0.2586</v>
      </c>
      <c r="J1088" s="1">
        <v>61515</v>
      </c>
      <c r="K1088" s="1">
        <v>21000</v>
      </c>
      <c r="L1088" s="1">
        <v>10679</v>
      </c>
      <c r="M1088" s="1">
        <v>14</v>
      </c>
      <c r="N1088" s="1" t="s">
        <v>28</v>
      </c>
      <c r="O1088" s="1" t="s">
        <v>21</v>
      </c>
      <c r="P1088" s="1" t="s">
        <v>30</v>
      </c>
      <c r="Q1088" s="1" t="s">
        <v>23</v>
      </c>
      <c r="R1088">
        <v>0.23335930115604053</v>
      </c>
    </row>
    <row r="1089" spans="1:18" x14ac:dyDescent="0.2">
      <c r="A1089" s="1">
        <v>101709</v>
      </c>
      <c r="B1089" s="1" t="s">
        <v>1160</v>
      </c>
      <c r="C1089" s="1" t="s">
        <v>177</v>
      </c>
      <c r="D1089" s="1">
        <v>0.53849999999999998</v>
      </c>
      <c r="E1089" s="1">
        <v>2151</v>
      </c>
      <c r="F1089" s="1">
        <v>26968</v>
      </c>
      <c r="G1089" s="1">
        <v>0.54100000000000004</v>
      </c>
      <c r="H1089" s="1">
        <v>0.72750000000000004</v>
      </c>
      <c r="I1089" s="1">
        <v>0.32379999999999998</v>
      </c>
      <c r="J1089" s="1">
        <v>42957</v>
      </c>
      <c r="K1089" s="1">
        <v>24000</v>
      </c>
      <c r="L1089" s="1">
        <v>9085</v>
      </c>
      <c r="M1089" s="1">
        <v>13</v>
      </c>
      <c r="N1089" s="1" t="s">
        <v>28</v>
      </c>
      <c r="O1089" s="1" t="s">
        <v>42</v>
      </c>
      <c r="P1089" s="1" t="s">
        <v>30</v>
      </c>
      <c r="Q1089" s="1" t="s">
        <v>31</v>
      </c>
      <c r="R1089">
        <v>0.2323299035671238</v>
      </c>
    </row>
    <row r="1090" spans="1:18" x14ac:dyDescent="0.2">
      <c r="A1090" s="1">
        <v>234164</v>
      </c>
      <c r="B1090" s="1" t="s">
        <v>1161</v>
      </c>
      <c r="C1090" s="1" t="s">
        <v>52</v>
      </c>
      <c r="D1090" s="1">
        <v>0.97989999999999999</v>
      </c>
      <c r="E1090" s="1">
        <v>1203</v>
      </c>
      <c r="F1090" s="1">
        <v>17450</v>
      </c>
      <c r="G1090" s="1">
        <v>0.34150000000000003</v>
      </c>
      <c r="H1090" s="1">
        <v>0.66569999999999996</v>
      </c>
      <c r="I1090" s="1">
        <v>0.68669999999999998</v>
      </c>
      <c r="J1090" s="1">
        <v>38275</v>
      </c>
      <c r="K1090" s="1">
        <v>29000</v>
      </c>
      <c r="L1090" s="1">
        <v>5874</v>
      </c>
      <c r="M1090" s="1">
        <v>16</v>
      </c>
      <c r="N1090" s="1" t="s">
        <v>20</v>
      </c>
      <c r="O1090" s="1" t="s">
        <v>29</v>
      </c>
      <c r="P1090" s="1" t="s">
        <v>30</v>
      </c>
      <c r="Q1090" s="1" t="s">
        <v>31</v>
      </c>
      <c r="R1090">
        <v>0.23223459300812832</v>
      </c>
    </row>
    <row r="1091" spans="1:18" x14ac:dyDescent="0.2">
      <c r="A1091" s="1">
        <v>221351</v>
      </c>
      <c r="B1091" s="1" t="s">
        <v>1162</v>
      </c>
      <c r="C1091" s="1" t="s">
        <v>163</v>
      </c>
      <c r="D1091" s="1">
        <v>0.50349999999999995</v>
      </c>
      <c r="E1091" s="1">
        <v>1836</v>
      </c>
      <c r="F1091" s="1">
        <v>57110</v>
      </c>
      <c r="G1091" s="1">
        <v>0.84530000000000005</v>
      </c>
      <c r="H1091" s="1">
        <v>0.92320000000000002</v>
      </c>
      <c r="I1091" s="1">
        <v>0.1593</v>
      </c>
      <c r="J1091" s="1">
        <v>66651</v>
      </c>
      <c r="K1091" s="1">
        <v>21761</v>
      </c>
      <c r="L1091" s="1">
        <v>9481</v>
      </c>
      <c r="M1091" s="1">
        <v>9</v>
      </c>
      <c r="N1091" s="1" t="s">
        <v>20</v>
      </c>
      <c r="O1091" s="1" t="s">
        <v>29</v>
      </c>
      <c r="P1091" s="1" t="s">
        <v>30</v>
      </c>
      <c r="Q1091" s="1" t="s">
        <v>23</v>
      </c>
      <c r="R1091">
        <v>0.23168408630401272</v>
      </c>
    </row>
    <row r="1092" spans="1:18" x14ac:dyDescent="0.2">
      <c r="A1092" s="1">
        <v>208646</v>
      </c>
      <c r="B1092" s="1" t="s">
        <v>1163</v>
      </c>
      <c r="C1092" s="1" t="s">
        <v>79</v>
      </c>
      <c r="D1092" s="1">
        <v>0.98309999999999997</v>
      </c>
      <c r="E1092" s="1">
        <v>2172</v>
      </c>
      <c r="F1092" s="1">
        <v>25431</v>
      </c>
      <c r="G1092" s="1">
        <v>0.43</v>
      </c>
      <c r="H1092" s="1">
        <v>0.71479999999999999</v>
      </c>
      <c r="I1092" s="1">
        <v>0.34749999999999998</v>
      </c>
      <c r="J1092" s="1">
        <v>50112</v>
      </c>
      <c r="K1092" s="1">
        <v>20500</v>
      </c>
      <c r="L1092" s="1">
        <v>8548</v>
      </c>
      <c r="M1092" s="1">
        <v>14</v>
      </c>
      <c r="N1092" s="1" t="s">
        <v>28</v>
      </c>
      <c r="O1092" s="1" t="s">
        <v>42</v>
      </c>
      <c r="P1092" s="1" t="s">
        <v>22</v>
      </c>
      <c r="Q1092" s="1" t="s">
        <v>23</v>
      </c>
      <c r="R1092">
        <v>0.23147414739275352</v>
      </c>
    </row>
    <row r="1093" spans="1:18" x14ac:dyDescent="0.2">
      <c r="A1093" s="1">
        <v>203580</v>
      </c>
      <c r="B1093" s="1" t="s">
        <v>1164</v>
      </c>
      <c r="C1093" s="1" t="s">
        <v>19</v>
      </c>
      <c r="D1093" s="1">
        <v>0.7036</v>
      </c>
      <c r="E1093" s="1">
        <v>852</v>
      </c>
      <c r="F1093" s="1">
        <v>37634</v>
      </c>
      <c r="G1093" s="1">
        <v>0.3795</v>
      </c>
      <c r="H1093" s="1">
        <v>0.59360000000000002</v>
      </c>
      <c r="I1093" s="1">
        <v>0.37230000000000002</v>
      </c>
      <c r="J1093" s="1">
        <v>50417</v>
      </c>
      <c r="K1093" s="1">
        <v>26000</v>
      </c>
      <c r="L1093" s="1">
        <v>6902</v>
      </c>
      <c r="M1093" s="1">
        <v>12</v>
      </c>
      <c r="N1093" s="1" t="s">
        <v>20</v>
      </c>
      <c r="O1093" s="1" t="s">
        <v>21</v>
      </c>
      <c r="P1093" s="1" t="s">
        <v>22</v>
      </c>
      <c r="Q1093" s="1" t="s">
        <v>23</v>
      </c>
      <c r="R1093">
        <v>0.2308167388384077</v>
      </c>
    </row>
    <row r="1094" spans="1:18" x14ac:dyDescent="0.2">
      <c r="A1094" s="1">
        <v>197285</v>
      </c>
      <c r="B1094" s="1" t="s">
        <v>1165</v>
      </c>
      <c r="C1094" s="1" t="s">
        <v>58</v>
      </c>
      <c r="D1094" s="1">
        <v>0.94420000000000004</v>
      </c>
      <c r="E1094" s="1">
        <v>759</v>
      </c>
      <c r="F1094" s="1">
        <v>25191</v>
      </c>
      <c r="G1094" s="1">
        <v>0.3765</v>
      </c>
      <c r="H1094" s="1">
        <v>0.79310000000000003</v>
      </c>
      <c r="I1094" s="1">
        <v>0.62290000000000001</v>
      </c>
      <c r="J1094" s="1">
        <v>42215</v>
      </c>
      <c r="K1094" s="1">
        <v>26967</v>
      </c>
      <c r="L1094" s="1">
        <v>6287</v>
      </c>
      <c r="M1094" s="1">
        <v>19</v>
      </c>
      <c r="N1094" s="1" t="s">
        <v>142</v>
      </c>
      <c r="O1094" s="1" t="s">
        <v>29</v>
      </c>
      <c r="P1094" s="1" t="s">
        <v>39</v>
      </c>
      <c r="Q1094" s="1" t="s">
        <v>31</v>
      </c>
      <c r="R1094">
        <v>0.22992892021497724</v>
      </c>
    </row>
    <row r="1095" spans="1:18" x14ac:dyDescent="0.2">
      <c r="A1095" s="1">
        <v>166027</v>
      </c>
      <c r="B1095" s="1" t="s">
        <v>1166</v>
      </c>
      <c r="C1095" s="1" t="s">
        <v>129</v>
      </c>
      <c r="D1095" s="1">
        <v>3.6499999999999998E-2</v>
      </c>
      <c r="E1095" s="1">
        <v>7601</v>
      </c>
      <c r="F1095" s="1">
        <v>61676</v>
      </c>
      <c r="G1095" s="1">
        <v>0.9758</v>
      </c>
      <c r="H1095" s="1">
        <v>0.98299999999999998</v>
      </c>
      <c r="I1095" s="1">
        <v>0.1643</v>
      </c>
      <c r="J1095" s="1">
        <v>101817</v>
      </c>
      <c r="K1095" s="1">
        <v>14000</v>
      </c>
      <c r="L1095" s="1">
        <v>25048</v>
      </c>
      <c r="M1095" s="1">
        <v>7</v>
      </c>
      <c r="N1095" s="1" t="s">
        <v>20</v>
      </c>
      <c r="O1095" s="1" t="s">
        <v>29</v>
      </c>
      <c r="P1095" s="1" t="s">
        <v>39</v>
      </c>
      <c r="Q1095" s="1" t="s">
        <v>23</v>
      </c>
      <c r="R1095">
        <v>0.22991036616741944</v>
      </c>
    </row>
    <row r="1096" spans="1:18" x14ac:dyDescent="0.2">
      <c r="A1096" s="1">
        <v>217998</v>
      </c>
      <c r="B1096" s="1" t="s">
        <v>1167</v>
      </c>
      <c r="C1096" s="1" t="s">
        <v>155</v>
      </c>
      <c r="D1096" s="1">
        <v>0.62739999999999996</v>
      </c>
      <c r="E1096" s="1">
        <v>766</v>
      </c>
      <c r="F1096" s="1">
        <v>36710</v>
      </c>
      <c r="G1096" s="1">
        <v>0.45179999999999998</v>
      </c>
      <c r="H1096" s="1">
        <v>0.55779999999999996</v>
      </c>
      <c r="I1096" s="1">
        <v>0.46800000000000003</v>
      </c>
      <c r="J1096" s="1">
        <v>53459</v>
      </c>
      <c r="K1096" s="1">
        <v>27000</v>
      </c>
      <c r="L1096" s="1">
        <v>5645</v>
      </c>
      <c r="M1096" s="1">
        <v>15</v>
      </c>
      <c r="N1096" s="1" t="s">
        <v>20</v>
      </c>
      <c r="O1096" s="1" t="s">
        <v>42</v>
      </c>
      <c r="P1096" s="1" t="s">
        <v>30</v>
      </c>
      <c r="Q1096" s="1" t="s">
        <v>23</v>
      </c>
      <c r="R1096">
        <v>0.22973305904723496</v>
      </c>
    </row>
    <row r="1097" spans="1:18" x14ac:dyDescent="0.2">
      <c r="A1097" s="1">
        <v>204176</v>
      </c>
      <c r="B1097" s="1" t="s">
        <v>1168</v>
      </c>
      <c r="C1097" s="1" t="s">
        <v>19</v>
      </c>
      <c r="D1097" s="1">
        <v>0.84289999999999998</v>
      </c>
      <c r="E1097" s="1">
        <v>532</v>
      </c>
      <c r="F1097" s="1">
        <v>22080</v>
      </c>
      <c r="G1097" s="1">
        <v>0.53849999999999998</v>
      </c>
      <c r="H1097" s="1">
        <v>0.80769999999999997</v>
      </c>
      <c r="I1097" s="1">
        <v>0.32700000000000001</v>
      </c>
      <c r="J1097" s="1">
        <v>75103</v>
      </c>
      <c r="K1097" s="1">
        <v>22082</v>
      </c>
      <c r="L1097" s="1">
        <v>8983</v>
      </c>
      <c r="M1097" s="1">
        <v>8</v>
      </c>
      <c r="N1097" s="1" t="s">
        <v>20</v>
      </c>
      <c r="O1097" s="1" t="s">
        <v>29</v>
      </c>
      <c r="P1097" s="1" t="s">
        <v>22</v>
      </c>
      <c r="Q1097" s="1" t="s">
        <v>23</v>
      </c>
      <c r="R1097">
        <v>0.22796333931704182</v>
      </c>
    </row>
    <row r="1098" spans="1:18" x14ac:dyDescent="0.2">
      <c r="A1098" s="1">
        <v>184348</v>
      </c>
      <c r="B1098" s="1" t="s">
        <v>1169</v>
      </c>
      <c r="C1098" s="1" t="s">
        <v>66</v>
      </c>
      <c r="D1098" s="1">
        <v>0.67830000000000001</v>
      </c>
      <c r="E1098" s="1">
        <v>1533</v>
      </c>
      <c r="F1098" s="1">
        <v>47100</v>
      </c>
      <c r="G1098" s="1">
        <v>0.70479999999999998</v>
      </c>
      <c r="H1098" s="1">
        <v>0.88370000000000004</v>
      </c>
      <c r="I1098" s="1">
        <v>0.28939999999999999</v>
      </c>
      <c r="J1098" s="1">
        <v>63646</v>
      </c>
      <c r="K1098" s="1">
        <v>25288</v>
      </c>
      <c r="L1098" s="1">
        <v>9405</v>
      </c>
      <c r="M1098" s="1">
        <v>11</v>
      </c>
      <c r="N1098" s="1" t="s">
        <v>20</v>
      </c>
      <c r="O1098" s="1" t="s">
        <v>21</v>
      </c>
      <c r="P1098" s="1" t="s">
        <v>39</v>
      </c>
      <c r="Q1098" s="1" t="s">
        <v>23</v>
      </c>
      <c r="R1098">
        <v>0.22788181956728215</v>
      </c>
    </row>
    <row r="1099" spans="1:18" x14ac:dyDescent="0.2">
      <c r="A1099" s="1">
        <v>148487</v>
      </c>
      <c r="B1099" s="1" t="s">
        <v>1170</v>
      </c>
      <c r="C1099" s="1" t="s">
        <v>25</v>
      </c>
      <c r="D1099" s="1">
        <v>0.97160000000000002</v>
      </c>
      <c r="E1099" s="1">
        <v>2849</v>
      </c>
      <c r="F1099" s="1">
        <v>21315</v>
      </c>
      <c r="G1099" s="1">
        <v>0.35139999999999999</v>
      </c>
      <c r="H1099" s="1">
        <v>0.61619999999999997</v>
      </c>
      <c r="I1099" s="1">
        <v>0.51319999999999999</v>
      </c>
      <c r="J1099" s="1">
        <v>48712</v>
      </c>
      <c r="K1099" s="1">
        <v>22000</v>
      </c>
      <c r="L1099" s="1">
        <v>8563</v>
      </c>
      <c r="M1099" s="1">
        <v>11</v>
      </c>
      <c r="N1099" s="1" t="s">
        <v>20</v>
      </c>
      <c r="O1099" s="1" t="s">
        <v>29</v>
      </c>
      <c r="P1099" s="1" t="s">
        <v>22</v>
      </c>
      <c r="Q1099" s="1" t="s">
        <v>31</v>
      </c>
      <c r="R1099">
        <v>0.226170824442812</v>
      </c>
    </row>
    <row r="1100" spans="1:18" x14ac:dyDescent="0.2">
      <c r="A1100" s="1">
        <v>466921</v>
      </c>
      <c r="B1100" s="1" t="s">
        <v>1171</v>
      </c>
      <c r="C1100" s="1" t="s">
        <v>77</v>
      </c>
      <c r="D1100" s="1">
        <v>1</v>
      </c>
      <c r="E1100" s="1">
        <v>284</v>
      </c>
      <c r="F1100" s="1">
        <v>19975</v>
      </c>
      <c r="G1100" s="1">
        <v>1</v>
      </c>
      <c r="H1100" s="1">
        <v>0.5</v>
      </c>
      <c r="I1100" s="1">
        <v>0.54879999999999995</v>
      </c>
      <c r="J1100" s="1">
        <v>92405</v>
      </c>
      <c r="K1100" s="1">
        <v>20919</v>
      </c>
      <c r="L1100" s="1">
        <v>8978</v>
      </c>
      <c r="M1100" s="1">
        <v>10</v>
      </c>
      <c r="N1100" s="1" t="s">
        <v>142</v>
      </c>
      <c r="O1100" s="1" t="s">
        <v>21</v>
      </c>
      <c r="P1100" s="1" t="s">
        <v>22</v>
      </c>
      <c r="Q1100" s="1" t="s">
        <v>23</v>
      </c>
      <c r="R1100">
        <v>0.22536335302910537</v>
      </c>
    </row>
    <row r="1101" spans="1:18" x14ac:dyDescent="0.2">
      <c r="A1101" s="1">
        <v>113698</v>
      </c>
      <c r="B1101" s="1" t="s">
        <v>1172</v>
      </c>
      <c r="C1101" s="1" t="s">
        <v>33</v>
      </c>
      <c r="D1101" s="1">
        <v>0.83499999999999996</v>
      </c>
      <c r="E1101" s="1">
        <v>1114</v>
      </c>
      <c r="F1101" s="1">
        <v>52161</v>
      </c>
      <c r="G1101" s="1">
        <v>0.78049999999999997</v>
      </c>
      <c r="H1101" s="1">
        <v>0.8548</v>
      </c>
      <c r="I1101" s="1">
        <v>0.31900000000000001</v>
      </c>
      <c r="J1101" s="1">
        <v>84713</v>
      </c>
      <c r="K1101" s="1">
        <v>27000</v>
      </c>
      <c r="L1101" s="1">
        <v>10036</v>
      </c>
      <c r="M1101" s="1">
        <v>8</v>
      </c>
      <c r="N1101" s="1" t="s">
        <v>20</v>
      </c>
      <c r="O1101" s="1" t="s">
        <v>29</v>
      </c>
      <c r="P1101" s="1" t="s">
        <v>22</v>
      </c>
      <c r="Q1101" s="1" t="s">
        <v>23</v>
      </c>
      <c r="R1101">
        <v>0.22528062270249383</v>
      </c>
    </row>
    <row r="1102" spans="1:18" x14ac:dyDescent="0.2">
      <c r="A1102" s="1">
        <v>194392</v>
      </c>
      <c r="B1102" s="1" t="s">
        <v>1173</v>
      </c>
      <c r="C1102" s="1" t="s">
        <v>58</v>
      </c>
      <c r="D1102" s="1">
        <v>0.76529999999999998</v>
      </c>
      <c r="E1102" s="1">
        <v>579</v>
      </c>
      <c r="F1102" s="1">
        <v>33009</v>
      </c>
      <c r="G1102" s="1">
        <v>0.50549999999999995</v>
      </c>
      <c r="H1102" s="1">
        <v>0.75190000000000001</v>
      </c>
      <c r="I1102" s="1">
        <v>0.36249999999999999</v>
      </c>
      <c r="J1102" s="1">
        <v>46145</v>
      </c>
      <c r="K1102" s="1">
        <v>22750</v>
      </c>
      <c r="L1102" s="1">
        <v>6551</v>
      </c>
      <c r="M1102" s="1">
        <v>12</v>
      </c>
      <c r="N1102" s="1" t="s">
        <v>20</v>
      </c>
      <c r="O1102" s="1" t="s">
        <v>42</v>
      </c>
      <c r="P1102" s="1" t="s">
        <v>39</v>
      </c>
      <c r="Q1102" s="1" t="s">
        <v>31</v>
      </c>
      <c r="R1102">
        <v>0.22516029068113619</v>
      </c>
    </row>
    <row r="1103" spans="1:18" x14ac:dyDescent="0.2">
      <c r="A1103" s="1">
        <v>123572</v>
      </c>
      <c r="B1103" s="1" t="s">
        <v>1174</v>
      </c>
      <c r="C1103" s="1" t="s">
        <v>33</v>
      </c>
      <c r="D1103" s="1">
        <v>0.93430000000000002</v>
      </c>
      <c r="E1103" s="1">
        <v>5166</v>
      </c>
      <c r="F1103" s="1">
        <v>21224</v>
      </c>
      <c r="G1103" s="1">
        <v>0.57589999999999997</v>
      </c>
      <c r="H1103" s="1">
        <v>0.79200000000000004</v>
      </c>
      <c r="I1103" s="1">
        <v>0.35920000000000002</v>
      </c>
      <c r="J1103" s="1">
        <v>65986</v>
      </c>
      <c r="K1103" s="1">
        <v>16705</v>
      </c>
      <c r="L1103" s="1">
        <v>12780</v>
      </c>
      <c r="M1103" s="1">
        <v>17</v>
      </c>
      <c r="N1103" s="1" t="s">
        <v>28</v>
      </c>
      <c r="O1103" s="1" t="s">
        <v>21</v>
      </c>
      <c r="P1103" s="1" t="s">
        <v>22</v>
      </c>
      <c r="Q1103" s="1" t="s">
        <v>23</v>
      </c>
      <c r="R1103">
        <v>0.2240465610124015</v>
      </c>
    </row>
    <row r="1104" spans="1:18" x14ac:dyDescent="0.2">
      <c r="A1104" s="1">
        <v>156356</v>
      </c>
      <c r="B1104" s="1" t="s">
        <v>1175</v>
      </c>
      <c r="C1104" s="1" t="s">
        <v>104</v>
      </c>
      <c r="D1104" s="1">
        <v>0.35239999999999999</v>
      </c>
      <c r="E1104" s="1">
        <v>545</v>
      </c>
      <c r="F1104" s="1">
        <v>31550</v>
      </c>
      <c r="G1104" s="1">
        <v>0.53710000000000002</v>
      </c>
      <c r="H1104" s="1">
        <v>0.67410000000000003</v>
      </c>
      <c r="I1104" s="1">
        <v>0.42649999999999999</v>
      </c>
      <c r="J1104" s="1">
        <v>45500</v>
      </c>
      <c r="K1104" s="1">
        <v>29430</v>
      </c>
      <c r="L1104" s="1">
        <v>6182</v>
      </c>
      <c r="M1104" s="1">
        <v>13</v>
      </c>
      <c r="N1104" s="1" t="s">
        <v>20</v>
      </c>
      <c r="O1104" s="1" t="s">
        <v>29</v>
      </c>
      <c r="P1104" s="1" t="s">
        <v>30</v>
      </c>
      <c r="Q1104" s="1" t="s">
        <v>31</v>
      </c>
      <c r="R1104">
        <v>0.22131801911170679</v>
      </c>
    </row>
    <row r="1105" spans="1:18" x14ac:dyDescent="0.2">
      <c r="A1105" s="1">
        <v>128106</v>
      </c>
      <c r="B1105" s="1" t="s">
        <v>1176</v>
      </c>
      <c r="C1105" s="1" t="s">
        <v>161</v>
      </c>
      <c r="D1105" s="1">
        <v>0.94899999999999995</v>
      </c>
      <c r="E1105" s="1">
        <v>3042</v>
      </c>
      <c r="F1105" s="1">
        <v>17944</v>
      </c>
      <c r="G1105" s="1">
        <v>0.39729999999999999</v>
      </c>
      <c r="H1105" s="1">
        <v>0.64249999999999996</v>
      </c>
      <c r="I1105" s="1">
        <v>0.28570000000000001</v>
      </c>
      <c r="J1105" s="1">
        <v>55563</v>
      </c>
      <c r="K1105" s="1">
        <v>21500</v>
      </c>
      <c r="L1105" s="1">
        <v>8216</v>
      </c>
      <c r="M1105" s="1">
        <v>16</v>
      </c>
      <c r="N1105" s="1" t="s">
        <v>28</v>
      </c>
      <c r="O1105" s="1" t="s">
        <v>29</v>
      </c>
      <c r="P1105" s="1" t="s">
        <v>22</v>
      </c>
      <c r="Q1105" s="1" t="s">
        <v>23</v>
      </c>
      <c r="R1105">
        <v>0.22058835223295481</v>
      </c>
    </row>
    <row r="1106" spans="1:18" x14ac:dyDescent="0.2">
      <c r="A1106" s="1">
        <v>216339</v>
      </c>
      <c r="B1106" s="1" t="s">
        <v>1177</v>
      </c>
      <c r="C1106" s="1" t="s">
        <v>98</v>
      </c>
      <c r="D1106" s="1">
        <v>0.80410000000000004</v>
      </c>
      <c r="E1106" s="1">
        <v>20970</v>
      </c>
      <c r="F1106" s="1">
        <v>38958</v>
      </c>
      <c r="G1106" s="1">
        <v>0.75049999999999994</v>
      </c>
      <c r="H1106" s="1">
        <v>0.82609999999999995</v>
      </c>
      <c r="I1106" s="1">
        <v>0.31969999999999998</v>
      </c>
      <c r="J1106" s="1">
        <v>63727</v>
      </c>
      <c r="K1106" s="1">
        <v>24395</v>
      </c>
      <c r="L1106" s="1">
        <v>12479</v>
      </c>
      <c r="M1106" s="1">
        <v>12</v>
      </c>
      <c r="N1106" s="1" t="s">
        <v>28</v>
      </c>
      <c r="O1106" s="1" t="s">
        <v>29</v>
      </c>
      <c r="P1106" s="1" t="s">
        <v>39</v>
      </c>
      <c r="Q1106" s="1" t="s">
        <v>23</v>
      </c>
      <c r="R1106">
        <v>0.22047478647426266</v>
      </c>
    </row>
    <row r="1107" spans="1:18" x14ac:dyDescent="0.2">
      <c r="A1107" s="1">
        <v>240480</v>
      </c>
      <c r="B1107" s="1" t="s">
        <v>1178</v>
      </c>
      <c r="C1107" s="1" t="s">
        <v>50</v>
      </c>
      <c r="D1107" s="1">
        <v>0.91800000000000004</v>
      </c>
      <c r="E1107" s="1">
        <v>7306</v>
      </c>
      <c r="F1107" s="1">
        <v>18508</v>
      </c>
      <c r="G1107" s="1">
        <v>0.50780000000000003</v>
      </c>
      <c r="H1107" s="1">
        <v>0.73829999999999996</v>
      </c>
      <c r="I1107" s="1">
        <v>0.28699999999999998</v>
      </c>
      <c r="J1107" s="1">
        <v>52021</v>
      </c>
      <c r="K1107" s="1">
        <v>21503</v>
      </c>
      <c r="L1107" s="1">
        <v>7919</v>
      </c>
      <c r="M1107" s="1">
        <v>21</v>
      </c>
      <c r="N1107" s="1" t="s">
        <v>28</v>
      </c>
      <c r="O1107" s="1" t="s">
        <v>42</v>
      </c>
      <c r="P1107" s="1" t="s">
        <v>22</v>
      </c>
      <c r="Q1107" s="1" t="s">
        <v>23</v>
      </c>
      <c r="R1107">
        <v>0.21959325554097686</v>
      </c>
    </row>
    <row r="1108" spans="1:18" x14ac:dyDescent="0.2">
      <c r="A1108" s="1">
        <v>239309</v>
      </c>
      <c r="B1108" s="1" t="s">
        <v>1179</v>
      </c>
      <c r="C1108" s="1" t="s">
        <v>50</v>
      </c>
      <c r="D1108" s="1">
        <v>0.60540000000000005</v>
      </c>
      <c r="E1108" s="1">
        <v>837</v>
      </c>
      <c r="F1108" s="1">
        <v>43743</v>
      </c>
      <c r="G1108" s="1">
        <v>0.66949999999999998</v>
      </c>
      <c r="H1108" s="1">
        <v>0.79500000000000004</v>
      </c>
      <c r="I1108" s="1">
        <v>0.37290000000000001</v>
      </c>
      <c r="J1108" s="1">
        <v>41174</v>
      </c>
      <c r="K1108" s="1">
        <v>27000</v>
      </c>
      <c r="L1108" s="1">
        <v>6527</v>
      </c>
      <c r="M1108" s="1">
        <v>11</v>
      </c>
      <c r="N1108" s="1" t="s">
        <v>20</v>
      </c>
      <c r="O1108" s="1" t="s">
        <v>29</v>
      </c>
      <c r="P1108" s="1" t="s">
        <v>22</v>
      </c>
      <c r="Q1108" s="1" t="s">
        <v>31</v>
      </c>
      <c r="R1108">
        <v>0.21935885726044768</v>
      </c>
    </row>
    <row r="1109" spans="1:18" x14ac:dyDescent="0.2">
      <c r="A1109" s="1">
        <v>102298</v>
      </c>
      <c r="B1109" s="1" t="s">
        <v>1180</v>
      </c>
      <c r="C1109" s="1" t="s">
        <v>177</v>
      </c>
      <c r="D1109" s="1">
        <v>0.85419999999999996</v>
      </c>
      <c r="E1109" s="1">
        <v>701</v>
      </c>
      <c r="F1109" s="1">
        <v>15650</v>
      </c>
      <c r="G1109" s="1">
        <v>0.30909999999999999</v>
      </c>
      <c r="H1109" s="1">
        <v>0.54410000000000003</v>
      </c>
      <c r="I1109" s="1">
        <v>0.66620000000000001</v>
      </c>
      <c r="J1109" s="1">
        <v>32229</v>
      </c>
      <c r="K1109" s="1">
        <v>28500</v>
      </c>
      <c r="L1109" s="1">
        <v>6650</v>
      </c>
      <c r="M1109" s="1">
        <v>17</v>
      </c>
      <c r="N1109" s="1" t="s">
        <v>20</v>
      </c>
      <c r="O1109" s="1" t="s">
        <v>42</v>
      </c>
      <c r="P1109" s="1" t="s">
        <v>30</v>
      </c>
      <c r="Q1109" s="1" t="s">
        <v>31</v>
      </c>
      <c r="R1109">
        <v>0.21792959214888497</v>
      </c>
    </row>
    <row r="1110" spans="1:18" x14ac:dyDescent="0.2">
      <c r="A1110" s="1">
        <v>240277</v>
      </c>
      <c r="B1110" s="1" t="s">
        <v>1181</v>
      </c>
      <c r="C1110" s="1" t="s">
        <v>50</v>
      </c>
      <c r="D1110" s="1">
        <v>0.88590000000000002</v>
      </c>
      <c r="E1110" s="1">
        <v>6341</v>
      </c>
      <c r="F1110" s="1">
        <v>17288</v>
      </c>
      <c r="G1110" s="1">
        <v>0.48220000000000002</v>
      </c>
      <c r="H1110" s="1">
        <v>0.65910000000000002</v>
      </c>
      <c r="I1110" s="1">
        <v>0.21829999999999999</v>
      </c>
      <c r="J1110" s="1">
        <v>52528</v>
      </c>
      <c r="K1110" s="1">
        <v>18500</v>
      </c>
      <c r="L1110" s="1">
        <v>8077</v>
      </c>
      <c r="M1110" s="1">
        <v>25</v>
      </c>
      <c r="N1110" s="1" t="s">
        <v>28</v>
      </c>
      <c r="O1110" s="1" t="s">
        <v>29</v>
      </c>
      <c r="P1110" s="1" t="s">
        <v>22</v>
      </c>
      <c r="Q1110" s="1" t="s">
        <v>23</v>
      </c>
      <c r="R1110">
        <v>0.21603154467800534</v>
      </c>
    </row>
    <row r="1111" spans="1:18" x14ac:dyDescent="0.2">
      <c r="A1111" s="1">
        <v>143358</v>
      </c>
      <c r="B1111" s="1" t="s">
        <v>1182</v>
      </c>
      <c r="C1111" s="1" t="s">
        <v>25</v>
      </c>
      <c r="D1111" s="1">
        <v>0.76759999999999995</v>
      </c>
      <c r="E1111" s="1">
        <v>3574</v>
      </c>
      <c r="F1111" s="1">
        <v>42160</v>
      </c>
      <c r="G1111" s="1">
        <v>0.76170000000000004</v>
      </c>
      <c r="H1111" s="1">
        <v>0.82650000000000001</v>
      </c>
      <c r="I1111" s="1">
        <v>0.3165</v>
      </c>
      <c r="J1111" s="1">
        <v>66852</v>
      </c>
      <c r="K1111" s="1">
        <v>27000</v>
      </c>
      <c r="L1111" s="1">
        <v>9409</v>
      </c>
      <c r="M1111" s="1">
        <v>11</v>
      </c>
      <c r="N1111" s="1" t="s">
        <v>20</v>
      </c>
      <c r="O1111" s="1" t="s">
        <v>29</v>
      </c>
      <c r="P1111" s="1" t="s">
        <v>22</v>
      </c>
      <c r="Q1111" s="1" t="s">
        <v>23</v>
      </c>
      <c r="R1111">
        <v>0.21533640352386219</v>
      </c>
    </row>
    <row r="1112" spans="1:18" x14ac:dyDescent="0.2">
      <c r="A1112" s="1">
        <v>186867</v>
      </c>
      <c r="B1112" s="1" t="s">
        <v>1183</v>
      </c>
      <c r="C1112" s="1" t="s">
        <v>66</v>
      </c>
      <c r="D1112" s="1">
        <v>0.4758</v>
      </c>
      <c r="E1112" s="1">
        <v>4222</v>
      </c>
      <c r="F1112" s="1">
        <v>63462</v>
      </c>
      <c r="G1112" s="1">
        <v>0.86880000000000002</v>
      </c>
      <c r="H1112" s="1">
        <v>0.93640000000000001</v>
      </c>
      <c r="I1112" s="1">
        <v>0.20430000000000001</v>
      </c>
      <c r="J1112" s="1">
        <v>108772</v>
      </c>
      <c r="K1112" s="1">
        <v>27000</v>
      </c>
      <c r="L1112" s="1">
        <v>17610</v>
      </c>
      <c r="M1112" s="1">
        <v>11</v>
      </c>
      <c r="N1112" s="1" t="s">
        <v>20</v>
      </c>
      <c r="O1112" s="1" t="s">
        <v>21</v>
      </c>
      <c r="P1112" s="1" t="s">
        <v>39</v>
      </c>
      <c r="Q1112" s="1" t="s">
        <v>23</v>
      </c>
      <c r="R1112">
        <v>0.21515019435339378</v>
      </c>
    </row>
    <row r="1113" spans="1:18" x14ac:dyDescent="0.2">
      <c r="A1113" s="1">
        <v>213668</v>
      </c>
      <c r="B1113" s="1" t="s">
        <v>1184</v>
      </c>
      <c r="C1113" s="1" t="s">
        <v>98</v>
      </c>
      <c r="D1113" s="1">
        <v>0.74070000000000003</v>
      </c>
      <c r="E1113" s="1">
        <v>996</v>
      </c>
      <c r="F1113" s="1">
        <v>50029</v>
      </c>
      <c r="G1113" s="1">
        <v>0.59630000000000005</v>
      </c>
      <c r="H1113" s="1">
        <v>0.7611</v>
      </c>
      <c r="I1113" s="1">
        <v>0.38009999999999999</v>
      </c>
      <c r="J1113" s="1">
        <v>56210</v>
      </c>
      <c r="K1113" s="1">
        <v>27000</v>
      </c>
      <c r="L1113" s="1">
        <v>8261</v>
      </c>
      <c r="M1113" s="1">
        <v>10</v>
      </c>
      <c r="N1113" s="1" t="s">
        <v>20</v>
      </c>
      <c r="O1113" s="1" t="s">
        <v>29</v>
      </c>
      <c r="P1113" s="1" t="s">
        <v>39</v>
      </c>
      <c r="Q1113" s="1" t="s">
        <v>23</v>
      </c>
      <c r="R1113">
        <v>0.21481555303220468</v>
      </c>
    </row>
    <row r="1114" spans="1:18" x14ac:dyDescent="0.2">
      <c r="A1114" s="1">
        <v>200217</v>
      </c>
      <c r="B1114" s="1" t="s">
        <v>1185</v>
      </c>
      <c r="C1114" s="1" t="s">
        <v>836</v>
      </c>
      <c r="D1114" s="1">
        <v>0.753</v>
      </c>
      <c r="E1114" s="1">
        <v>2416</v>
      </c>
      <c r="F1114" s="1">
        <v>22356</v>
      </c>
      <c r="G1114" s="1">
        <v>0.66600000000000004</v>
      </c>
      <c r="H1114" s="1">
        <v>0.83540000000000003</v>
      </c>
      <c r="I1114" s="1">
        <v>0.20899999999999999</v>
      </c>
      <c r="J1114" s="1">
        <v>60909</v>
      </c>
      <c r="K1114" s="1">
        <v>24000</v>
      </c>
      <c r="L1114" s="1">
        <v>8186</v>
      </c>
      <c r="M1114" s="1">
        <v>14</v>
      </c>
      <c r="N1114" s="1" t="s">
        <v>20</v>
      </c>
      <c r="O1114" s="1" t="s">
        <v>42</v>
      </c>
      <c r="P1114" s="1" t="s">
        <v>22</v>
      </c>
      <c r="Q1114" s="1" t="s">
        <v>23</v>
      </c>
      <c r="R1114">
        <v>0.21435538712782243</v>
      </c>
    </row>
    <row r="1115" spans="1:18" x14ac:dyDescent="0.2">
      <c r="A1115" s="1">
        <v>228981</v>
      </c>
      <c r="B1115" s="1" t="s">
        <v>1186</v>
      </c>
      <c r="C1115" s="1" t="s">
        <v>36</v>
      </c>
      <c r="D1115" s="1">
        <v>0.95709999999999995</v>
      </c>
      <c r="E1115" s="1">
        <v>1304</v>
      </c>
      <c r="F1115" s="1">
        <v>36230</v>
      </c>
      <c r="G1115" s="1">
        <v>0.53849999999999998</v>
      </c>
      <c r="H1115" s="1">
        <v>0.61809999999999998</v>
      </c>
      <c r="I1115" s="1">
        <v>0.34620000000000001</v>
      </c>
      <c r="J1115" s="1">
        <v>53863</v>
      </c>
      <c r="K1115" s="1">
        <v>25000</v>
      </c>
      <c r="L1115" s="1">
        <v>7741</v>
      </c>
      <c r="M1115" s="1">
        <v>11</v>
      </c>
      <c r="N1115" s="1" t="s">
        <v>20</v>
      </c>
      <c r="O1115" s="1" t="s">
        <v>42</v>
      </c>
      <c r="P1115" s="1" t="s">
        <v>30</v>
      </c>
      <c r="Q1115" s="1" t="s">
        <v>23</v>
      </c>
      <c r="R1115">
        <v>0.21418733296726344</v>
      </c>
    </row>
    <row r="1116" spans="1:18" x14ac:dyDescent="0.2">
      <c r="A1116" s="1">
        <v>214810</v>
      </c>
      <c r="B1116" s="1" t="s">
        <v>1187</v>
      </c>
      <c r="C1116" s="1" t="s">
        <v>98</v>
      </c>
      <c r="D1116" s="1">
        <v>0.96640000000000004</v>
      </c>
      <c r="E1116" s="1">
        <v>620</v>
      </c>
      <c r="F1116" s="1">
        <v>25392</v>
      </c>
      <c r="G1116" s="1">
        <v>0.31879999999999997</v>
      </c>
      <c r="H1116" s="1">
        <v>0.7823</v>
      </c>
      <c r="I1116" s="1">
        <v>0.40460000000000002</v>
      </c>
      <c r="J1116" s="1">
        <v>63435</v>
      </c>
      <c r="K1116" s="1">
        <v>25000</v>
      </c>
      <c r="L1116" s="1">
        <v>8985</v>
      </c>
      <c r="M1116" s="1">
        <v>14</v>
      </c>
      <c r="N1116" s="1" t="s">
        <v>28</v>
      </c>
      <c r="O1116" s="1" t="s">
        <v>42</v>
      </c>
      <c r="P1116" s="1" t="s">
        <v>39</v>
      </c>
      <c r="Q1116" s="1" t="s">
        <v>23</v>
      </c>
      <c r="R1116">
        <v>0.21324134798324101</v>
      </c>
    </row>
    <row r="1117" spans="1:18" x14ac:dyDescent="0.2">
      <c r="A1117" s="1">
        <v>203845</v>
      </c>
      <c r="B1117" s="1" t="s">
        <v>1188</v>
      </c>
      <c r="C1117" s="1" t="s">
        <v>19</v>
      </c>
      <c r="D1117" s="1">
        <v>0.79310000000000003</v>
      </c>
      <c r="E1117" s="1">
        <v>952</v>
      </c>
      <c r="F1117" s="1">
        <v>39652</v>
      </c>
      <c r="G1117" s="1">
        <v>0.61380000000000001</v>
      </c>
      <c r="H1117" s="1">
        <v>0.69430000000000003</v>
      </c>
      <c r="I1117" s="1">
        <v>0.33550000000000002</v>
      </c>
      <c r="J1117" s="1">
        <v>57180</v>
      </c>
      <c r="K1117" s="1">
        <v>27000</v>
      </c>
      <c r="L1117" s="1">
        <v>7828</v>
      </c>
      <c r="M1117" s="1">
        <v>10</v>
      </c>
      <c r="N1117" s="1" t="s">
        <v>20</v>
      </c>
      <c r="O1117" s="1" t="s">
        <v>42</v>
      </c>
      <c r="P1117" s="1" t="s">
        <v>22</v>
      </c>
      <c r="Q1117" s="1" t="s">
        <v>23</v>
      </c>
      <c r="R1117">
        <v>0.2129979936294335</v>
      </c>
    </row>
    <row r="1118" spans="1:18" x14ac:dyDescent="0.2">
      <c r="A1118" s="1">
        <v>207403</v>
      </c>
      <c r="B1118" s="1" t="s">
        <v>1189</v>
      </c>
      <c r="C1118" s="1" t="s">
        <v>224</v>
      </c>
      <c r="D1118" s="1">
        <v>0.49409999999999998</v>
      </c>
      <c r="E1118" s="1">
        <v>1308</v>
      </c>
      <c r="F1118" s="1">
        <v>35570</v>
      </c>
      <c r="G1118" s="1">
        <v>0.52370000000000005</v>
      </c>
      <c r="H1118" s="1">
        <v>0.71660000000000001</v>
      </c>
      <c r="I1118" s="1">
        <v>0.1739</v>
      </c>
      <c r="J1118" s="1">
        <v>48434</v>
      </c>
      <c r="K1118" s="1">
        <v>24801</v>
      </c>
      <c r="L1118" s="1">
        <v>8621</v>
      </c>
      <c r="M1118" s="1">
        <v>16</v>
      </c>
      <c r="N1118" s="1" t="s">
        <v>20</v>
      </c>
      <c r="O1118" s="1" t="s">
        <v>42</v>
      </c>
      <c r="P1118" s="1" t="s">
        <v>30</v>
      </c>
      <c r="Q1118" s="1" t="s">
        <v>31</v>
      </c>
      <c r="R1118">
        <v>0.21281212181847931</v>
      </c>
    </row>
    <row r="1119" spans="1:18" x14ac:dyDescent="0.2">
      <c r="A1119" s="1">
        <v>216524</v>
      </c>
      <c r="B1119" s="1" t="s">
        <v>1190</v>
      </c>
      <c r="C1119" s="1" t="s">
        <v>98</v>
      </c>
      <c r="D1119" s="1">
        <v>0.91769999999999996</v>
      </c>
      <c r="E1119" s="1">
        <v>1491</v>
      </c>
      <c r="F1119" s="1">
        <v>61210</v>
      </c>
      <c r="G1119" s="1">
        <v>0.73280000000000001</v>
      </c>
      <c r="H1119" s="1">
        <v>0.86909999999999998</v>
      </c>
      <c r="I1119" s="1">
        <v>0.2011</v>
      </c>
      <c r="J1119" s="1">
        <v>73721</v>
      </c>
      <c r="K1119" s="1">
        <v>27000</v>
      </c>
      <c r="L1119" s="1">
        <v>9216</v>
      </c>
      <c r="M1119" s="1">
        <v>10</v>
      </c>
      <c r="N1119" s="1" t="s">
        <v>20</v>
      </c>
      <c r="O1119" s="1" t="s">
        <v>21</v>
      </c>
      <c r="P1119" s="1" t="s">
        <v>39</v>
      </c>
      <c r="Q1119" s="1" t="s">
        <v>23</v>
      </c>
      <c r="R1119">
        <v>0.21238522027537154</v>
      </c>
    </row>
    <row r="1120" spans="1:18" x14ac:dyDescent="0.2">
      <c r="A1120" s="1">
        <v>100858</v>
      </c>
      <c r="B1120" s="1" t="s">
        <v>1191</v>
      </c>
      <c r="C1120" s="1" t="s">
        <v>177</v>
      </c>
      <c r="D1120" s="1">
        <v>0.4592</v>
      </c>
      <c r="E1120" s="1">
        <v>26816</v>
      </c>
      <c r="F1120" s="1">
        <v>34922</v>
      </c>
      <c r="G1120" s="1">
        <v>0.81950000000000001</v>
      </c>
      <c r="H1120" s="1">
        <v>0.94779999999999998</v>
      </c>
      <c r="I1120" s="1">
        <v>0.12529999999999999</v>
      </c>
      <c r="J1120" s="1">
        <v>65337</v>
      </c>
      <c r="K1120" s="1">
        <v>21000</v>
      </c>
      <c r="L1120" s="1">
        <v>12324</v>
      </c>
      <c r="M1120" s="1">
        <v>21</v>
      </c>
      <c r="N1120" s="1" t="s">
        <v>28</v>
      </c>
      <c r="O1120" s="1" t="s">
        <v>29</v>
      </c>
      <c r="P1120" s="1" t="s">
        <v>30</v>
      </c>
      <c r="Q1120" s="1" t="s">
        <v>23</v>
      </c>
      <c r="R1120">
        <v>0.20941151015598181</v>
      </c>
    </row>
    <row r="1121" spans="1:18" x14ac:dyDescent="0.2">
      <c r="A1121" s="1">
        <v>191676</v>
      </c>
      <c r="B1121" s="1" t="s">
        <v>1192</v>
      </c>
      <c r="C1121" s="1" t="s">
        <v>58</v>
      </c>
      <c r="D1121" s="1">
        <v>0.88660000000000005</v>
      </c>
      <c r="E1121" s="1">
        <v>753</v>
      </c>
      <c r="F1121" s="1">
        <v>18430</v>
      </c>
      <c r="G1121" s="1">
        <v>0.6522</v>
      </c>
      <c r="H1121" s="1">
        <v>0.83979999999999999</v>
      </c>
      <c r="I1121" s="1">
        <v>0.28499999999999998</v>
      </c>
      <c r="J1121" s="1">
        <v>46721</v>
      </c>
      <c r="K1121" s="1">
        <v>25250</v>
      </c>
      <c r="L1121" s="1">
        <v>6614</v>
      </c>
      <c r="M1121" s="1">
        <v>12</v>
      </c>
      <c r="N1121" s="1" t="s">
        <v>20</v>
      </c>
      <c r="O1121" s="1" t="s">
        <v>42</v>
      </c>
      <c r="P1121" s="1" t="s">
        <v>39</v>
      </c>
      <c r="Q1121" s="1" t="s">
        <v>31</v>
      </c>
      <c r="R1121">
        <v>0.20883124965970989</v>
      </c>
    </row>
    <row r="1122" spans="1:18" x14ac:dyDescent="0.2">
      <c r="A1122" s="1">
        <v>106342</v>
      </c>
      <c r="B1122" s="1" t="s">
        <v>1193</v>
      </c>
      <c r="C1122" s="1" t="s">
        <v>70</v>
      </c>
      <c r="D1122" s="1">
        <v>0.62760000000000005</v>
      </c>
      <c r="E1122" s="1">
        <v>648</v>
      </c>
      <c r="F1122" s="1">
        <v>31000</v>
      </c>
      <c r="G1122" s="1">
        <v>0.46760000000000002</v>
      </c>
      <c r="H1122" s="1">
        <v>0.71309999999999996</v>
      </c>
      <c r="I1122" s="1">
        <v>0.40610000000000002</v>
      </c>
      <c r="J1122" s="1">
        <v>44232</v>
      </c>
      <c r="K1122" s="1">
        <v>21500</v>
      </c>
      <c r="L1122" s="1">
        <v>6336</v>
      </c>
      <c r="M1122" s="1">
        <v>11</v>
      </c>
      <c r="N1122" s="1" t="s">
        <v>20</v>
      </c>
      <c r="O1122" s="1" t="s">
        <v>42</v>
      </c>
      <c r="P1122" s="1" t="s">
        <v>30</v>
      </c>
      <c r="Q1122" s="1" t="s">
        <v>31</v>
      </c>
      <c r="R1122">
        <v>0.20855083638857597</v>
      </c>
    </row>
    <row r="1123" spans="1:18" x14ac:dyDescent="0.2">
      <c r="A1123" s="1">
        <v>191241</v>
      </c>
      <c r="B1123" s="1" t="s">
        <v>1194</v>
      </c>
      <c r="C1123" s="1" t="s">
        <v>58</v>
      </c>
      <c r="D1123" s="1">
        <v>0.59309999999999996</v>
      </c>
      <c r="E1123" s="1">
        <v>10512</v>
      </c>
      <c r="F1123" s="1">
        <v>64915</v>
      </c>
      <c r="G1123" s="1">
        <v>0.81910000000000005</v>
      </c>
      <c r="H1123" s="1">
        <v>0.88519999999999999</v>
      </c>
      <c r="I1123" s="1">
        <v>0.2142</v>
      </c>
      <c r="J1123" s="1">
        <v>85569</v>
      </c>
      <c r="K1123" s="1">
        <v>24300</v>
      </c>
      <c r="L1123" s="1">
        <v>16236</v>
      </c>
      <c r="M1123" s="1">
        <v>14</v>
      </c>
      <c r="N1123" s="1" t="s">
        <v>20</v>
      </c>
      <c r="O1123" s="1" t="s">
        <v>29</v>
      </c>
      <c r="P1123" s="1" t="s">
        <v>39</v>
      </c>
      <c r="Q1123" s="1" t="s">
        <v>23</v>
      </c>
      <c r="R1123">
        <v>0.20848926575238047</v>
      </c>
    </row>
    <row r="1124" spans="1:18" x14ac:dyDescent="0.2">
      <c r="A1124" s="1">
        <v>229027</v>
      </c>
      <c r="B1124" s="1" t="s">
        <v>1195</v>
      </c>
      <c r="C1124" s="1" t="s">
        <v>36</v>
      </c>
      <c r="D1124" s="1">
        <v>0.8679</v>
      </c>
      <c r="E1124" s="1">
        <v>30580</v>
      </c>
      <c r="F1124" s="1">
        <v>22051</v>
      </c>
      <c r="G1124" s="1">
        <v>0.52639999999999998</v>
      </c>
      <c r="H1124" s="1">
        <v>0.7984</v>
      </c>
      <c r="I1124" s="1">
        <v>0.44059999999999999</v>
      </c>
      <c r="J1124" s="1">
        <v>57131</v>
      </c>
      <c r="K1124" s="1">
        <v>20500</v>
      </c>
      <c r="L1124" s="1">
        <v>10588</v>
      </c>
      <c r="M1124" s="1">
        <v>24</v>
      </c>
      <c r="N1124" s="1" t="s">
        <v>28</v>
      </c>
      <c r="O1124" s="1" t="s">
        <v>29</v>
      </c>
      <c r="P1124" s="1" t="s">
        <v>30</v>
      </c>
      <c r="Q1124" s="1" t="s">
        <v>23</v>
      </c>
      <c r="R1124">
        <v>0.20830753223574672</v>
      </c>
    </row>
    <row r="1125" spans="1:18" x14ac:dyDescent="0.2">
      <c r="A1125" s="1">
        <v>204200</v>
      </c>
      <c r="B1125" s="1" t="s">
        <v>1196</v>
      </c>
      <c r="C1125" s="1" t="s">
        <v>19</v>
      </c>
      <c r="D1125" s="1">
        <v>0.59119999999999995</v>
      </c>
      <c r="E1125" s="1">
        <v>1129</v>
      </c>
      <c r="F1125" s="1">
        <v>38150</v>
      </c>
      <c r="G1125" s="1">
        <v>0.56330000000000002</v>
      </c>
      <c r="H1125" s="1">
        <v>0.68730000000000002</v>
      </c>
      <c r="I1125" s="1">
        <v>0.30309999999999998</v>
      </c>
      <c r="J1125" s="1">
        <v>51509</v>
      </c>
      <c r="K1125" s="1">
        <v>26827</v>
      </c>
      <c r="L1125" s="1">
        <v>7744</v>
      </c>
      <c r="M1125" s="1">
        <v>12</v>
      </c>
      <c r="N1125" s="1" t="s">
        <v>20</v>
      </c>
      <c r="O1125" s="1" t="s">
        <v>21</v>
      </c>
      <c r="P1125" s="1" t="s">
        <v>22</v>
      </c>
      <c r="Q1125" s="1" t="s">
        <v>23</v>
      </c>
      <c r="R1125">
        <v>0.20759794815785515</v>
      </c>
    </row>
    <row r="1126" spans="1:18" x14ac:dyDescent="0.2">
      <c r="A1126" s="1">
        <v>209506</v>
      </c>
      <c r="B1126" s="1" t="s">
        <v>1197</v>
      </c>
      <c r="C1126" s="1" t="s">
        <v>79</v>
      </c>
      <c r="D1126" s="1">
        <v>0.95020000000000004</v>
      </c>
      <c r="E1126" s="1">
        <v>2892</v>
      </c>
      <c r="F1126" s="1">
        <v>37196</v>
      </c>
      <c r="G1126" s="1">
        <v>0.53779999999999994</v>
      </c>
      <c r="H1126" s="1">
        <v>0.68979999999999997</v>
      </c>
      <c r="I1126" s="1">
        <v>0.17860000000000001</v>
      </c>
      <c r="J1126" s="1">
        <v>72273</v>
      </c>
      <c r="K1126" s="1">
        <v>22500</v>
      </c>
      <c r="L1126" s="1">
        <v>8845</v>
      </c>
      <c r="M1126" s="1">
        <v>17</v>
      </c>
      <c r="N1126" s="1" t="s">
        <v>28</v>
      </c>
      <c r="O1126" s="1" t="s">
        <v>42</v>
      </c>
      <c r="P1126" s="1" t="s">
        <v>22</v>
      </c>
      <c r="Q1126" s="1" t="s">
        <v>23</v>
      </c>
      <c r="R1126">
        <v>0.20721819935422869</v>
      </c>
    </row>
    <row r="1127" spans="1:18" x14ac:dyDescent="0.2">
      <c r="A1127" s="1">
        <v>209409</v>
      </c>
      <c r="B1127" s="1" t="s">
        <v>1198</v>
      </c>
      <c r="C1127" s="1" t="s">
        <v>79</v>
      </c>
      <c r="D1127" s="1">
        <v>0.67279999999999995</v>
      </c>
      <c r="E1127" s="1">
        <v>517</v>
      </c>
      <c r="F1127" s="1">
        <v>35800</v>
      </c>
      <c r="G1127" s="1">
        <v>0.56000000000000005</v>
      </c>
      <c r="H1127" s="1">
        <v>0.75900000000000001</v>
      </c>
      <c r="I1127" s="1">
        <v>0.3271</v>
      </c>
      <c r="J1127" s="1">
        <v>53623</v>
      </c>
      <c r="K1127" s="1">
        <v>23500</v>
      </c>
      <c r="L1127" s="1">
        <v>6083</v>
      </c>
      <c r="M1127" s="1">
        <v>12</v>
      </c>
      <c r="N1127" s="1" t="s">
        <v>20</v>
      </c>
      <c r="O1127" s="1" t="s">
        <v>29</v>
      </c>
      <c r="P1127" s="1" t="s">
        <v>22</v>
      </c>
      <c r="Q1127" s="1" t="s">
        <v>23</v>
      </c>
      <c r="R1127">
        <v>0.20470539831385726</v>
      </c>
    </row>
    <row r="1128" spans="1:18" x14ac:dyDescent="0.2">
      <c r="A1128" s="1">
        <v>142461</v>
      </c>
      <c r="B1128" s="1" t="s">
        <v>1199</v>
      </c>
      <c r="C1128" s="1" t="s">
        <v>407</v>
      </c>
      <c r="D1128" s="1">
        <v>0.64739999999999998</v>
      </c>
      <c r="E1128" s="1">
        <v>1024</v>
      </c>
      <c r="F1128" s="1">
        <v>40794</v>
      </c>
      <c r="G1128" s="1">
        <v>0.70760000000000001</v>
      </c>
      <c r="H1128" s="1">
        <v>0.77410000000000001</v>
      </c>
      <c r="I1128" s="1">
        <v>0.29759999999999998</v>
      </c>
      <c r="J1128" s="1">
        <v>51719</v>
      </c>
      <c r="K1128" s="1">
        <v>23750</v>
      </c>
      <c r="L1128" s="1">
        <v>6760</v>
      </c>
      <c r="M1128" s="1">
        <v>14</v>
      </c>
      <c r="N1128" s="1" t="s">
        <v>20</v>
      </c>
      <c r="O1128" s="1" t="s">
        <v>21</v>
      </c>
      <c r="P1128" s="1" t="s">
        <v>22</v>
      </c>
      <c r="Q1128" s="1" t="s">
        <v>23</v>
      </c>
      <c r="R1128">
        <v>0.20455633279659502</v>
      </c>
    </row>
    <row r="1129" spans="1:18" x14ac:dyDescent="0.2">
      <c r="A1129" s="1">
        <v>167835</v>
      </c>
      <c r="B1129" s="1" t="s">
        <v>1200</v>
      </c>
      <c r="C1129" s="1" t="s">
        <v>129</v>
      </c>
      <c r="D1129" s="1">
        <v>0.21</v>
      </c>
      <c r="E1129" s="1">
        <v>2544</v>
      </c>
      <c r="F1129" s="1">
        <v>65178</v>
      </c>
      <c r="G1129" s="1">
        <v>0.89049999999999996</v>
      </c>
      <c r="H1129" s="1">
        <v>0.94299999999999995</v>
      </c>
      <c r="I1129" s="1">
        <v>0.17879999999999999</v>
      </c>
      <c r="J1129" s="1">
        <v>64027</v>
      </c>
      <c r="K1129" s="1">
        <v>17550</v>
      </c>
      <c r="L1129" s="1">
        <v>13076</v>
      </c>
      <c r="M1129" s="1">
        <v>8</v>
      </c>
      <c r="N1129" s="1" t="s">
        <v>20</v>
      </c>
      <c r="O1129" s="1" t="s">
        <v>29</v>
      </c>
      <c r="P1129" s="1" t="s">
        <v>39</v>
      </c>
      <c r="Q1129" s="1" t="s">
        <v>23</v>
      </c>
      <c r="R1129">
        <v>0.20364023578792134</v>
      </c>
    </row>
    <row r="1130" spans="1:18" x14ac:dyDescent="0.2">
      <c r="A1130" s="1">
        <v>206349</v>
      </c>
      <c r="B1130" s="1" t="s">
        <v>1201</v>
      </c>
      <c r="C1130" s="1" t="s">
        <v>19</v>
      </c>
      <c r="D1130" s="1">
        <v>0.74929999999999997</v>
      </c>
      <c r="E1130" s="1">
        <v>670</v>
      </c>
      <c r="F1130" s="1">
        <v>38990</v>
      </c>
      <c r="G1130" s="1">
        <v>0.66669999999999996</v>
      </c>
      <c r="H1130" s="1">
        <v>0.70179999999999998</v>
      </c>
      <c r="I1130" s="1">
        <v>0.43009999999999998</v>
      </c>
      <c r="J1130" s="1">
        <v>56878</v>
      </c>
      <c r="K1130" s="1">
        <v>26250</v>
      </c>
      <c r="L1130" s="1">
        <v>6612</v>
      </c>
      <c r="M1130" s="1">
        <v>8</v>
      </c>
      <c r="N1130" s="1" t="s">
        <v>20</v>
      </c>
      <c r="O1130" s="1" t="s">
        <v>21</v>
      </c>
      <c r="P1130" s="1" t="s">
        <v>22</v>
      </c>
      <c r="Q1130" s="1" t="s">
        <v>23</v>
      </c>
      <c r="R1130">
        <v>0.20254450910941157</v>
      </c>
    </row>
    <row r="1131" spans="1:18" x14ac:dyDescent="0.2">
      <c r="A1131" s="1">
        <v>209922</v>
      </c>
      <c r="B1131" s="1" t="s">
        <v>1202</v>
      </c>
      <c r="C1131" s="1" t="s">
        <v>79</v>
      </c>
      <c r="D1131" s="1">
        <v>0.24610000000000001</v>
      </c>
      <c r="E1131" s="1">
        <v>1320</v>
      </c>
      <c r="F1131" s="1">
        <v>69350</v>
      </c>
      <c r="G1131" s="1">
        <v>0.7147</v>
      </c>
      <c r="H1131" s="1">
        <v>0.87639999999999996</v>
      </c>
      <c r="I1131" s="1">
        <v>0.1459</v>
      </c>
      <c r="J1131" s="1">
        <v>62927</v>
      </c>
      <c r="K1131" s="1">
        <v>21500</v>
      </c>
      <c r="L1131" s="1">
        <v>12578</v>
      </c>
      <c r="M1131" s="1">
        <v>9</v>
      </c>
      <c r="N1131" s="1" t="s">
        <v>20</v>
      </c>
      <c r="O1131" s="1" t="s">
        <v>29</v>
      </c>
      <c r="P1131" s="1" t="s">
        <v>22</v>
      </c>
      <c r="Q1131" s="1" t="s">
        <v>23</v>
      </c>
      <c r="R1131">
        <v>0.20185878688456871</v>
      </c>
    </row>
    <row r="1132" spans="1:18" x14ac:dyDescent="0.2">
      <c r="A1132" s="1">
        <v>220701</v>
      </c>
      <c r="B1132" s="1" t="s">
        <v>1203</v>
      </c>
      <c r="C1132" s="1" t="s">
        <v>163</v>
      </c>
      <c r="D1132" s="1">
        <v>0.86709999999999998</v>
      </c>
      <c r="E1132" s="1">
        <v>864</v>
      </c>
      <c r="F1132" s="1">
        <v>10924</v>
      </c>
      <c r="G1132" s="1">
        <v>0.36899999999999999</v>
      </c>
      <c r="H1132" s="1">
        <v>0.77170000000000005</v>
      </c>
      <c r="I1132" s="1">
        <v>0.36259999999999998</v>
      </c>
      <c r="J1132" s="1">
        <v>38924</v>
      </c>
      <c r="K1132" s="1">
        <v>21500</v>
      </c>
      <c r="L1132" s="1">
        <v>6695</v>
      </c>
      <c r="M1132" s="1">
        <v>14</v>
      </c>
      <c r="N1132" s="1" t="s">
        <v>28</v>
      </c>
      <c r="O1132" s="1" t="s">
        <v>42</v>
      </c>
      <c r="P1132" s="1" t="s">
        <v>30</v>
      </c>
      <c r="Q1132" s="1" t="s">
        <v>31</v>
      </c>
      <c r="R1132">
        <v>0.20159410377646447</v>
      </c>
    </row>
    <row r="1133" spans="1:18" x14ac:dyDescent="0.2">
      <c r="A1133" s="1">
        <v>220604</v>
      </c>
      <c r="B1133" s="1" t="s">
        <v>1204</v>
      </c>
      <c r="C1133" s="1" t="s">
        <v>163</v>
      </c>
      <c r="D1133" s="1">
        <v>0.99229999999999996</v>
      </c>
      <c r="E1133" s="1">
        <v>581</v>
      </c>
      <c r="F1133" s="1">
        <v>12076</v>
      </c>
      <c r="G1133" s="1">
        <v>0.27029999999999998</v>
      </c>
      <c r="H1133" s="1">
        <v>0.47239999999999999</v>
      </c>
      <c r="I1133" s="1">
        <v>0.6734</v>
      </c>
      <c r="J1133" s="1">
        <v>35594</v>
      </c>
      <c r="K1133" s="1">
        <v>28070</v>
      </c>
      <c r="L1133" s="1">
        <v>5132</v>
      </c>
      <c r="M1133" s="1">
        <v>10</v>
      </c>
      <c r="N1133" s="1" t="s">
        <v>20</v>
      </c>
      <c r="O1133" s="1" t="s">
        <v>29</v>
      </c>
      <c r="P1133" s="1" t="s">
        <v>30</v>
      </c>
      <c r="Q1133" s="1" t="s">
        <v>31</v>
      </c>
      <c r="R1133">
        <v>0.20106999555355964</v>
      </c>
    </row>
    <row r="1134" spans="1:18" x14ac:dyDescent="0.2">
      <c r="A1134" s="1">
        <v>200280</v>
      </c>
      <c r="B1134" s="1" t="s">
        <v>1205</v>
      </c>
      <c r="C1134" s="1" t="s">
        <v>836</v>
      </c>
      <c r="D1134" s="1">
        <v>0.76900000000000002</v>
      </c>
      <c r="E1134" s="1">
        <v>9981</v>
      </c>
      <c r="F1134" s="1">
        <v>15570</v>
      </c>
      <c r="G1134" s="1">
        <v>0.6048</v>
      </c>
      <c r="H1134" s="1">
        <v>0.84019999999999995</v>
      </c>
      <c r="I1134" s="1">
        <v>0.17150000000000001</v>
      </c>
      <c r="J1134" s="1">
        <v>63552</v>
      </c>
      <c r="K1134" s="1">
        <v>22057</v>
      </c>
      <c r="L1134" s="1">
        <v>10049</v>
      </c>
      <c r="M1134" s="1">
        <v>17</v>
      </c>
      <c r="N1134" s="1" t="s">
        <v>28</v>
      </c>
      <c r="O1134" s="1" t="s">
        <v>29</v>
      </c>
      <c r="P1134" s="1" t="s">
        <v>22</v>
      </c>
      <c r="Q1134" s="1" t="s">
        <v>23</v>
      </c>
      <c r="R1134">
        <v>0.20104763335214026</v>
      </c>
    </row>
    <row r="1135" spans="1:18" x14ac:dyDescent="0.2">
      <c r="A1135" s="1">
        <v>221953</v>
      </c>
      <c r="B1135" s="1" t="s">
        <v>1206</v>
      </c>
      <c r="C1135" s="1" t="s">
        <v>163</v>
      </c>
      <c r="D1135" s="1">
        <v>0.72170000000000001</v>
      </c>
      <c r="E1135" s="1">
        <v>785</v>
      </c>
      <c r="F1135" s="1">
        <v>29250</v>
      </c>
      <c r="G1135" s="1">
        <v>0.2545</v>
      </c>
      <c r="H1135" s="1">
        <v>0.62860000000000005</v>
      </c>
      <c r="I1135" s="1">
        <v>0.4637</v>
      </c>
      <c r="J1135" s="1">
        <v>44367</v>
      </c>
      <c r="K1135" s="1">
        <v>23250</v>
      </c>
      <c r="L1135" s="1">
        <v>5085</v>
      </c>
      <c r="M1135" s="1">
        <v>18</v>
      </c>
      <c r="N1135" s="1" t="s">
        <v>20</v>
      </c>
      <c r="O1135" s="1" t="s">
        <v>42</v>
      </c>
      <c r="P1135" s="1" t="s">
        <v>30</v>
      </c>
      <c r="Q1135" s="1" t="s">
        <v>31</v>
      </c>
      <c r="R1135">
        <v>0.19841659539864787</v>
      </c>
    </row>
    <row r="1136" spans="1:18" x14ac:dyDescent="0.2">
      <c r="A1136" s="1">
        <v>183044</v>
      </c>
      <c r="B1136" s="1" t="s">
        <v>1207</v>
      </c>
      <c r="C1136" s="1" t="s">
        <v>38</v>
      </c>
      <c r="D1136" s="1">
        <v>0.88160000000000005</v>
      </c>
      <c r="E1136" s="1">
        <v>11261</v>
      </c>
      <c r="F1136" s="1">
        <v>39852</v>
      </c>
      <c r="G1136" s="1">
        <v>0.76070000000000004</v>
      </c>
      <c r="H1136" s="1">
        <v>0.87270000000000003</v>
      </c>
      <c r="I1136" s="1">
        <v>0.18129999999999999</v>
      </c>
      <c r="J1136" s="1">
        <v>66479</v>
      </c>
      <c r="K1136" s="1">
        <v>26814</v>
      </c>
      <c r="L1136" s="1">
        <v>12271</v>
      </c>
      <c r="M1136" s="1">
        <v>17</v>
      </c>
      <c r="N1136" s="1" t="s">
        <v>28</v>
      </c>
      <c r="O1136" s="1" t="s">
        <v>42</v>
      </c>
      <c r="P1136" s="1" t="s">
        <v>39</v>
      </c>
      <c r="Q1136" s="1" t="s">
        <v>23</v>
      </c>
      <c r="R1136">
        <v>0.19638558716841292</v>
      </c>
    </row>
    <row r="1137" spans="1:18" x14ac:dyDescent="0.2">
      <c r="A1137" s="1">
        <v>236133</v>
      </c>
      <c r="B1137" s="1" t="s">
        <v>1208</v>
      </c>
      <c r="C1137" s="1" t="s">
        <v>171</v>
      </c>
      <c r="D1137" s="1">
        <v>0.83199999999999996</v>
      </c>
      <c r="E1137" s="1">
        <v>645</v>
      </c>
      <c r="F1137" s="1">
        <v>36035</v>
      </c>
      <c r="G1137" s="1">
        <v>0.70779999999999998</v>
      </c>
      <c r="H1137" s="1">
        <v>0.83889999999999998</v>
      </c>
      <c r="I1137" s="1">
        <v>0.25330000000000003</v>
      </c>
      <c r="J1137" s="1">
        <v>54914</v>
      </c>
      <c r="K1137" s="1">
        <v>20891</v>
      </c>
      <c r="L1137" s="1">
        <v>8558</v>
      </c>
      <c r="M1137" s="1">
        <v>9</v>
      </c>
      <c r="N1137" s="1" t="s">
        <v>20</v>
      </c>
      <c r="O1137" s="1" t="s">
        <v>21</v>
      </c>
      <c r="P1137" s="1" t="s">
        <v>22</v>
      </c>
      <c r="Q1137" s="1" t="s">
        <v>23</v>
      </c>
      <c r="R1137">
        <v>0.19592040212396966</v>
      </c>
    </row>
    <row r="1138" spans="1:18" x14ac:dyDescent="0.2">
      <c r="A1138" s="1">
        <v>167288</v>
      </c>
      <c r="B1138" s="1" t="s">
        <v>1209</v>
      </c>
      <c r="C1138" s="1" t="s">
        <v>129</v>
      </c>
      <c r="D1138" s="1">
        <v>0.89739999999999998</v>
      </c>
      <c r="E1138" s="1">
        <v>713</v>
      </c>
      <c r="F1138" s="1">
        <v>21381</v>
      </c>
      <c r="G1138" s="1">
        <v>0.55640000000000001</v>
      </c>
      <c r="H1138" s="1">
        <v>0.75660000000000005</v>
      </c>
      <c r="I1138" s="1">
        <v>0.41270000000000001</v>
      </c>
      <c r="J1138" s="1">
        <v>48102</v>
      </c>
      <c r="K1138" s="1">
        <v>23750</v>
      </c>
      <c r="L1138" s="1">
        <v>10457</v>
      </c>
      <c r="M1138" s="1">
        <v>8</v>
      </c>
      <c r="N1138" s="1" t="s">
        <v>28</v>
      </c>
      <c r="O1138" s="1" t="s">
        <v>42</v>
      </c>
      <c r="P1138" s="1" t="s">
        <v>39</v>
      </c>
      <c r="Q1138" s="1" t="s">
        <v>31</v>
      </c>
      <c r="R1138">
        <v>0.19560292040106042</v>
      </c>
    </row>
    <row r="1139" spans="1:18" x14ac:dyDescent="0.2">
      <c r="A1139" s="1">
        <v>158802</v>
      </c>
      <c r="B1139" s="1" t="s">
        <v>1210</v>
      </c>
      <c r="C1139" s="1" t="s">
        <v>46</v>
      </c>
      <c r="D1139" s="1">
        <v>0.41860000000000003</v>
      </c>
      <c r="E1139" s="1">
        <v>1063</v>
      </c>
      <c r="F1139" s="1">
        <v>23918</v>
      </c>
      <c r="G1139" s="1">
        <v>0.43280000000000002</v>
      </c>
      <c r="H1139" s="1">
        <v>0.78049999999999997</v>
      </c>
      <c r="I1139" s="1">
        <v>0.69650000000000001</v>
      </c>
      <c r="J1139" s="1">
        <v>39196</v>
      </c>
      <c r="K1139" s="1">
        <v>31000</v>
      </c>
      <c r="L1139" s="1">
        <v>7271</v>
      </c>
      <c r="M1139" s="1">
        <v>14</v>
      </c>
      <c r="N1139" s="1" t="s">
        <v>20</v>
      </c>
      <c r="O1139" s="1" t="s">
        <v>29</v>
      </c>
      <c r="P1139" s="1" t="s">
        <v>30</v>
      </c>
      <c r="Q1139" s="1" t="s">
        <v>31</v>
      </c>
      <c r="R1139">
        <v>0.19511178471450341</v>
      </c>
    </row>
    <row r="1140" spans="1:18" x14ac:dyDescent="0.2">
      <c r="A1140" s="1">
        <v>217518</v>
      </c>
      <c r="B1140" s="1" t="s">
        <v>1211</v>
      </c>
      <c r="C1140" s="1" t="s">
        <v>92</v>
      </c>
      <c r="D1140" s="1">
        <v>0.87709999999999999</v>
      </c>
      <c r="E1140" s="1">
        <v>3946</v>
      </c>
      <c r="F1140" s="1">
        <v>44418</v>
      </c>
      <c r="G1140" s="1">
        <v>0.6865</v>
      </c>
      <c r="H1140" s="1">
        <v>0.81089999999999995</v>
      </c>
      <c r="I1140" s="1">
        <v>0.16400000000000001</v>
      </c>
      <c r="J1140" s="1">
        <v>70266</v>
      </c>
      <c r="K1140" s="1">
        <v>26940</v>
      </c>
      <c r="L1140" s="1">
        <v>13293</v>
      </c>
      <c r="M1140" s="1">
        <v>10</v>
      </c>
      <c r="N1140" s="1" t="s">
        <v>20</v>
      </c>
      <c r="O1140" s="1" t="s">
        <v>21</v>
      </c>
      <c r="P1140" s="1" t="s">
        <v>39</v>
      </c>
      <c r="Q1140" s="1" t="s">
        <v>23</v>
      </c>
      <c r="R1140">
        <v>0.19416193351107303</v>
      </c>
    </row>
    <row r="1141" spans="1:18" x14ac:dyDescent="0.2">
      <c r="A1141" s="1">
        <v>169910</v>
      </c>
      <c r="B1141" s="1" t="s">
        <v>1212</v>
      </c>
      <c r="C1141" s="1" t="s">
        <v>109</v>
      </c>
      <c r="D1141" s="1">
        <v>0.91390000000000005</v>
      </c>
      <c r="E1141" s="1">
        <v>8106</v>
      </c>
      <c r="F1141" s="1">
        <v>14778</v>
      </c>
      <c r="G1141" s="1">
        <v>0.46870000000000001</v>
      </c>
      <c r="H1141" s="1">
        <v>0.7762</v>
      </c>
      <c r="I1141" s="1">
        <v>0.34229999999999999</v>
      </c>
      <c r="J1141" s="1">
        <v>54735</v>
      </c>
      <c r="K1141" s="1">
        <v>21000</v>
      </c>
      <c r="L1141" s="1">
        <v>10752</v>
      </c>
      <c r="M1141" s="1">
        <v>15</v>
      </c>
      <c r="N1141" s="1" t="s">
        <v>28</v>
      </c>
      <c r="O1141" s="1" t="s">
        <v>42</v>
      </c>
      <c r="P1141" s="1" t="s">
        <v>22</v>
      </c>
      <c r="Q1141" s="1" t="s">
        <v>23</v>
      </c>
      <c r="R1141">
        <v>0.19404156732952138</v>
      </c>
    </row>
    <row r="1142" spans="1:18" x14ac:dyDescent="0.2">
      <c r="A1142" s="1">
        <v>222178</v>
      </c>
      <c r="B1142" s="1" t="s">
        <v>1213</v>
      </c>
      <c r="C1142" s="1" t="s">
        <v>36</v>
      </c>
      <c r="D1142" s="1">
        <v>0.6603</v>
      </c>
      <c r="E1142" s="1">
        <v>3195</v>
      </c>
      <c r="F1142" s="1">
        <v>44200</v>
      </c>
      <c r="G1142" s="1">
        <v>0.59009999999999996</v>
      </c>
      <c r="H1142" s="1">
        <v>0.80510000000000004</v>
      </c>
      <c r="I1142" s="1">
        <v>0.2233</v>
      </c>
      <c r="J1142" s="1">
        <v>55736</v>
      </c>
      <c r="K1142" s="1">
        <v>24250</v>
      </c>
      <c r="L1142" s="1">
        <v>8928</v>
      </c>
      <c r="M1142" s="1">
        <v>13</v>
      </c>
      <c r="N1142" s="1" t="s">
        <v>20</v>
      </c>
      <c r="O1142" s="1" t="s">
        <v>29</v>
      </c>
      <c r="P1142" s="1" t="s">
        <v>30</v>
      </c>
      <c r="Q1142" s="1" t="s">
        <v>23</v>
      </c>
      <c r="R1142">
        <v>0.19400205155189931</v>
      </c>
    </row>
    <row r="1143" spans="1:18" x14ac:dyDescent="0.2">
      <c r="A1143" s="1">
        <v>156745</v>
      </c>
      <c r="B1143" s="1" t="s">
        <v>1214</v>
      </c>
      <c r="C1143" s="1" t="s">
        <v>104</v>
      </c>
      <c r="D1143" s="1">
        <v>0.91059999999999997</v>
      </c>
      <c r="E1143" s="1">
        <v>1097</v>
      </c>
      <c r="F1143" s="1">
        <v>42840</v>
      </c>
      <c r="G1143" s="1">
        <v>0.48849999999999999</v>
      </c>
      <c r="H1143" s="1">
        <v>0.69059999999999999</v>
      </c>
      <c r="I1143" s="1">
        <v>0.3533</v>
      </c>
      <c r="J1143" s="1">
        <v>52074</v>
      </c>
      <c r="K1143" s="1">
        <v>25200</v>
      </c>
      <c r="L1143" s="1">
        <v>6502</v>
      </c>
      <c r="M1143" s="1">
        <v>13</v>
      </c>
      <c r="N1143" s="1" t="s">
        <v>20</v>
      </c>
      <c r="O1143" s="1" t="s">
        <v>42</v>
      </c>
      <c r="P1143" s="1" t="s">
        <v>30</v>
      </c>
      <c r="Q1143" s="1" t="s">
        <v>23</v>
      </c>
      <c r="R1143">
        <v>0.19270394769008359</v>
      </c>
    </row>
    <row r="1144" spans="1:18" x14ac:dyDescent="0.2">
      <c r="A1144" s="1">
        <v>229267</v>
      </c>
      <c r="B1144" s="1" t="s">
        <v>1215</v>
      </c>
      <c r="C1144" s="1" t="s">
        <v>36</v>
      </c>
      <c r="D1144" s="1">
        <v>0.25919999999999999</v>
      </c>
      <c r="E1144" s="1">
        <v>2505</v>
      </c>
      <c r="F1144" s="1">
        <v>53676</v>
      </c>
      <c r="G1144" s="1">
        <v>0.8397</v>
      </c>
      <c r="H1144" s="1">
        <v>0.92869999999999997</v>
      </c>
      <c r="I1144" s="1">
        <v>0.18770000000000001</v>
      </c>
      <c r="J1144" s="1">
        <v>71668</v>
      </c>
      <c r="K1144" s="1">
        <v>22954</v>
      </c>
      <c r="L1144" s="1">
        <v>12354</v>
      </c>
      <c r="M1144" s="1">
        <v>8</v>
      </c>
      <c r="N1144" s="1" t="s">
        <v>20</v>
      </c>
      <c r="O1144" s="1" t="s">
        <v>29</v>
      </c>
      <c r="P1144" s="1" t="s">
        <v>30</v>
      </c>
      <c r="Q1144" s="1" t="s">
        <v>23</v>
      </c>
      <c r="R1144">
        <v>0.19260304879914147</v>
      </c>
    </row>
    <row r="1145" spans="1:18" x14ac:dyDescent="0.2">
      <c r="A1145" s="1">
        <v>482468</v>
      </c>
      <c r="B1145" s="1" t="s">
        <v>1216</v>
      </c>
      <c r="C1145" s="1" t="s">
        <v>126</v>
      </c>
      <c r="D1145" s="1">
        <v>1</v>
      </c>
      <c r="E1145" s="1">
        <v>516</v>
      </c>
      <c r="F1145" s="1">
        <v>17408</v>
      </c>
      <c r="G1145" s="1">
        <v>0.125</v>
      </c>
      <c r="H1145" s="1">
        <v>0.4</v>
      </c>
      <c r="I1145" s="1">
        <v>0.73729999999999996</v>
      </c>
      <c r="J1145" s="1">
        <v>45987</v>
      </c>
      <c r="K1145" s="1">
        <v>24807</v>
      </c>
      <c r="L1145" s="1">
        <v>9146</v>
      </c>
      <c r="M1145" s="1">
        <v>18</v>
      </c>
      <c r="N1145" s="1" t="s">
        <v>142</v>
      </c>
      <c r="O1145" s="1" t="s">
        <v>21</v>
      </c>
      <c r="P1145" s="1" t="s">
        <v>30</v>
      </c>
      <c r="Q1145" s="1" t="s">
        <v>31</v>
      </c>
      <c r="R1145">
        <v>0.19157069207109523</v>
      </c>
    </row>
    <row r="1146" spans="1:18" x14ac:dyDescent="0.2">
      <c r="A1146" s="1">
        <v>130943</v>
      </c>
      <c r="B1146" s="1" t="s">
        <v>1217</v>
      </c>
      <c r="C1146" s="1" t="s">
        <v>386</v>
      </c>
      <c r="D1146" s="1">
        <v>0.70599999999999996</v>
      </c>
      <c r="E1146" s="1">
        <v>19071</v>
      </c>
      <c r="F1146" s="1">
        <v>41400</v>
      </c>
      <c r="G1146" s="1">
        <v>0.80549999999999999</v>
      </c>
      <c r="H1146" s="1">
        <v>0.91959999999999997</v>
      </c>
      <c r="I1146" s="1">
        <v>0.16120000000000001</v>
      </c>
      <c r="J1146" s="1">
        <v>72950</v>
      </c>
      <c r="K1146" s="1">
        <v>24572</v>
      </c>
      <c r="L1146" s="1">
        <v>14649</v>
      </c>
      <c r="M1146" s="1">
        <v>16</v>
      </c>
      <c r="N1146" s="1" t="s">
        <v>28</v>
      </c>
      <c r="O1146" s="1" t="s">
        <v>21</v>
      </c>
      <c r="P1146" s="1" t="s">
        <v>30</v>
      </c>
      <c r="Q1146" s="1" t="s">
        <v>23</v>
      </c>
      <c r="R1146">
        <v>0.1909533759159705</v>
      </c>
    </row>
    <row r="1147" spans="1:18" x14ac:dyDescent="0.2">
      <c r="A1147" s="1">
        <v>156125</v>
      </c>
      <c r="B1147" s="1" t="s">
        <v>1218</v>
      </c>
      <c r="C1147" s="1" t="s">
        <v>56</v>
      </c>
      <c r="D1147" s="1">
        <v>0.9395</v>
      </c>
      <c r="E1147" s="1">
        <v>10780</v>
      </c>
      <c r="F1147" s="1">
        <v>19869</v>
      </c>
      <c r="G1147" s="1">
        <v>0.51029999999999998</v>
      </c>
      <c r="H1147" s="1">
        <v>0.69299999999999995</v>
      </c>
      <c r="I1147" s="1">
        <v>0.30549999999999999</v>
      </c>
      <c r="J1147" s="1">
        <v>51532</v>
      </c>
      <c r="K1147" s="1">
        <v>20500</v>
      </c>
      <c r="L1147" s="1">
        <v>9205</v>
      </c>
      <c r="M1147" s="1">
        <v>19</v>
      </c>
      <c r="N1147" s="1" t="s">
        <v>28</v>
      </c>
      <c r="O1147" s="1" t="s">
        <v>29</v>
      </c>
      <c r="P1147" s="1" t="s">
        <v>22</v>
      </c>
      <c r="Q1147" s="1" t="s">
        <v>23</v>
      </c>
      <c r="R1147">
        <v>0.19053255650179979</v>
      </c>
    </row>
    <row r="1148" spans="1:18" x14ac:dyDescent="0.2">
      <c r="A1148" s="1">
        <v>152567</v>
      </c>
      <c r="B1148" s="1" t="s">
        <v>1219</v>
      </c>
      <c r="C1148" s="1" t="s">
        <v>102</v>
      </c>
      <c r="D1148" s="1">
        <v>0.8548</v>
      </c>
      <c r="E1148" s="1">
        <v>2324</v>
      </c>
      <c r="F1148" s="1">
        <v>36560</v>
      </c>
      <c r="G1148" s="1">
        <v>0.64380000000000004</v>
      </c>
      <c r="H1148" s="1">
        <v>0.7994</v>
      </c>
      <c r="I1148" s="1">
        <v>0.15559999999999999</v>
      </c>
      <c r="J1148" s="1">
        <v>57165</v>
      </c>
      <c r="K1148" s="1">
        <v>25000</v>
      </c>
      <c r="L1148" s="1">
        <v>8043</v>
      </c>
      <c r="M1148" s="1">
        <v>16</v>
      </c>
      <c r="N1148" s="1" t="s">
        <v>20</v>
      </c>
      <c r="O1148" s="1" t="s">
        <v>42</v>
      </c>
      <c r="P1148" s="1" t="s">
        <v>22</v>
      </c>
      <c r="Q1148" s="1" t="s">
        <v>23</v>
      </c>
      <c r="R1148">
        <v>0.19029112743355858</v>
      </c>
    </row>
    <row r="1149" spans="1:18" x14ac:dyDescent="0.2">
      <c r="A1149" s="1">
        <v>213367</v>
      </c>
      <c r="B1149" s="1" t="s">
        <v>1220</v>
      </c>
      <c r="C1149" s="1" t="s">
        <v>98</v>
      </c>
      <c r="D1149" s="1">
        <v>0.96589999999999998</v>
      </c>
      <c r="E1149" s="1">
        <v>1953</v>
      </c>
      <c r="F1149" s="1">
        <v>37800</v>
      </c>
      <c r="G1149" s="1">
        <v>0.57120000000000004</v>
      </c>
      <c r="H1149" s="1">
        <v>0.73899999999999999</v>
      </c>
      <c r="I1149" s="1">
        <v>0.35049999999999998</v>
      </c>
      <c r="J1149" s="1">
        <v>67416</v>
      </c>
      <c r="K1149" s="1">
        <v>25000</v>
      </c>
      <c r="L1149" s="1">
        <v>9355</v>
      </c>
      <c r="M1149" s="1">
        <v>12</v>
      </c>
      <c r="N1149" s="1" t="s">
        <v>20</v>
      </c>
      <c r="O1149" s="1" t="s">
        <v>29</v>
      </c>
      <c r="P1149" s="1" t="s">
        <v>39</v>
      </c>
      <c r="Q1149" s="1" t="s">
        <v>23</v>
      </c>
      <c r="R1149">
        <v>0.18973219750984527</v>
      </c>
    </row>
    <row r="1150" spans="1:18" x14ac:dyDescent="0.2">
      <c r="A1150" s="1">
        <v>169716</v>
      </c>
      <c r="B1150" s="1" t="s">
        <v>1221</v>
      </c>
      <c r="C1150" s="1" t="s">
        <v>109</v>
      </c>
      <c r="D1150" s="1">
        <v>0.75419999999999998</v>
      </c>
      <c r="E1150" s="1">
        <v>2438</v>
      </c>
      <c r="F1150" s="1">
        <v>32946</v>
      </c>
      <c r="G1150" s="1">
        <v>0.67200000000000004</v>
      </c>
      <c r="H1150" s="1">
        <v>0.83489999999999998</v>
      </c>
      <c r="I1150" s="1">
        <v>0.26340000000000002</v>
      </c>
      <c r="J1150" s="1">
        <v>71030</v>
      </c>
      <c r="K1150" s="1">
        <v>23250</v>
      </c>
      <c r="L1150" s="1">
        <v>10733</v>
      </c>
      <c r="M1150" s="1">
        <v>12</v>
      </c>
      <c r="N1150" s="1" t="s">
        <v>20</v>
      </c>
      <c r="O1150" s="1" t="s">
        <v>29</v>
      </c>
      <c r="P1150" s="1" t="s">
        <v>22</v>
      </c>
      <c r="Q1150" s="1" t="s">
        <v>23</v>
      </c>
      <c r="R1150">
        <v>0.18945286505394665</v>
      </c>
    </row>
    <row r="1151" spans="1:18" x14ac:dyDescent="0.2">
      <c r="A1151" s="1">
        <v>137546</v>
      </c>
      <c r="B1151" s="1" t="s">
        <v>1222</v>
      </c>
      <c r="C1151" s="1" t="s">
        <v>27</v>
      </c>
      <c r="D1151" s="1">
        <v>0.71599999999999997</v>
      </c>
      <c r="E1151" s="1">
        <v>2297</v>
      </c>
      <c r="F1151" s="1">
        <v>57410</v>
      </c>
      <c r="G1151" s="1">
        <v>0.62290000000000001</v>
      </c>
      <c r="H1151" s="1">
        <v>0.78180000000000005</v>
      </c>
      <c r="I1151" s="1">
        <v>0.37209999999999999</v>
      </c>
      <c r="J1151" s="1">
        <v>51642</v>
      </c>
      <c r="K1151" s="1">
        <v>23250</v>
      </c>
      <c r="L1151" s="1">
        <v>11041</v>
      </c>
      <c r="M1151" s="1">
        <v>10</v>
      </c>
      <c r="N1151" s="1" t="s">
        <v>20</v>
      </c>
      <c r="O1151" s="1" t="s">
        <v>29</v>
      </c>
      <c r="P1151" s="1" t="s">
        <v>30</v>
      </c>
      <c r="Q1151" s="1" t="s">
        <v>23</v>
      </c>
      <c r="R1151">
        <v>0.18931807552830759</v>
      </c>
    </row>
    <row r="1152" spans="1:18" x14ac:dyDescent="0.2">
      <c r="A1152" s="1">
        <v>178341</v>
      </c>
      <c r="B1152" s="1" t="s">
        <v>1223</v>
      </c>
      <c r="C1152" s="1" t="s">
        <v>77</v>
      </c>
      <c r="D1152" s="1">
        <v>0.97030000000000005</v>
      </c>
      <c r="E1152" s="1">
        <v>3019</v>
      </c>
      <c r="F1152" s="1">
        <v>17080</v>
      </c>
      <c r="G1152" s="1">
        <v>0.4158</v>
      </c>
      <c r="H1152" s="1">
        <v>0.62780000000000002</v>
      </c>
      <c r="I1152" s="1">
        <v>0.3402</v>
      </c>
      <c r="J1152" s="1">
        <v>42620</v>
      </c>
      <c r="K1152" s="1">
        <v>19174</v>
      </c>
      <c r="L1152" s="1">
        <v>6706</v>
      </c>
      <c r="M1152" s="1">
        <v>15</v>
      </c>
      <c r="N1152" s="1" t="s">
        <v>28</v>
      </c>
      <c r="O1152" s="1" t="s">
        <v>29</v>
      </c>
      <c r="P1152" s="1" t="s">
        <v>22</v>
      </c>
      <c r="Q1152" s="1" t="s">
        <v>31</v>
      </c>
      <c r="R1152">
        <v>0.18862421589165956</v>
      </c>
    </row>
    <row r="1153" spans="1:18" x14ac:dyDescent="0.2">
      <c r="A1153" s="1">
        <v>230816</v>
      </c>
      <c r="B1153" s="1" t="s">
        <v>1224</v>
      </c>
      <c r="C1153" s="1" t="s">
        <v>451</v>
      </c>
      <c r="D1153" s="1">
        <v>0.44529999999999997</v>
      </c>
      <c r="E1153" s="1">
        <v>780</v>
      </c>
      <c r="F1153" s="1">
        <v>66262</v>
      </c>
      <c r="G1153" s="1">
        <v>0.71209999999999996</v>
      </c>
      <c r="H1153" s="1">
        <v>0.82040000000000002</v>
      </c>
      <c r="I1153" s="1">
        <v>0.25269999999999998</v>
      </c>
      <c r="J1153" s="1">
        <v>38289</v>
      </c>
      <c r="K1153" s="1">
        <v>26000</v>
      </c>
      <c r="L1153" s="1">
        <v>10055</v>
      </c>
      <c r="M1153" s="1">
        <v>9</v>
      </c>
      <c r="N1153" s="1" t="s">
        <v>20</v>
      </c>
      <c r="O1153" s="1" t="s">
        <v>42</v>
      </c>
      <c r="P1153" s="1" t="s">
        <v>39</v>
      </c>
      <c r="Q1153" s="1" t="s">
        <v>31</v>
      </c>
      <c r="R1153">
        <v>0.18834958826285231</v>
      </c>
    </row>
    <row r="1154" spans="1:18" x14ac:dyDescent="0.2">
      <c r="A1154" s="1">
        <v>175421</v>
      </c>
      <c r="B1154" s="1" t="s">
        <v>1225</v>
      </c>
      <c r="C1154" s="1" t="s">
        <v>169</v>
      </c>
      <c r="D1154" s="1">
        <v>0.4975</v>
      </c>
      <c r="E1154" s="1">
        <v>1471</v>
      </c>
      <c r="F1154" s="1">
        <v>30250</v>
      </c>
      <c r="G1154" s="1">
        <v>0.4854</v>
      </c>
      <c r="H1154" s="1">
        <v>0.67810000000000004</v>
      </c>
      <c r="I1154" s="1">
        <v>0.48649999999999999</v>
      </c>
      <c r="J1154" s="1">
        <v>46440</v>
      </c>
      <c r="K1154" s="1">
        <v>26333</v>
      </c>
      <c r="L1154" s="1">
        <v>5643</v>
      </c>
      <c r="M1154" s="1">
        <v>12</v>
      </c>
      <c r="N1154" s="1" t="s">
        <v>20</v>
      </c>
      <c r="O1154" s="1" t="s">
        <v>29</v>
      </c>
      <c r="P1154" s="1" t="s">
        <v>30</v>
      </c>
      <c r="Q1154" s="1" t="s">
        <v>31</v>
      </c>
      <c r="R1154">
        <v>0.18702113857915359</v>
      </c>
    </row>
    <row r="1155" spans="1:18" x14ac:dyDescent="0.2">
      <c r="A1155" s="1">
        <v>155812</v>
      </c>
      <c r="B1155" s="1" t="s">
        <v>1226</v>
      </c>
      <c r="C1155" s="1" t="s">
        <v>56</v>
      </c>
      <c r="D1155" s="1">
        <v>0.86629999999999996</v>
      </c>
      <c r="E1155" s="1">
        <v>925</v>
      </c>
      <c r="F1155" s="1">
        <v>35380</v>
      </c>
      <c r="G1155" s="1">
        <v>0.47760000000000002</v>
      </c>
      <c r="H1155" s="1">
        <v>0.65</v>
      </c>
      <c r="I1155" s="1">
        <v>0.38150000000000001</v>
      </c>
      <c r="J1155" s="1">
        <v>59483</v>
      </c>
      <c r="K1155" s="1">
        <v>22018</v>
      </c>
      <c r="L1155" s="1">
        <v>6758</v>
      </c>
      <c r="M1155" s="1">
        <v>11</v>
      </c>
      <c r="N1155" s="1" t="s">
        <v>20</v>
      </c>
      <c r="O1155" s="1" t="s">
        <v>42</v>
      </c>
      <c r="P1155" s="1" t="s">
        <v>22</v>
      </c>
      <c r="Q1155" s="1" t="s">
        <v>23</v>
      </c>
      <c r="R1155">
        <v>0.1867039481649363</v>
      </c>
    </row>
    <row r="1156" spans="1:18" x14ac:dyDescent="0.2">
      <c r="A1156" s="1">
        <v>202170</v>
      </c>
      <c r="B1156" s="1" t="s">
        <v>1227</v>
      </c>
      <c r="C1156" s="1" t="s">
        <v>19</v>
      </c>
      <c r="D1156" s="1">
        <v>0.67659999999999998</v>
      </c>
      <c r="E1156" s="1">
        <v>882</v>
      </c>
      <c r="F1156" s="1">
        <v>40825</v>
      </c>
      <c r="G1156" s="1">
        <v>0.55600000000000005</v>
      </c>
      <c r="H1156" s="1">
        <v>0.80320000000000003</v>
      </c>
      <c r="I1156" s="1">
        <v>0.39190000000000003</v>
      </c>
      <c r="J1156" s="1">
        <v>40664</v>
      </c>
      <c r="K1156" s="1">
        <v>27000</v>
      </c>
      <c r="L1156" s="1">
        <v>5663</v>
      </c>
      <c r="M1156" s="1">
        <v>10</v>
      </c>
      <c r="N1156" s="1" t="s">
        <v>20</v>
      </c>
      <c r="O1156" s="1" t="s">
        <v>29</v>
      </c>
      <c r="P1156" s="1" t="s">
        <v>22</v>
      </c>
      <c r="Q1156" s="1" t="s">
        <v>31</v>
      </c>
      <c r="R1156">
        <v>0.18532823164621659</v>
      </c>
    </row>
    <row r="1157" spans="1:18" x14ac:dyDescent="0.2">
      <c r="A1157" s="1">
        <v>153269</v>
      </c>
      <c r="B1157" s="1" t="s">
        <v>1228</v>
      </c>
      <c r="C1157" s="1" t="s">
        <v>81</v>
      </c>
      <c r="D1157" s="1">
        <v>0.63849999999999996</v>
      </c>
      <c r="E1157" s="1">
        <v>2543</v>
      </c>
      <c r="F1157" s="1">
        <v>52130</v>
      </c>
      <c r="G1157" s="1">
        <v>0.74029999999999996</v>
      </c>
      <c r="H1157" s="1">
        <v>0.84089999999999998</v>
      </c>
      <c r="I1157" s="1">
        <v>0.21690000000000001</v>
      </c>
      <c r="J1157" s="1">
        <v>71901</v>
      </c>
      <c r="K1157" s="1">
        <v>23000</v>
      </c>
      <c r="L1157" s="1">
        <v>10431</v>
      </c>
      <c r="M1157" s="1">
        <v>11</v>
      </c>
      <c r="N1157" s="1" t="s">
        <v>20</v>
      </c>
      <c r="O1157" s="1" t="s">
        <v>29</v>
      </c>
      <c r="P1157" s="1" t="s">
        <v>22</v>
      </c>
      <c r="Q1157" s="1" t="s">
        <v>23</v>
      </c>
      <c r="R1157">
        <v>0.1850038649679584</v>
      </c>
    </row>
    <row r="1158" spans="1:18" x14ac:dyDescent="0.2">
      <c r="A1158" s="1">
        <v>150534</v>
      </c>
      <c r="B1158" s="1" t="s">
        <v>1229</v>
      </c>
      <c r="C1158" s="1" t="s">
        <v>102</v>
      </c>
      <c r="D1158" s="1">
        <v>0.77600000000000002</v>
      </c>
      <c r="E1158" s="1">
        <v>1539</v>
      </c>
      <c r="F1158" s="1">
        <v>44172</v>
      </c>
      <c r="G1158" s="1">
        <v>0.64459999999999995</v>
      </c>
      <c r="H1158" s="1">
        <v>0.83330000000000004</v>
      </c>
      <c r="I1158" s="1">
        <v>0.2447</v>
      </c>
      <c r="J1158" s="1">
        <v>53770</v>
      </c>
      <c r="K1158" s="1">
        <v>24606</v>
      </c>
      <c r="L1158" s="1">
        <v>8723</v>
      </c>
      <c r="M1158" s="1">
        <v>10</v>
      </c>
      <c r="N1158" s="1" t="s">
        <v>20</v>
      </c>
      <c r="O1158" s="1" t="s">
        <v>29</v>
      </c>
      <c r="P1158" s="1" t="s">
        <v>22</v>
      </c>
      <c r="Q1158" s="1" t="s">
        <v>23</v>
      </c>
      <c r="R1158">
        <v>0.18420506529400371</v>
      </c>
    </row>
    <row r="1159" spans="1:18" x14ac:dyDescent="0.2">
      <c r="A1159" s="1">
        <v>228778</v>
      </c>
      <c r="B1159" s="1" t="s">
        <v>1230</v>
      </c>
      <c r="C1159" s="1" t="s">
        <v>36</v>
      </c>
      <c r="D1159" s="1">
        <v>0.26640000000000003</v>
      </c>
      <c r="E1159" s="1">
        <v>42855</v>
      </c>
      <c r="F1159" s="1">
        <v>44908</v>
      </c>
      <c r="G1159" s="1">
        <v>0.88900000000000001</v>
      </c>
      <c r="H1159" s="1">
        <v>0.96740000000000004</v>
      </c>
      <c r="I1159" s="1">
        <v>0.25850000000000001</v>
      </c>
      <c r="J1159" s="1">
        <v>75121</v>
      </c>
      <c r="K1159" s="1">
        <v>20500</v>
      </c>
      <c r="L1159" s="1">
        <v>15819</v>
      </c>
      <c r="M1159" s="1">
        <v>18</v>
      </c>
      <c r="N1159" s="1" t="s">
        <v>28</v>
      </c>
      <c r="O1159" s="1" t="s">
        <v>29</v>
      </c>
      <c r="P1159" s="1" t="s">
        <v>30</v>
      </c>
      <c r="Q1159" s="1" t="s">
        <v>23</v>
      </c>
      <c r="R1159">
        <v>0.18408383498236802</v>
      </c>
    </row>
    <row r="1160" spans="1:18" x14ac:dyDescent="0.2">
      <c r="A1160" s="1">
        <v>130934</v>
      </c>
      <c r="B1160" s="1" t="s">
        <v>1231</v>
      </c>
      <c r="C1160" s="1" t="s">
        <v>386</v>
      </c>
      <c r="D1160" s="1">
        <v>0.46579999999999999</v>
      </c>
      <c r="E1160" s="1">
        <v>4398</v>
      </c>
      <c r="F1160" s="1">
        <v>20634</v>
      </c>
      <c r="G1160" s="1">
        <v>0.39100000000000001</v>
      </c>
      <c r="H1160" s="1">
        <v>0.69950000000000001</v>
      </c>
      <c r="I1160" s="1">
        <v>0.48530000000000001</v>
      </c>
      <c r="J1160" s="1">
        <v>49307</v>
      </c>
      <c r="K1160" s="1">
        <v>26000</v>
      </c>
      <c r="L1160" s="1">
        <v>8869</v>
      </c>
      <c r="M1160" s="1">
        <v>17</v>
      </c>
      <c r="N1160" s="1" t="s">
        <v>28</v>
      </c>
      <c r="O1160" s="1" t="s">
        <v>29</v>
      </c>
      <c r="P1160" s="1" t="s">
        <v>30</v>
      </c>
      <c r="Q1160" s="1" t="s">
        <v>31</v>
      </c>
      <c r="R1160">
        <v>0.18303177020609818</v>
      </c>
    </row>
    <row r="1161" spans="1:18" x14ac:dyDescent="0.2">
      <c r="A1161" s="1">
        <v>173124</v>
      </c>
      <c r="B1161" s="1" t="s">
        <v>1232</v>
      </c>
      <c r="C1161" s="1" t="s">
        <v>54</v>
      </c>
      <c r="D1161" s="1">
        <v>0.55979999999999996</v>
      </c>
      <c r="E1161" s="1">
        <v>3139</v>
      </c>
      <c r="F1161" s="1">
        <v>10237</v>
      </c>
      <c r="G1161" s="1">
        <v>0.47870000000000001</v>
      </c>
      <c r="H1161" s="1">
        <v>0.72670000000000001</v>
      </c>
      <c r="I1161" s="1">
        <v>0.28320000000000001</v>
      </c>
      <c r="J1161" s="1">
        <v>53755</v>
      </c>
      <c r="K1161" s="1">
        <v>19750</v>
      </c>
      <c r="L1161" s="1">
        <v>10427</v>
      </c>
      <c r="M1161" s="1">
        <v>18</v>
      </c>
      <c r="N1161" s="1" t="s">
        <v>28</v>
      </c>
      <c r="O1161" s="1" t="s">
        <v>42</v>
      </c>
      <c r="P1161" s="1" t="s">
        <v>22</v>
      </c>
      <c r="Q1161" s="1" t="s">
        <v>23</v>
      </c>
      <c r="R1161">
        <v>0.18279350170786024</v>
      </c>
    </row>
    <row r="1162" spans="1:18" x14ac:dyDescent="0.2">
      <c r="A1162" s="1">
        <v>482149</v>
      </c>
      <c r="B1162" s="1" t="s">
        <v>1233</v>
      </c>
      <c r="C1162" s="1" t="s">
        <v>126</v>
      </c>
      <c r="D1162" s="1">
        <v>0.86409999999999998</v>
      </c>
      <c r="E1162" s="1">
        <v>5613</v>
      </c>
      <c r="F1162" s="1">
        <v>24734</v>
      </c>
      <c r="G1162" s="1">
        <v>0.48809999999999998</v>
      </c>
      <c r="H1162" s="1">
        <v>0.75560000000000005</v>
      </c>
      <c r="I1162" s="1">
        <v>0.38790000000000002</v>
      </c>
      <c r="J1162" s="1">
        <v>48472</v>
      </c>
      <c r="K1162" s="1">
        <v>20500</v>
      </c>
      <c r="L1162" s="1">
        <v>9414</v>
      </c>
      <c r="M1162" s="1">
        <v>16</v>
      </c>
      <c r="N1162" s="1" t="s">
        <v>28</v>
      </c>
      <c r="O1162" s="1" t="s">
        <v>29</v>
      </c>
      <c r="P1162" s="1" t="s">
        <v>30</v>
      </c>
      <c r="Q1162" s="1" t="s">
        <v>31</v>
      </c>
      <c r="R1162">
        <v>0.18255409406048606</v>
      </c>
    </row>
    <row r="1163" spans="1:18" x14ac:dyDescent="0.2">
      <c r="A1163" s="1">
        <v>151324</v>
      </c>
      <c r="B1163" s="1" t="s">
        <v>1234</v>
      </c>
      <c r="C1163" s="1" t="s">
        <v>102</v>
      </c>
      <c r="D1163" s="1">
        <v>0.80769999999999997</v>
      </c>
      <c r="E1163" s="1">
        <v>6188</v>
      </c>
      <c r="F1163" s="1">
        <v>22322</v>
      </c>
      <c r="G1163" s="1">
        <v>0.42880000000000001</v>
      </c>
      <c r="H1163" s="1">
        <v>0.65849999999999997</v>
      </c>
      <c r="I1163" s="1">
        <v>0.41560000000000002</v>
      </c>
      <c r="J1163" s="1">
        <v>48387</v>
      </c>
      <c r="K1163" s="1">
        <v>24000</v>
      </c>
      <c r="L1163" s="1">
        <v>8104</v>
      </c>
      <c r="M1163" s="1">
        <v>16</v>
      </c>
      <c r="N1163" s="1" t="s">
        <v>28</v>
      </c>
      <c r="O1163" s="1" t="s">
        <v>29</v>
      </c>
      <c r="P1163" s="1" t="s">
        <v>22</v>
      </c>
      <c r="Q1163" s="1" t="s">
        <v>31</v>
      </c>
      <c r="R1163">
        <v>0.18179176571789957</v>
      </c>
    </row>
    <row r="1164" spans="1:18" x14ac:dyDescent="0.2">
      <c r="A1164" s="1">
        <v>170301</v>
      </c>
      <c r="B1164" s="1" t="s">
        <v>1235</v>
      </c>
      <c r="C1164" s="1" t="s">
        <v>109</v>
      </c>
      <c r="D1164" s="1">
        <v>0.79239999999999999</v>
      </c>
      <c r="E1164" s="1">
        <v>3288</v>
      </c>
      <c r="F1164" s="1">
        <v>41970</v>
      </c>
      <c r="G1164" s="1">
        <v>0.79949999999999999</v>
      </c>
      <c r="H1164" s="1">
        <v>0.88370000000000004</v>
      </c>
      <c r="I1164" s="1">
        <v>0.1648</v>
      </c>
      <c r="J1164" s="1">
        <v>58427</v>
      </c>
      <c r="K1164" s="1">
        <v>26800</v>
      </c>
      <c r="L1164" s="1">
        <v>8709</v>
      </c>
      <c r="M1164" s="1">
        <v>9</v>
      </c>
      <c r="N1164" s="1" t="s">
        <v>20</v>
      </c>
      <c r="O1164" s="1" t="s">
        <v>29</v>
      </c>
      <c r="P1164" s="1" t="s">
        <v>22</v>
      </c>
      <c r="Q1164" s="1" t="s">
        <v>23</v>
      </c>
      <c r="R1164">
        <v>0.18139192656797443</v>
      </c>
    </row>
    <row r="1165" spans="1:18" x14ac:dyDescent="0.2">
      <c r="A1165" s="1">
        <v>237136</v>
      </c>
      <c r="B1165" s="1" t="s">
        <v>1236</v>
      </c>
      <c r="C1165" s="1" t="s">
        <v>255</v>
      </c>
      <c r="D1165" s="1">
        <v>0.77780000000000005</v>
      </c>
      <c r="E1165" s="1">
        <v>193</v>
      </c>
      <c r="F1165" s="1">
        <v>18760</v>
      </c>
      <c r="G1165" s="1">
        <v>0.71050000000000002</v>
      </c>
      <c r="H1165" s="1">
        <v>0.65710000000000002</v>
      </c>
      <c r="I1165" s="1">
        <v>0.41860000000000003</v>
      </c>
      <c r="J1165" s="1">
        <v>37467</v>
      </c>
      <c r="K1165" s="1">
        <v>11000</v>
      </c>
      <c r="L1165" s="1">
        <v>3332</v>
      </c>
      <c r="M1165" s="1">
        <v>7</v>
      </c>
      <c r="N1165" s="1" t="s">
        <v>20</v>
      </c>
      <c r="O1165" s="1" t="s">
        <v>21</v>
      </c>
      <c r="P1165" s="1" t="s">
        <v>30</v>
      </c>
      <c r="Q1165" s="1" t="s">
        <v>31</v>
      </c>
      <c r="R1165">
        <v>0.18113276544975088</v>
      </c>
    </row>
    <row r="1166" spans="1:18" x14ac:dyDescent="0.2">
      <c r="A1166" s="1">
        <v>150400</v>
      </c>
      <c r="B1166" s="1" t="s">
        <v>1237</v>
      </c>
      <c r="C1166" s="1" t="s">
        <v>102</v>
      </c>
      <c r="D1166" s="1">
        <v>0.57189999999999996</v>
      </c>
      <c r="E1166" s="1">
        <v>1905</v>
      </c>
      <c r="F1166" s="1">
        <v>59070</v>
      </c>
      <c r="G1166" s="1">
        <v>0.74690000000000001</v>
      </c>
      <c r="H1166" s="1">
        <v>0.88580000000000003</v>
      </c>
      <c r="I1166" s="1">
        <v>0.16370000000000001</v>
      </c>
      <c r="J1166" s="1">
        <v>70527</v>
      </c>
      <c r="K1166" s="1">
        <v>27000</v>
      </c>
      <c r="L1166" s="1">
        <v>10094</v>
      </c>
      <c r="M1166" s="1">
        <v>10</v>
      </c>
      <c r="N1166" s="1" t="s">
        <v>20</v>
      </c>
      <c r="O1166" s="1" t="s">
        <v>42</v>
      </c>
      <c r="P1166" s="1" t="s">
        <v>22</v>
      </c>
      <c r="Q1166" s="1" t="s">
        <v>23</v>
      </c>
      <c r="R1166">
        <v>0.18064516076920112</v>
      </c>
    </row>
    <row r="1167" spans="1:18" x14ac:dyDescent="0.2">
      <c r="A1167" s="1">
        <v>164216</v>
      </c>
      <c r="B1167" s="1" t="s">
        <v>1238</v>
      </c>
      <c r="C1167" s="1" t="s">
        <v>61</v>
      </c>
      <c r="D1167" s="1">
        <v>0.56889999999999996</v>
      </c>
      <c r="E1167" s="1">
        <v>891</v>
      </c>
      <c r="F1167" s="1">
        <v>55326</v>
      </c>
      <c r="G1167" s="1">
        <v>0.65369999999999995</v>
      </c>
      <c r="H1167" s="1">
        <v>0.83909999999999996</v>
      </c>
      <c r="I1167" s="1">
        <v>0.22600000000000001</v>
      </c>
      <c r="J1167" s="1">
        <v>65518</v>
      </c>
      <c r="K1167" s="1">
        <v>26956</v>
      </c>
      <c r="L1167" s="1">
        <v>6768</v>
      </c>
      <c r="M1167" s="1">
        <v>8</v>
      </c>
      <c r="N1167" s="1" t="s">
        <v>20</v>
      </c>
      <c r="O1167" s="1" t="s">
        <v>42</v>
      </c>
      <c r="P1167" s="1" t="s">
        <v>30</v>
      </c>
      <c r="Q1167" s="1" t="s">
        <v>23</v>
      </c>
      <c r="R1167">
        <v>0.17933824486032723</v>
      </c>
    </row>
    <row r="1168" spans="1:18" x14ac:dyDescent="0.2">
      <c r="A1168" s="1">
        <v>111188</v>
      </c>
      <c r="B1168" s="1" t="s">
        <v>1239</v>
      </c>
      <c r="C1168" s="1" t="s">
        <v>33</v>
      </c>
      <c r="D1168" s="1">
        <v>0.95009999999999994</v>
      </c>
      <c r="E1168" s="1">
        <v>804</v>
      </c>
      <c r="F1168" s="1">
        <v>22544</v>
      </c>
      <c r="G1168" s="1">
        <v>0.59719999999999995</v>
      </c>
      <c r="H1168" s="1">
        <v>0.77459999999999996</v>
      </c>
      <c r="I1168" s="1">
        <v>0.251</v>
      </c>
      <c r="J1168" s="1">
        <v>94784</v>
      </c>
      <c r="K1168" s="1">
        <v>24965</v>
      </c>
      <c r="L1168" s="1">
        <v>12097</v>
      </c>
      <c r="M1168" s="1">
        <v>11</v>
      </c>
      <c r="N1168" s="1" t="s">
        <v>28</v>
      </c>
      <c r="O1168" s="1" t="s">
        <v>29</v>
      </c>
      <c r="P1168" s="1" t="s">
        <v>22</v>
      </c>
      <c r="Q1168" s="1" t="s">
        <v>23</v>
      </c>
      <c r="R1168">
        <v>0.1788172734179917</v>
      </c>
    </row>
    <row r="1169" spans="1:18" x14ac:dyDescent="0.2">
      <c r="A1169" s="1">
        <v>140252</v>
      </c>
      <c r="B1169" s="1" t="s">
        <v>1240</v>
      </c>
      <c r="C1169" s="1" t="s">
        <v>126</v>
      </c>
      <c r="D1169" s="1">
        <v>0.93030000000000002</v>
      </c>
      <c r="E1169" s="1">
        <v>893</v>
      </c>
      <c r="F1169" s="1">
        <v>15036</v>
      </c>
      <c r="G1169" s="1">
        <v>0.37930000000000003</v>
      </c>
      <c r="H1169" s="1">
        <v>0.62809999999999999</v>
      </c>
      <c r="I1169" s="1">
        <v>0.39979999999999999</v>
      </c>
      <c r="J1169" s="1">
        <v>47397</v>
      </c>
      <c r="K1169" s="1">
        <v>16666</v>
      </c>
      <c r="L1169" s="1">
        <v>7524</v>
      </c>
      <c r="M1169" s="1">
        <v>15</v>
      </c>
      <c r="N1169" s="1" t="s">
        <v>20</v>
      </c>
      <c r="O1169" s="1" t="s">
        <v>29</v>
      </c>
      <c r="P1169" s="1" t="s">
        <v>30</v>
      </c>
      <c r="Q1169" s="1" t="s">
        <v>31</v>
      </c>
      <c r="R1169">
        <v>0.17830710961621343</v>
      </c>
    </row>
    <row r="1170" spans="1:18" x14ac:dyDescent="0.2">
      <c r="A1170" s="1">
        <v>210492</v>
      </c>
      <c r="B1170" s="1" t="s">
        <v>1241</v>
      </c>
      <c r="C1170" s="1" t="s">
        <v>98</v>
      </c>
      <c r="D1170" s="1">
        <v>0.82940000000000003</v>
      </c>
      <c r="E1170" s="1">
        <v>244</v>
      </c>
      <c r="F1170" s="1">
        <v>28917</v>
      </c>
      <c r="G1170" s="1">
        <v>0.6774</v>
      </c>
      <c r="H1170" s="1">
        <v>0.73329999999999995</v>
      </c>
      <c r="I1170" s="1">
        <v>0.40289999999999998</v>
      </c>
      <c r="J1170" s="1">
        <v>40457</v>
      </c>
      <c r="K1170" s="1">
        <v>22250</v>
      </c>
      <c r="L1170" s="1">
        <v>7653</v>
      </c>
      <c r="M1170" s="1">
        <v>8</v>
      </c>
      <c r="N1170" s="1" t="s">
        <v>20</v>
      </c>
      <c r="O1170" s="1" t="s">
        <v>21</v>
      </c>
      <c r="P1170" s="1" t="s">
        <v>39</v>
      </c>
      <c r="Q1170" s="1" t="s">
        <v>31</v>
      </c>
      <c r="R1170">
        <v>0.17810169243588991</v>
      </c>
    </row>
    <row r="1171" spans="1:18" x14ac:dyDescent="0.2">
      <c r="A1171" s="1">
        <v>190691</v>
      </c>
      <c r="B1171" s="1" t="s">
        <v>1242</v>
      </c>
      <c r="C1171" s="1" t="s">
        <v>58</v>
      </c>
      <c r="D1171" s="1">
        <v>0.64100000000000001</v>
      </c>
      <c r="E1171" s="1">
        <v>4345</v>
      </c>
      <c r="F1171" s="1">
        <v>15308</v>
      </c>
      <c r="G1171" s="1">
        <v>0.32250000000000001</v>
      </c>
      <c r="H1171" s="1">
        <v>0.57440000000000002</v>
      </c>
      <c r="I1171" s="1">
        <v>0.40079999999999999</v>
      </c>
      <c r="J1171" s="1">
        <v>56945</v>
      </c>
      <c r="K1171" s="1">
        <v>11000</v>
      </c>
      <c r="L1171" s="1">
        <v>11822</v>
      </c>
      <c r="M1171" s="1">
        <v>13</v>
      </c>
      <c r="N1171" s="1" t="s">
        <v>28</v>
      </c>
      <c r="O1171" s="1" t="s">
        <v>29</v>
      </c>
      <c r="P1171" s="1" t="s">
        <v>39</v>
      </c>
      <c r="Q1171" s="1" t="s">
        <v>23</v>
      </c>
      <c r="R1171">
        <v>0.17743289979120558</v>
      </c>
    </row>
    <row r="1172" spans="1:18" x14ac:dyDescent="0.2">
      <c r="A1172" s="1">
        <v>185590</v>
      </c>
      <c r="B1172" s="1" t="s">
        <v>1243</v>
      </c>
      <c r="C1172" s="1" t="s">
        <v>66</v>
      </c>
      <c r="D1172" s="1">
        <v>0.87890000000000001</v>
      </c>
      <c r="E1172" s="1">
        <v>18376</v>
      </c>
      <c r="F1172" s="1">
        <v>26022</v>
      </c>
      <c r="G1172" s="1">
        <v>0.64659999999999995</v>
      </c>
      <c r="H1172" s="1">
        <v>0.77890000000000004</v>
      </c>
      <c r="I1172" s="1">
        <v>0.46989999999999998</v>
      </c>
      <c r="J1172" s="1">
        <v>61415</v>
      </c>
      <c r="K1172" s="1">
        <v>22000</v>
      </c>
      <c r="L1172" s="1">
        <v>12540</v>
      </c>
      <c r="M1172" s="1">
        <v>18</v>
      </c>
      <c r="N1172" s="1" t="s">
        <v>28</v>
      </c>
      <c r="O1172" s="1" t="s">
        <v>21</v>
      </c>
      <c r="P1172" s="1" t="s">
        <v>39</v>
      </c>
      <c r="Q1172" s="1" t="s">
        <v>23</v>
      </c>
      <c r="R1172">
        <v>0.17708654531168777</v>
      </c>
    </row>
    <row r="1173" spans="1:18" x14ac:dyDescent="0.2">
      <c r="A1173" s="1">
        <v>196592</v>
      </c>
      <c r="B1173" s="1" t="s">
        <v>1244</v>
      </c>
      <c r="C1173" s="1" t="s">
        <v>58</v>
      </c>
      <c r="D1173" s="1">
        <v>0.60829999999999995</v>
      </c>
      <c r="E1173" s="1">
        <v>4040</v>
      </c>
      <c r="F1173" s="1">
        <v>22450</v>
      </c>
      <c r="G1173" s="1">
        <v>0.72389999999999999</v>
      </c>
      <c r="H1173" s="1">
        <v>0.88829999999999998</v>
      </c>
      <c r="I1173" s="1">
        <v>0.30199999999999999</v>
      </c>
      <c r="J1173" s="1">
        <v>53419</v>
      </c>
      <c r="K1173" s="1">
        <v>15547</v>
      </c>
      <c r="L1173" s="1">
        <v>9964</v>
      </c>
      <c r="M1173" s="1">
        <v>10</v>
      </c>
      <c r="N1173" s="1" t="s">
        <v>20</v>
      </c>
      <c r="O1173" s="1" t="s">
        <v>29</v>
      </c>
      <c r="P1173" s="1" t="s">
        <v>39</v>
      </c>
      <c r="Q1173" s="1" t="s">
        <v>23</v>
      </c>
      <c r="R1173">
        <v>0.17673152650054569</v>
      </c>
    </row>
    <row r="1174" spans="1:18" x14ac:dyDescent="0.2">
      <c r="A1174" s="1">
        <v>215691</v>
      </c>
      <c r="B1174" s="1" t="s">
        <v>1245</v>
      </c>
      <c r="C1174" s="1" t="s">
        <v>98</v>
      </c>
      <c r="D1174" s="1">
        <v>0.76339999999999997</v>
      </c>
      <c r="E1174" s="1">
        <v>486</v>
      </c>
      <c r="F1174" s="1">
        <v>23845</v>
      </c>
      <c r="G1174" s="1">
        <v>0.57140000000000002</v>
      </c>
      <c r="H1174" s="1">
        <v>0.82020000000000004</v>
      </c>
      <c r="I1174" s="1">
        <v>0.44890000000000002</v>
      </c>
      <c r="J1174" s="1">
        <v>48555</v>
      </c>
      <c r="K1174" s="1">
        <v>27000</v>
      </c>
      <c r="L1174" s="1">
        <v>6270</v>
      </c>
      <c r="M1174" s="1">
        <v>12</v>
      </c>
      <c r="N1174" s="1" t="s">
        <v>20</v>
      </c>
      <c r="O1174" s="1" t="s">
        <v>21</v>
      </c>
      <c r="P1174" s="1" t="s">
        <v>39</v>
      </c>
      <c r="Q1174" s="1" t="s">
        <v>31</v>
      </c>
      <c r="R1174">
        <v>0.17567821020587282</v>
      </c>
    </row>
    <row r="1175" spans="1:18" x14ac:dyDescent="0.2">
      <c r="A1175" s="1">
        <v>240462</v>
      </c>
      <c r="B1175" s="1" t="s">
        <v>1246</v>
      </c>
      <c r="C1175" s="1" t="s">
        <v>50</v>
      </c>
      <c r="D1175" s="1">
        <v>0.89380000000000004</v>
      </c>
      <c r="E1175" s="1">
        <v>5837</v>
      </c>
      <c r="F1175" s="1">
        <v>17603</v>
      </c>
      <c r="G1175" s="1">
        <v>0.55759999999999998</v>
      </c>
      <c r="H1175" s="1">
        <v>0.7903</v>
      </c>
      <c r="I1175" s="1">
        <v>0.21099999999999999</v>
      </c>
      <c r="J1175" s="1">
        <v>61760</v>
      </c>
      <c r="K1175" s="1">
        <v>21977</v>
      </c>
      <c r="L1175" s="1">
        <v>7885</v>
      </c>
      <c r="M1175" s="1">
        <v>20</v>
      </c>
      <c r="N1175" s="1" t="s">
        <v>28</v>
      </c>
      <c r="O1175" s="1" t="s">
        <v>42</v>
      </c>
      <c r="P1175" s="1" t="s">
        <v>22</v>
      </c>
      <c r="Q1175" s="1" t="s">
        <v>23</v>
      </c>
      <c r="R1175">
        <v>0.17526372279753388</v>
      </c>
    </row>
    <row r="1176" spans="1:18" x14ac:dyDescent="0.2">
      <c r="A1176" s="1">
        <v>154004</v>
      </c>
      <c r="B1176" s="1" t="s">
        <v>1247</v>
      </c>
      <c r="C1176" s="1" t="s">
        <v>81</v>
      </c>
      <c r="D1176" s="1">
        <v>0.71040000000000003</v>
      </c>
      <c r="E1176" s="1">
        <v>1163</v>
      </c>
      <c r="F1176" s="1">
        <v>39660</v>
      </c>
      <c r="G1176" s="1">
        <v>0.50139999999999996</v>
      </c>
      <c r="H1176" s="1">
        <v>0.74180000000000001</v>
      </c>
      <c r="I1176" s="1">
        <v>0.3387</v>
      </c>
      <c r="J1176" s="1">
        <v>55494</v>
      </c>
      <c r="K1176" s="1">
        <v>26028</v>
      </c>
      <c r="L1176" s="1">
        <v>7538</v>
      </c>
      <c r="M1176" s="1">
        <v>12</v>
      </c>
      <c r="N1176" s="1" t="s">
        <v>20</v>
      </c>
      <c r="O1176" s="1" t="s">
        <v>29</v>
      </c>
      <c r="P1176" s="1" t="s">
        <v>22</v>
      </c>
      <c r="Q1176" s="1" t="s">
        <v>23</v>
      </c>
      <c r="R1176">
        <v>0.17405898411029319</v>
      </c>
    </row>
    <row r="1177" spans="1:18" x14ac:dyDescent="0.2">
      <c r="A1177" s="1">
        <v>166391</v>
      </c>
      <c r="B1177" s="1" t="s">
        <v>1248</v>
      </c>
      <c r="C1177" s="1" t="s">
        <v>129</v>
      </c>
      <c r="D1177" s="1">
        <v>0.81220000000000003</v>
      </c>
      <c r="E1177" s="1">
        <v>1226</v>
      </c>
      <c r="F1177" s="1">
        <v>27040</v>
      </c>
      <c r="G1177" s="1">
        <v>0.58640000000000003</v>
      </c>
      <c r="H1177" s="1">
        <v>0.70379999999999998</v>
      </c>
      <c r="I1177" s="1">
        <v>0.31280000000000002</v>
      </c>
      <c r="J1177" s="1">
        <v>49705</v>
      </c>
      <c r="K1177" s="1">
        <v>26000</v>
      </c>
      <c r="L1177" s="1">
        <v>8850</v>
      </c>
      <c r="M1177" s="1">
        <v>12</v>
      </c>
      <c r="N1177" s="1" t="s">
        <v>20</v>
      </c>
      <c r="O1177" s="1" t="s">
        <v>29</v>
      </c>
      <c r="P1177" s="1" t="s">
        <v>39</v>
      </c>
      <c r="Q1177" s="1" t="s">
        <v>31</v>
      </c>
      <c r="R1177">
        <v>0.17274477700910318</v>
      </c>
    </row>
    <row r="1178" spans="1:18" x14ac:dyDescent="0.2">
      <c r="A1178" s="1">
        <v>197993</v>
      </c>
      <c r="B1178" s="1" t="s">
        <v>1249</v>
      </c>
      <c r="C1178" s="1" t="s">
        <v>86</v>
      </c>
      <c r="D1178" s="1">
        <v>0.50660000000000005</v>
      </c>
      <c r="E1178" s="1">
        <v>178</v>
      </c>
      <c r="F1178" s="1">
        <v>19140</v>
      </c>
      <c r="G1178" s="1">
        <v>0.25</v>
      </c>
      <c r="H1178" s="1">
        <v>0.85709999999999997</v>
      </c>
      <c r="I1178" s="1">
        <v>0.72819999999999996</v>
      </c>
      <c r="J1178" s="1">
        <v>36654</v>
      </c>
      <c r="K1178" s="1">
        <v>28130</v>
      </c>
      <c r="L1178" s="1">
        <v>6566</v>
      </c>
      <c r="M1178" s="1">
        <v>7</v>
      </c>
      <c r="N1178" s="1" t="s">
        <v>20</v>
      </c>
      <c r="O1178" s="1" t="s">
        <v>29</v>
      </c>
      <c r="P1178" s="1" t="s">
        <v>30</v>
      </c>
      <c r="Q1178" s="1" t="s">
        <v>31</v>
      </c>
      <c r="R1178">
        <v>0.17273163872405384</v>
      </c>
    </row>
    <row r="1179" spans="1:18" x14ac:dyDescent="0.2">
      <c r="A1179" s="1">
        <v>175005</v>
      </c>
      <c r="B1179" s="1" t="s">
        <v>1250</v>
      </c>
      <c r="C1179" s="1" t="s">
        <v>54</v>
      </c>
      <c r="D1179" s="1">
        <v>0.91849999999999998</v>
      </c>
      <c r="E1179" s="1">
        <v>2473</v>
      </c>
      <c r="F1179" s="1">
        <v>51454</v>
      </c>
      <c r="G1179" s="1">
        <v>0.61250000000000004</v>
      </c>
      <c r="H1179" s="1">
        <v>0.8034</v>
      </c>
      <c r="I1179" s="1">
        <v>0.4007</v>
      </c>
      <c r="J1179" s="1">
        <v>59282</v>
      </c>
      <c r="K1179" s="1">
        <v>24181</v>
      </c>
      <c r="L1179" s="1">
        <v>7616</v>
      </c>
      <c r="M1179" s="1">
        <v>9</v>
      </c>
      <c r="N1179" s="1" t="s">
        <v>20</v>
      </c>
      <c r="O1179" s="1" t="s">
        <v>29</v>
      </c>
      <c r="P1179" s="1" t="s">
        <v>22</v>
      </c>
      <c r="Q1179" s="1" t="s">
        <v>23</v>
      </c>
      <c r="R1179">
        <v>0.1725838034094801</v>
      </c>
    </row>
    <row r="1180" spans="1:18" x14ac:dyDescent="0.2">
      <c r="A1180" s="1">
        <v>117104</v>
      </c>
      <c r="B1180" s="1" t="s">
        <v>1251</v>
      </c>
      <c r="C1180" s="1" t="s">
        <v>33</v>
      </c>
      <c r="D1180" s="1">
        <v>0.95799999999999996</v>
      </c>
      <c r="E1180" s="1">
        <v>456</v>
      </c>
      <c r="F1180" s="1">
        <v>22118</v>
      </c>
      <c r="G1180" s="1">
        <v>0.40400000000000003</v>
      </c>
      <c r="H1180" s="1">
        <v>0.73019999999999996</v>
      </c>
      <c r="I1180" s="1">
        <v>0.53790000000000004</v>
      </c>
      <c r="J1180" s="1">
        <v>43299</v>
      </c>
      <c r="K1180" s="1">
        <v>22395</v>
      </c>
      <c r="L1180" s="1">
        <v>6254</v>
      </c>
      <c r="M1180" s="1">
        <v>12</v>
      </c>
      <c r="N1180" s="1" t="s">
        <v>20</v>
      </c>
      <c r="O1180" s="1" t="s">
        <v>21</v>
      </c>
      <c r="P1180" s="1" t="s">
        <v>22</v>
      </c>
      <c r="Q1180" s="1" t="s">
        <v>31</v>
      </c>
      <c r="R1180">
        <v>0.17240994176853386</v>
      </c>
    </row>
    <row r="1181" spans="1:18" x14ac:dyDescent="0.2">
      <c r="A1181" s="1">
        <v>201645</v>
      </c>
      <c r="B1181" s="1" t="s">
        <v>1252</v>
      </c>
      <c r="C1181" s="1" t="s">
        <v>19</v>
      </c>
      <c r="D1181" s="1">
        <v>0.3654</v>
      </c>
      <c r="E1181" s="1">
        <v>6437</v>
      </c>
      <c r="F1181" s="1">
        <v>66608</v>
      </c>
      <c r="G1181" s="1">
        <v>0.87170000000000003</v>
      </c>
      <c r="H1181" s="1">
        <v>0.9214</v>
      </c>
      <c r="I1181" s="1">
        <v>0.17519999999999999</v>
      </c>
      <c r="J1181" s="1">
        <v>87989</v>
      </c>
      <c r="K1181" s="1">
        <v>24000</v>
      </c>
      <c r="L1181" s="1">
        <v>13338</v>
      </c>
      <c r="M1181" s="1">
        <v>9</v>
      </c>
      <c r="N1181" s="1" t="s">
        <v>20</v>
      </c>
      <c r="O1181" s="1" t="s">
        <v>29</v>
      </c>
      <c r="P1181" s="1" t="s">
        <v>22</v>
      </c>
      <c r="Q1181" s="1" t="s">
        <v>23</v>
      </c>
      <c r="R1181">
        <v>0.1703666860290296</v>
      </c>
    </row>
    <row r="1182" spans="1:18" x14ac:dyDescent="0.2">
      <c r="A1182" s="1">
        <v>138600</v>
      </c>
      <c r="B1182" s="1" t="s">
        <v>1253</v>
      </c>
      <c r="C1182" s="1" t="s">
        <v>126</v>
      </c>
      <c r="D1182" s="1">
        <v>0.62150000000000005</v>
      </c>
      <c r="E1182" s="1">
        <v>836</v>
      </c>
      <c r="F1182" s="1">
        <v>50604</v>
      </c>
      <c r="G1182" s="1">
        <v>0.70679999999999998</v>
      </c>
      <c r="H1182" s="1">
        <v>0.81330000000000002</v>
      </c>
      <c r="I1182" s="1">
        <v>0.38529999999999998</v>
      </c>
      <c r="J1182" s="1">
        <v>56274</v>
      </c>
      <c r="K1182" s="1">
        <v>26749</v>
      </c>
      <c r="L1182" s="1">
        <v>9604</v>
      </c>
      <c r="M1182" s="1">
        <v>10</v>
      </c>
      <c r="N1182" s="1" t="s">
        <v>20</v>
      </c>
      <c r="O1182" s="1" t="s">
        <v>21</v>
      </c>
      <c r="P1182" s="1" t="s">
        <v>30</v>
      </c>
      <c r="Q1182" s="1" t="s">
        <v>23</v>
      </c>
      <c r="R1182">
        <v>0.16935346819373143</v>
      </c>
    </row>
    <row r="1183" spans="1:18" x14ac:dyDescent="0.2">
      <c r="A1183" s="1">
        <v>234827</v>
      </c>
      <c r="B1183" s="1" t="s">
        <v>1254</v>
      </c>
      <c r="C1183" s="1" t="s">
        <v>171</v>
      </c>
      <c r="D1183" s="1">
        <v>0.90620000000000001</v>
      </c>
      <c r="E1183" s="1">
        <v>7833</v>
      </c>
      <c r="F1183" s="1">
        <v>27526</v>
      </c>
      <c r="G1183" s="1">
        <v>0.53610000000000002</v>
      </c>
      <c r="H1183" s="1">
        <v>0.70050000000000001</v>
      </c>
      <c r="I1183" s="1">
        <v>0.2828</v>
      </c>
      <c r="J1183" s="1">
        <v>61580</v>
      </c>
      <c r="K1183" s="1">
        <v>19500</v>
      </c>
      <c r="L1183" s="1">
        <v>10124</v>
      </c>
      <c r="M1183" s="1">
        <v>15</v>
      </c>
      <c r="N1183" s="1" t="s">
        <v>28</v>
      </c>
      <c r="O1183" s="1" t="s">
        <v>42</v>
      </c>
      <c r="P1183" s="1" t="s">
        <v>22</v>
      </c>
      <c r="Q1183" s="1" t="s">
        <v>23</v>
      </c>
      <c r="R1183">
        <v>0.16903842579897377</v>
      </c>
    </row>
    <row r="1184" spans="1:18" x14ac:dyDescent="0.2">
      <c r="A1184" s="1">
        <v>163046</v>
      </c>
      <c r="B1184" s="1" t="s">
        <v>1255</v>
      </c>
      <c r="C1184" s="1" t="s">
        <v>61</v>
      </c>
      <c r="D1184" s="1">
        <v>0.75490000000000002</v>
      </c>
      <c r="E1184" s="1">
        <v>3869</v>
      </c>
      <c r="F1184" s="1">
        <v>57150</v>
      </c>
      <c r="G1184" s="1">
        <v>0.79190000000000005</v>
      </c>
      <c r="H1184" s="1">
        <v>0.87109999999999999</v>
      </c>
      <c r="I1184" s="1">
        <v>0.20369999999999999</v>
      </c>
      <c r="J1184" s="1">
        <v>82652</v>
      </c>
      <c r="K1184" s="1">
        <v>27000</v>
      </c>
      <c r="L1184" s="1">
        <v>9706</v>
      </c>
      <c r="M1184" s="1">
        <v>12</v>
      </c>
      <c r="N1184" s="1" t="s">
        <v>20</v>
      </c>
      <c r="O1184" s="1" t="s">
        <v>29</v>
      </c>
      <c r="P1184" s="1" t="s">
        <v>30</v>
      </c>
      <c r="Q1184" s="1" t="s">
        <v>23</v>
      </c>
      <c r="R1184">
        <v>0.16845178275821127</v>
      </c>
    </row>
    <row r="1185" spans="1:18" x14ac:dyDescent="0.2">
      <c r="A1185" s="1">
        <v>145725</v>
      </c>
      <c r="B1185" s="1" t="s">
        <v>1256</v>
      </c>
      <c r="C1185" s="1" t="s">
        <v>25</v>
      </c>
      <c r="D1185" s="1">
        <v>0.54930000000000001</v>
      </c>
      <c r="E1185" s="1">
        <v>2833</v>
      </c>
      <c r="F1185" s="1">
        <v>52386</v>
      </c>
      <c r="G1185" s="1">
        <v>0.75209999999999999</v>
      </c>
      <c r="H1185" s="1">
        <v>0.85960000000000003</v>
      </c>
      <c r="I1185" s="1">
        <v>0.30009999999999998</v>
      </c>
      <c r="J1185" s="1">
        <v>82592</v>
      </c>
      <c r="K1185" s="1">
        <v>25000</v>
      </c>
      <c r="L1185" s="1">
        <v>12710</v>
      </c>
      <c r="M1185" s="1">
        <v>14</v>
      </c>
      <c r="N1185" s="1" t="s">
        <v>20</v>
      </c>
      <c r="O1185" s="1" t="s">
        <v>29</v>
      </c>
      <c r="P1185" s="1" t="s">
        <v>22</v>
      </c>
      <c r="Q1185" s="1" t="s">
        <v>23</v>
      </c>
      <c r="R1185">
        <v>0.16808188698934046</v>
      </c>
    </row>
    <row r="1186" spans="1:18" x14ac:dyDescent="0.2">
      <c r="A1186" s="1">
        <v>128902</v>
      </c>
      <c r="B1186" s="1" t="s">
        <v>1257</v>
      </c>
      <c r="C1186" s="1" t="s">
        <v>147</v>
      </c>
      <c r="D1186" s="1">
        <v>0.37040000000000001</v>
      </c>
      <c r="E1186" s="1">
        <v>1937</v>
      </c>
      <c r="F1186" s="1">
        <v>67242</v>
      </c>
      <c r="G1186" s="1">
        <v>0.82050000000000001</v>
      </c>
      <c r="H1186" s="1">
        <v>0.89729999999999999</v>
      </c>
      <c r="I1186" s="1">
        <v>0.1419</v>
      </c>
      <c r="J1186" s="1">
        <v>75001</v>
      </c>
      <c r="K1186" s="1">
        <v>23500</v>
      </c>
      <c r="L1186" s="1">
        <v>7781</v>
      </c>
      <c r="M1186" s="1">
        <v>9</v>
      </c>
      <c r="N1186" s="1" t="s">
        <v>20</v>
      </c>
      <c r="O1186" s="1" t="s">
        <v>29</v>
      </c>
      <c r="P1186" s="1" t="s">
        <v>39</v>
      </c>
      <c r="Q1186" s="1" t="s">
        <v>23</v>
      </c>
      <c r="R1186">
        <v>0.16784101730772771</v>
      </c>
    </row>
    <row r="1187" spans="1:18" x14ac:dyDescent="0.2">
      <c r="A1187" s="1">
        <v>152099</v>
      </c>
      <c r="B1187" s="1" t="s">
        <v>1258</v>
      </c>
      <c r="C1187" s="1" t="s">
        <v>102</v>
      </c>
      <c r="D1187" s="1">
        <v>0.82509999999999994</v>
      </c>
      <c r="E1187" s="1">
        <v>499</v>
      </c>
      <c r="F1187" s="1">
        <v>27900</v>
      </c>
      <c r="G1187" s="1">
        <v>0.6552</v>
      </c>
      <c r="H1187" s="1">
        <v>0.77690000000000003</v>
      </c>
      <c r="I1187" s="1">
        <v>0.40710000000000002</v>
      </c>
      <c r="J1187" s="1">
        <v>43283</v>
      </c>
      <c r="K1187" s="1">
        <v>16758</v>
      </c>
      <c r="L1187" s="1">
        <v>6073</v>
      </c>
      <c r="M1187" s="1">
        <v>13</v>
      </c>
      <c r="N1187" s="1" t="s">
        <v>20</v>
      </c>
      <c r="O1187" s="1" t="s">
        <v>42</v>
      </c>
      <c r="P1187" s="1" t="s">
        <v>22</v>
      </c>
      <c r="Q1187" s="1" t="s">
        <v>31</v>
      </c>
      <c r="R1187">
        <v>0.16775750542387646</v>
      </c>
    </row>
    <row r="1188" spans="1:18" x14ac:dyDescent="0.2">
      <c r="A1188" s="1">
        <v>227863</v>
      </c>
      <c r="B1188" s="1" t="s">
        <v>458</v>
      </c>
      <c r="C1188" s="1" t="s">
        <v>36</v>
      </c>
      <c r="D1188" s="1">
        <v>0.8992</v>
      </c>
      <c r="E1188" s="1">
        <v>3220</v>
      </c>
      <c r="F1188" s="1">
        <v>34634</v>
      </c>
      <c r="G1188" s="1">
        <v>0.68769999999999998</v>
      </c>
      <c r="H1188" s="1">
        <v>0.77700000000000002</v>
      </c>
      <c r="I1188" s="1">
        <v>0.41639999999999999</v>
      </c>
      <c r="J1188" s="1">
        <v>59224</v>
      </c>
      <c r="K1188" s="1">
        <v>19928</v>
      </c>
      <c r="L1188" s="1">
        <v>7661</v>
      </c>
      <c r="M1188" s="1">
        <v>16</v>
      </c>
      <c r="N1188" s="1" t="s">
        <v>20</v>
      </c>
      <c r="O1188" s="1" t="s">
        <v>29</v>
      </c>
      <c r="P1188" s="1" t="s">
        <v>30</v>
      </c>
      <c r="Q1188" s="1" t="s">
        <v>23</v>
      </c>
      <c r="R1188">
        <v>0.16614721877697225</v>
      </c>
    </row>
    <row r="1189" spans="1:18" x14ac:dyDescent="0.2">
      <c r="A1189" s="1">
        <v>226383</v>
      </c>
      <c r="B1189" s="1" t="s">
        <v>1259</v>
      </c>
      <c r="C1189" s="1" t="s">
        <v>36</v>
      </c>
      <c r="D1189" s="1">
        <v>0.73099999999999998</v>
      </c>
      <c r="E1189" s="1">
        <v>1252</v>
      </c>
      <c r="F1189" s="1">
        <v>28540</v>
      </c>
      <c r="G1189" s="1">
        <v>0.51359999999999995</v>
      </c>
      <c r="H1189" s="1">
        <v>0.70320000000000005</v>
      </c>
      <c r="I1189" s="1">
        <v>0.34320000000000001</v>
      </c>
      <c r="J1189" s="1">
        <v>53787</v>
      </c>
      <c r="K1189" s="1">
        <v>20948</v>
      </c>
      <c r="L1189" s="1">
        <v>6790</v>
      </c>
      <c r="M1189" s="1">
        <v>11</v>
      </c>
      <c r="N1189" s="1" t="s">
        <v>20</v>
      </c>
      <c r="O1189" s="1" t="s">
        <v>29</v>
      </c>
      <c r="P1189" s="1" t="s">
        <v>30</v>
      </c>
      <c r="Q1189" s="1" t="s">
        <v>23</v>
      </c>
      <c r="R1189">
        <v>0.16488869685498142</v>
      </c>
    </row>
    <row r="1190" spans="1:18" x14ac:dyDescent="0.2">
      <c r="A1190" s="1">
        <v>171456</v>
      </c>
      <c r="B1190" s="1" t="s">
        <v>1260</v>
      </c>
      <c r="C1190" s="1" t="s">
        <v>109</v>
      </c>
      <c r="D1190" s="1">
        <v>0.84019999999999995</v>
      </c>
      <c r="E1190" s="1">
        <v>6556</v>
      </c>
      <c r="F1190" s="1">
        <v>19773</v>
      </c>
      <c r="G1190" s="1">
        <v>0.52139999999999997</v>
      </c>
      <c r="H1190" s="1">
        <v>0.77959999999999996</v>
      </c>
      <c r="I1190" s="1">
        <v>0.27950000000000003</v>
      </c>
      <c r="J1190" s="1">
        <v>47107</v>
      </c>
      <c r="K1190" s="1">
        <v>21474</v>
      </c>
      <c r="L1190" s="1">
        <v>9306</v>
      </c>
      <c r="M1190" s="1">
        <v>18</v>
      </c>
      <c r="N1190" s="1" t="s">
        <v>28</v>
      </c>
      <c r="O1190" s="1" t="s">
        <v>42</v>
      </c>
      <c r="P1190" s="1" t="s">
        <v>22</v>
      </c>
      <c r="Q1190" s="1" t="s">
        <v>31</v>
      </c>
      <c r="R1190">
        <v>0.16459924488190314</v>
      </c>
    </row>
    <row r="1191" spans="1:18" x14ac:dyDescent="0.2">
      <c r="A1191" s="1">
        <v>201371</v>
      </c>
      <c r="B1191" s="1" t="s">
        <v>1261</v>
      </c>
      <c r="C1191" s="1" t="s">
        <v>19</v>
      </c>
      <c r="D1191" s="1">
        <v>0.67230000000000001</v>
      </c>
      <c r="E1191" s="1">
        <v>582</v>
      </c>
      <c r="F1191" s="1">
        <v>37362</v>
      </c>
      <c r="G1191" s="1">
        <v>0.52939999999999998</v>
      </c>
      <c r="H1191" s="1">
        <v>0.59570000000000001</v>
      </c>
      <c r="I1191" s="1">
        <v>0.44679999999999997</v>
      </c>
      <c r="J1191" s="1">
        <v>49547</v>
      </c>
      <c r="K1191" s="1">
        <v>27000</v>
      </c>
      <c r="L1191" s="1">
        <v>5689</v>
      </c>
      <c r="M1191" s="1">
        <v>11</v>
      </c>
      <c r="N1191" s="1" t="s">
        <v>20</v>
      </c>
      <c r="O1191" s="1" t="s">
        <v>42</v>
      </c>
      <c r="P1191" s="1" t="s">
        <v>22</v>
      </c>
      <c r="Q1191" s="1" t="s">
        <v>31</v>
      </c>
      <c r="R1191">
        <v>0.16434511997572321</v>
      </c>
    </row>
    <row r="1192" spans="1:18" x14ac:dyDescent="0.2">
      <c r="A1192" s="1">
        <v>141167</v>
      </c>
      <c r="B1192" s="1" t="s">
        <v>1262</v>
      </c>
      <c r="C1192" s="1" t="s">
        <v>126</v>
      </c>
      <c r="D1192" s="1">
        <v>0.38300000000000001</v>
      </c>
      <c r="E1192" s="1">
        <v>998</v>
      </c>
      <c r="F1192" s="1">
        <v>11640</v>
      </c>
      <c r="G1192" s="1">
        <v>0.27539999999999998</v>
      </c>
      <c r="H1192" s="1">
        <v>0.49249999999999999</v>
      </c>
      <c r="I1192" s="1">
        <v>0.55349999999999999</v>
      </c>
      <c r="J1192" s="1">
        <v>49716</v>
      </c>
      <c r="K1192" s="1">
        <v>21198</v>
      </c>
      <c r="L1192" s="1">
        <v>5844</v>
      </c>
      <c r="M1192" s="1">
        <v>12</v>
      </c>
      <c r="N1192" s="1" t="s">
        <v>20</v>
      </c>
      <c r="O1192" s="1" t="s">
        <v>42</v>
      </c>
      <c r="P1192" s="1" t="s">
        <v>30</v>
      </c>
      <c r="Q1192" s="1" t="s">
        <v>31</v>
      </c>
      <c r="R1192">
        <v>0.16351416434035237</v>
      </c>
    </row>
    <row r="1193" spans="1:18" x14ac:dyDescent="0.2">
      <c r="A1193" s="1">
        <v>457129</v>
      </c>
      <c r="B1193" s="1" t="s">
        <v>1263</v>
      </c>
      <c r="C1193" s="1" t="s">
        <v>27</v>
      </c>
      <c r="D1193" s="1">
        <v>0.90910000000000002</v>
      </c>
      <c r="E1193" s="1">
        <v>821</v>
      </c>
      <c r="F1193" s="1">
        <v>19975</v>
      </c>
      <c r="G1193" s="1">
        <v>0.33329999999999999</v>
      </c>
      <c r="H1193" s="1">
        <v>0.625</v>
      </c>
      <c r="I1193" s="1">
        <v>0.5423</v>
      </c>
      <c r="J1193" s="1">
        <v>92405</v>
      </c>
      <c r="K1193" s="1">
        <v>20919</v>
      </c>
      <c r="L1193" s="1">
        <v>8080</v>
      </c>
      <c r="M1193" s="1">
        <v>10</v>
      </c>
      <c r="N1193" s="1" t="s">
        <v>142</v>
      </c>
      <c r="O1193" s="1" t="s">
        <v>29</v>
      </c>
      <c r="P1193" s="1" t="s">
        <v>30</v>
      </c>
      <c r="Q1193" s="1" t="s">
        <v>23</v>
      </c>
      <c r="R1193">
        <v>0.16118216125607454</v>
      </c>
    </row>
    <row r="1194" spans="1:18" x14ac:dyDescent="0.2">
      <c r="A1194" s="1">
        <v>141060</v>
      </c>
      <c r="B1194" s="1" t="s">
        <v>1264</v>
      </c>
      <c r="C1194" s="1" t="s">
        <v>126</v>
      </c>
      <c r="D1194" s="1">
        <v>0.2487</v>
      </c>
      <c r="E1194" s="1">
        <v>3414</v>
      </c>
      <c r="F1194" s="1">
        <v>31556</v>
      </c>
      <c r="G1194" s="1">
        <v>0.78459999999999996</v>
      </c>
      <c r="H1194" s="1">
        <v>0.94089999999999996</v>
      </c>
      <c r="I1194" s="1">
        <v>0.27829999999999999</v>
      </c>
      <c r="J1194" s="1">
        <v>59993</v>
      </c>
      <c r="K1194" s="1">
        <v>25000</v>
      </c>
      <c r="L1194" s="1">
        <v>9558</v>
      </c>
      <c r="M1194" s="1">
        <v>11</v>
      </c>
      <c r="N1194" s="1" t="s">
        <v>20</v>
      </c>
      <c r="O1194" s="1" t="s">
        <v>29</v>
      </c>
      <c r="P1194" s="1" t="s">
        <v>30</v>
      </c>
      <c r="Q1194" s="1" t="s">
        <v>23</v>
      </c>
      <c r="R1194">
        <v>0.16107017818540093</v>
      </c>
    </row>
    <row r="1195" spans="1:18" x14ac:dyDescent="0.2">
      <c r="A1195" s="1">
        <v>137962</v>
      </c>
      <c r="B1195" s="1" t="s">
        <v>1265</v>
      </c>
      <c r="C1195" s="1" t="s">
        <v>27</v>
      </c>
      <c r="D1195" s="1">
        <v>0.91890000000000005</v>
      </c>
      <c r="E1195" s="1">
        <v>148</v>
      </c>
      <c r="F1195" s="1">
        <v>16300</v>
      </c>
      <c r="G1195" s="1">
        <v>0</v>
      </c>
      <c r="H1195" s="1">
        <v>0.28000000000000003</v>
      </c>
      <c r="I1195" s="1">
        <v>0.47620000000000001</v>
      </c>
      <c r="J1195" s="1">
        <v>32465</v>
      </c>
      <c r="K1195" s="1">
        <v>23250</v>
      </c>
      <c r="L1195" s="1">
        <v>5600</v>
      </c>
      <c r="M1195" s="1">
        <v>12</v>
      </c>
      <c r="N1195" s="1" t="s">
        <v>20</v>
      </c>
      <c r="O1195" s="1" t="s">
        <v>21</v>
      </c>
      <c r="P1195" s="1" t="s">
        <v>30</v>
      </c>
      <c r="Q1195" s="1" t="s">
        <v>31</v>
      </c>
      <c r="R1195">
        <v>0.16073058931251372</v>
      </c>
    </row>
    <row r="1196" spans="1:18" x14ac:dyDescent="0.2">
      <c r="A1196" s="1">
        <v>213987</v>
      </c>
      <c r="B1196" s="1" t="s">
        <v>1266</v>
      </c>
      <c r="C1196" s="1" t="s">
        <v>98</v>
      </c>
      <c r="D1196" s="1">
        <v>0.81020000000000003</v>
      </c>
      <c r="E1196" s="1">
        <v>2191</v>
      </c>
      <c r="F1196" s="1">
        <v>45770</v>
      </c>
      <c r="G1196" s="1">
        <v>0.60170000000000001</v>
      </c>
      <c r="H1196" s="1">
        <v>0.79790000000000005</v>
      </c>
      <c r="I1196" s="1">
        <v>0.31330000000000002</v>
      </c>
      <c r="J1196" s="1">
        <v>47452</v>
      </c>
      <c r="K1196" s="1">
        <v>25305</v>
      </c>
      <c r="L1196" s="1">
        <v>7193</v>
      </c>
      <c r="M1196" s="1">
        <v>14</v>
      </c>
      <c r="N1196" s="1" t="s">
        <v>20</v>
      </c>
      <c r="O1196" s="1" t="s">
        <v>29</v>
      </c>
      <c r="P1196" s="1" t="s">
        <v>39</v>
      </c>
      <c r="Q1196" s="1" t="s">
        <v>31</v>
      </c>
      <c r="R1196">
        <v>0.15942879592331671</v>
      </c>
    </row>
    <row r="1197" spans="1:18" x14ac:dyDescent="0.2">
      <c r="A1197" s="1">
        <v>145497</v>
      </c>
      <c r="B1197" s="1" t="s">
        <v>1267</v>
      </c>
      <c r="C1197" s="1" t="s">
        <v>25</v>
      </c>
      <c r="D1197" s="1">
        <v>0.57140000000000002</v>
      </c>
      <c r="E1197" s="1">
        <v>90</v>
      </c>
      <c r="F1197" s="1">
        <v>15150</v>
      </c>
      <c r="G1197" s="1">
        <v>0.5</v>
      </c>
      <c r="H1197" s="1">
        <v>0.86050000000000004</v>
      </c>
      <c r="I1197" s="1">
        <v>0.12759999999999999</v>
      </c>
      <c r="J1197" s="1">
        <v>33291</v>
      </c>
      <c r="K1197" s="1">
        <v>14000</v>
      </c>
      <c r="L1197" s="1">
        <v>4277</v>
      </c>
      <c r="M1197" s="1">
        <v>5</v>
      </c>
      <c r="N1197" s="1" t="s">
        <v>20</v>
      </c>
      <c r="O1197" s="1" t="s">
        <v>29</v>
      </c>
      <c r="P1197" s="1" t="s">
        <v>22</v>
      </c>
      <c r="Q1197" s="1" t="s">
        <v>31</v>
      </c>
      <c r="R1197">
        <v>0.15905003478650304</v>
      </c>
    </row>
    <row r="1198" spans="1:18" x14ac:dyDescent="0.2">
      <c r="A1198" s="1">
        <v>168786</v>
      </c>
      <c r="B1198" s="1" t="s">
        <v>1268</v>
      </c>
      <c r="C1198" s="1" t="s">
        <v>109</v>
      </c>
      <c r="D1198" s="1">
        <v>0.89880000000000004</v>
      </c>
      <c r="E1198" s="1">
        <v>1083</v>
      </c>
      <c r="F1198" s="1">
        <v>40218</v>
      </c>
      <c r="G1198" s="1">
        <v>0.65359999999999996</v>
      </c>
      <c r="H1198" s="1">
        <v>0.78310000000000002</v>
      </c>
      <c r="I1198" s="1">
        <v>0.23899999999999999</v>
      </c>
      <c r="J1198" s="1">
        <v>49584</v>
      </c>
      <c r="K1198" s="1">
        <v>23000</v>
      </c>
      <c r="L1198" s="1">
        <v>6660</v>
      </c>
      <c r="M1198" s="1">
        <v>10</v>
      </c>
      <c r="N1198" s="1" t="s">
        <v>20</v>
      </c>
      <c r="O1198" s="1" t="s">
        <v>29</v>
      </c>
      <c r="P1198" s="1" t="s">
        <v>22</v>
      </c>
      <c r="Q1198" s="1" t="s">
        <v>31</v>
      </c>
      <c r="R1198">
        <v>0.15876724568159228</v>
      </c>
    </row>
    <row r="1199" spans="1:18" x14ac:dyDescent="0.2">
      <c r="A1199" s="1">
        <v>141325</v>
      </c>
      <c r="B1199" s="1" t="s">
        <v>1269</v>
      </c>
      <c r="C1199" s="1" t="s">
        <v>126</v>
      </c>
      <c r="D1199" s="1">
        <v>0.59099999999999997</v>
      </c>
      <c r="E1199" s="1">
        <v>400</v>
      </c>
      <c r="F1199" s="1">
        <v>27650</v>
      </c>
      <c r="G1199" s="1">
        <v>0.44519999999999998</v>
      </c>
      <c r="H1199" s="1">
        <v>0.76</v>
      </c>
      <c r="I1199" s="1">
        <v>0.45789999999999997</v>
      </c>
      <c r="J1199" s="1">
        <v>44317</v>
      </c>
      <c r="K1199" s="1">
        <v>24094</v>
      </c>
      <c r="L1199" s="1">
        <v>6243</v>
      </c>
      <c r="M1199" s="1">
        <v>8</v>
      </c>
      <c r="N1199" s="1" t="s">
        <v>20</v>
      </c>
      <c r="O1199" s="1" t="s">
        <v>29</v>
      </c>
      <c r="P1199" s="1" t="s">
        <v>30</v>
      </c>
      <c r="Q1199" s="1" t="s">
        <v>31</v>
      </c>
      <c r="R1199">
        <v>0.15863961583001607</v>
      </c>
    </row>
    <row r="1200" spans="1:18" x14ac:dyDescent="0.2">
      <c r="A1200" s="1">
        <v>482574</v>
      </c>
      <c r="B1200" s="1" t="s">
        <v>1270</v>
      </c>
      <c r="C1200" s="1" t="s">
        <v>19</v>
      </c>
      <c r="D1200" s="1">
        <v>1</v>
      </c>
      <c r="E1200" s="1">
        <v>210</v>
      </c>
      <c r="F1200" s="1">
        <v>17408</v>
      </c>
      <c r="G1200" s="1">
        <v>0.38890000000000002</v>
      </c>
      <c r="H1200" s="1">
        <v>0.6</v>
      </c>
      <c r="I1200" s="1">
        <v>0.79359999999999997</v>
      </c>
      <c r="J1200" s="1">
        <v>45987</v>
      </c>
      <c r="K1200" s="1">
        <v>24807</v>
      </c>
      <c r="L1200" s="1">
        <v>9686</v>
      </c>
      <c r="M1200" s="1">
        <v>19</v>
      </c>
      <c r="N1200" s="1" t="s">
        <v>142</v>
      </c>
      <c r="O1200" s="1" t="s">
        <v>29</v>
      </c>
      <c r="P1200" s="1" t="s">
        <v>22</v>
      </c>
      <c r="Q1200" s="1" t="s">
        <v>31</v>
      </c>
      <c r="R1200">
        <v>0.15759047670490411</v>
      </c>
    </row>
    <row r="1201" spans="1:18" x14ac:dyDescent="0.2">
      <c r="A1201" s="1">
        <v>207722</v>
      </c>
      <c r="B1201" s="1" t="s">
        <v>1271</v>
      </c>
      <c r="C1201" s="1" t="s">
        <v>224</v>
      </c>
      <c r="D1201" s="1">
        <v>0.65820000000000001</v>
      </c>
      <c r="E1201" s="1">
        <v>941</v>
      </c>
      <c r="F1201" s="1">
        <v>20190</v>
      </c>
      <c r="G1201" s="1">
        <v>0.44130000000000003</v>
      </c>
      <c r="H1201" s="1">
        <v>0.66300000000000003</v>
      </c>
      <c r="I1201" s="1">
        <v>0.51200000000000001</v>
      </c>
      <c r="J1201" s="1">
        <v>41913</v>
      </c>
      <c r="K1201" s="1">
        <v>21750</v>
      </c>
      <c r="L1201" s="1">
        <v>6356</v>
      </c>
      <c r="M1201" s="1">
        <v>13</v>
      </c>
      <c r="N1201" s="1" t="s">
        <v>28</v>
      </c>
      <c r="O1201" s="1" t="s">
        <v>42</v>
      </c>
      <c r="P1201" s="1" t="s">
        <v>30</v>
      </c>
      <c r="Q1201" s="1" t="s">
        <v>31</v>
      </c>
      <c r="R1201">
        <v>0.15720682083817727</v>
      </c>
    </row>
    <row r="1202" spans="1:18" x14ac:dyDescent="0.2">
      <c r="A1202" s="1">
        <v>190512</v>
      </c>
      <c r="B1202" s="1" t="s">
        <v>1272</v>
      </c>
      <c r="C1202" s="1" t="s">
        <v>58</v>
      </c>
      <c r="D1202" s="1">
        <v>0.47520000000000001</v>
      </c>
      <c r="E1202" s="1">
        <v>16154</v>
      </c>
      <c r="F1202" s="1">
        <v>15414</v>
      </c>
      <c r="G1202" s="1">
        <v>0.72119999999999995</v>
      </c>
      <c r="H1202" s="1">
        <v>0.88600000000000001</v>
      </c>
      <c r="I1202" s="1">
        <v>0.56879999999999997</v>
      </c>
      <c r="J1202" s="1">
        <v>75971</v>
      </c>
      <c r="K1202" s="1">
        <v>11512</v>
      </c>
      <c r="L1202" s="1">
        <v>12558</v>
      </c>
      <c r="M1202" s="1">
        <v>19</v>
      </c>
      <c r="N1202" s="1" t="s">
        <v>28</v>
      </c>
      <c r="O1202" s="1" t="s">
        <v>29</v>
      </c>
      <c r="P1202" s="1" t="s">
        <v>39</v>
      </c>
      <c r="Q1202" s="1" t="s">
        <v>23</v>
      </c>
      <c r="R1202">
        <v>0.15696401617683287</v>
      </c>
    </row>
    <row r="1203" spans="1:18" x14ac:dyDescent="0.2">
      <c r="A1203" s="1">
        <v>214740</v>
      </c>
      <c r="B1203" s="1" t="s">
        <v>1273</v>
      </c>
      <c r="C1203" s="1" t="s">
        <v>98</v>
      </c>
      <c r="D1203" s="1">
        <v>0.97119999999999995</v>
      </c>
      <c r="E1203" s="1">
        <v>349</v>
      </c>
      <c r="F1203" s="1">
        <v>24134</v>
      </c>
      <c r="G1203" s="1">
        <v>0.33810000000000001</v>
      </c>
      <c r="H1203" s="1">
        <v>0.86360000000000003</v>
      </c>
      <c r="I1203" s="1">
        <v>0.29459999999999997</v>
      </c>
      <c r="J1203" s="1">
        <v>63435</v>
      </c>
      <c r="K1203" s="1">
        <v>25000</v>
      </c>
      <c r="L1203" s="1">
        <v>9056</v>
      </c>
      <c r="M1203" s="1">
        <v>9</v>
      </c>
      <c r="N1203" s="1" t="s">
        <v>28</v>
      </c>
      <c r="O1203" s="1" t="s">
        <v>42</v>
      </c>
      <c r="P1203" s="1" t="s">
        <v>39</v>
      </c>
      <c r="Q1203" s="1" t="s">
        <v>23</v>
      </c>
      <c r="R1203">
        <v>0.1567058629900866</v>
      </c>
    </row>
    <row r="1204" spans="1:18" x14ac:dyDescent="0.2">
      <c r="A1204" s="1">
        <v>177986</v>
      </c>
      <c r="B1204" s="1" t="s">
        <v>1274</v>
      </c>
      <c r="C1204" s="1" t="s">
        <v>77</v>
      </c>
      <c r="D1204" s="1">
        <v>0.64290000000000003</v>
      </c>
      <c r="E1204" s="1">
        <v>229</v>
      </c>
      <c r="F1204" s="1">
        <v>9000</v>
      </c>
      <c r="G1204" s="1">
        <v>0.22220000000000001</v>
      </c>
      <c r="H1204" s="1">
        <v>0.5</v>
      </c>
      <c r="I1204" s="1">
        <v>0.40439999999999998</v>
      </c>
      <c r="J1204" s="1">
        <v>55838</v>
      </c>
      <c r="K1204" s="1">
        <v>10250</v>
      </c>
      <c r="L1204" s="1">
        <v>7004</v>
      </c>
      <c r="M1204" s="1">
        <v>9</v>
      </c>
      <c r="N1204" s="1" t="s">
        <v>20</v>
      </c>
      <c r="O1204" s="1" t="s">
        <v>21</v>
      </c>
      <c r="P1204" s="1" t="s">
        <v>22</v>
      </c>
      <c r="Q1204" s="1" t="s">
        <v>23</v>
      </c>
      <c r="R1204">
        <v>0.15602959468971911</v>
      </c>
    </row>
    <row r="1205" spans="1:18" x14ac:dyDescent="0.2">
      <c r="A1205" s="1">
        <v>214166</v>
      </c>
      <c r="B1205" s="1" t="s">
        <v>1275</v>
      </c>
      <c r="C1205" s="1" t="s">
        <v>98</v>
      </c>
      <c r="D1205" s="1">
        <v>0.82050000000000001</v>
      </c>
      <c r="E1205" s="1">
        <v>1094</v>
      </c>
      <c r="F1205" s="1">
        <v>27072</v>
      </c>
      <c r="G1205" s="1">
        <v>0.56910000000000005</v>
      </c>
      <c r="H1205" s="1">
        <v>0.56120000000000003</v>
      </c>
      <c r="I1205" s="1">
        <v>0.15429999999999999</v>
      </c>
      <c r="J1205" s="1">
        <v>46165</v>
      </c>
      <c r="K1205" s="1">
        <v>24287</v>
      </c>
      <c r="L1205" s="1">
        <v>7396</v>
      </c>
      <c r="M1205" s="1">
        <v>11</v>
      </c>
      <c r="N1205" s="1" t="s">
        <v>20</v>
      </c>
      <c r="O1205" s="1" t="s">
        <v>42</v>
      </c>
      <c r="P1205" s="1" t="s">
        <v>39</v>
      </c>
      <c r="Q1205" s="1" t="s">
        <v>31</v>
      </c>
      <c r="R1205">
        <v>0.15586416512613066</v>
      </c>
    </row>
    <row r="1206" spans="1:18" x14ac:dyDescent="0.2">
      <c r="A1206" s="1">
        <v>156408</v>
      </c>
      <c r="B1206" s="1" t="s">
        <v>1276</v>
      </c>
      <c r="C1206" s="1" t="s">
        <v>104</v>
      </c>
      <c r="D1206" s="1">
        <v>0.54359999999999997</v>
      </c>
      <c r="E1206" s="1">
        <v>1400</v>
      </c>
      <c r="F1206" s="1">
        <v>52820</v>
      </c>
      <c r="G1206" s="1">
        <v>0.80669999999999997</v>
      </c>
      <c r="H1206" s="1">
        <v>0.875</v>
      </c>
      <c r="I1206" s="1">
        <v>0.22639999999999999</v>
      </c>
      <c r="J1206" s="1">
        <v>66240</v>
      </c>
      <c r="K1206" s="1">
        <v>27000</v>
      </c>
      <c r="L1206" s="1">
        <v>9723</v>
      </c>
      <c r="M1206" s="1">
        <v>10</v>
      </c>
      <c r="N1206" s="1" t="s">
        <v>20</v>
      </c>
      <c r="O1206" s="1" t="s">
        <v>42</v>
      </c>
      <c r="P1206" s="1" t="s">
        <v>30</v>
      </c>
      <c r="Q1206" s="1" t="s">
        <v>23</v>
      </c>
      <c r="R1206">
        <v>0.15553906105681392</v>
      </c>
    </row>
    <row r="1207" spans="1:18" x14ac:dyDescent="0.2">
      <c r="A1207" s="1">
        <v>217402</v>
      </c>
      <c r="B1207" s="1" t="s">
        <v>1277</v>
      </c>
      <c r="C1207" s="1" t="s">
        <v>92</v>
      </c>
      <c r="D1207" s="1">
        <v>0.50890000000000002</v>
      </c>
      <c r="E1207" s="1">
        <v>4229</v>
      </c>
      <c r="F1207" s="1">
        <v>63550</v>
      </c>
      <c r="G1207" s="1">
        <v>0.85819999999999996</v>
      </c>
      <c r="H1207" s="1">
        <v>0.9395</v>
      </c>
      <c r="I1207" s="1">
        <v>0.1343</v>
      </c>
      <c r="J1207" s="1">
        <v>87054</v>
      </c>
      <c r="K1207" s="1">
        <v>27000</v>
      </c>
      <c r="L1207" s="1">
        <v>12190</v>
      </c>
      <c r="M1207" s="1">
        <v>11</v>
      </c>
      <c r="N1207" s="1" t="s">
        <v>20</v>
      </c>
      <c r="O1207" s="1" t="s">
        <v>29</v>
      </c>
      <c r="P1207" s="1" t="s">
        <v>39</v>
      </c>
      <c r="Q1207" s="1" t="s">
        <v>23</v>
      </c>
      <c r="R1207">
        <v>0.15517879890417796</v>
      </c>
    </row>
    <row r="1208" spans="1:18" x14ac:dyDescent="0.2">
      <c r="A1208" s="1">
        <v>214591</v>
      </c>
      <c r="B1208" s="1" t="s">
        <v>1278</v>
      </c>
      <c r="C1208" s="1" t="s">
        <v>98</v>
      </c>
      <c r="D1208" s="1">
        <v>0.96830000000000005</v>
      </c>
      <c r="E1208" s="1">
        <v>3240</v>
      </c>
      <c r="F1208" s="1">
        <v>26958</v>
      </c>
      <c r="G1208" s="1">
        <v>0.43630000000000002</v>
      </c>
      <c r="H1208" s="1">
        <v>0.83250000000000002</v>
      </c>
      <c r="I1208" s="1">
        <v>0.28889999999999999</v>
      </c>
      <c r="J1208" s="1">
        <v>63435</v>
      </c>
      <c r="K1208" s="1">
        <v>25000</v>
      </c>
      <c r="L1208" s="1">
        <v>10333</v>
      </c>
      <c r="M1208" s="1">
        <v>12</v>
      </c>
      <c r="N1208" s="1" t="s">
        <v>28</v>
      </c>
      <c r="O1208" s="1" t="s">
        <v>21</v>
      </c>
      <c r="P1208" s="1" t="s">
        <v>39</v>
      </c>
      <c r="Q1208" s="1" t="s">
        <v>23</v>
      </c>
      <c r="R1208">
        <v>0.1550034621867824</v>
      </c>
    </row>
    <row r="1209" spans="1:18" x14ac:dyDescent="0.2">
      <c r="A1209" s="1">
        <v>236452</v>
      </c>
      <c r="B1209" s="1" t="s">
        <v>1279</v>
      </c>
      <c r="C1209" s="1" t="s">
        <v>171</v>
      </c>
      <c r="D1209" s="1">
        <v>0.89800000000000002</v>
      </c>
      <c r="E1209" s="1">
        <v>1158</v>
      </c>
      <c r="F1209" s="1">
        <v>45510</v>
      </c>
      <c r="G1209" s="1">
        <v>0.51900000000000002</v>
      </c>
      <c r="H1209" s="1">
        <v>0.64590000000000003</v>
      </c>
      <c r="I1209" s="1">
        <v>0.41909999999999997</v>
      </c>
      <c r="J1209" s="1">
        <v>62092</v>
      </c>
      <c r="K1209" s="1">
        <v>22500</v>
      </c>
      <c r="L1209" s="1">
        <v>7413</v>
      </c>
      <c r="M1209" s="1">
        <v>11</v>
      </c>
      <c r="N1209" s="1" t="s">
        <v>20</v>
      </c>
      <c r="O1209" s="1" t="s">
        <v>29</v>
      </c>
      <c r="P1209" s="1" t="s">
        <v>22</v>
      </c>
      <c r="Q1209" s="1" t="s">
        <v>23</v>
      </c>
      <c r="R1209">
        <v>0.15445489202507423</v>
      </c>
    </row>
    <row r="1210" spans="1:18" x14ac:dyDescent="0.2">
      <c r="A1210" s="1">
        <v>190114</v>
      </c>
      <c r="B1210" s="1" t="s">
        <v>1280</v>
      </c>
      <c r="C1210" s="1" t="s">
        <v>58</v>
      </c>
      <c r="D1210" s="1">
        <v>0.9</v>
      </c>
      <c r="E1210" s="1">
        <v>402</v>
      </c>
      <c r="F1210" s="1">
        <v>20188</v>
      </c>
      <c r="G1210" s="1">
        <v>0.4</v>
      </c>
      <c r="H1210" s="1">
        <v>0.2</v>
      </c>
      <c r="I1210" s="1">
        <v>0.6512</v>
      </c>
      <c r="J1210" s="1">
        <v>46236</v>
      </c>
      <c r="K1210" s="1">
        <v>27688</v>
      </c>
      <c r="L1210" s="1">
        <v>7154</v>
      </c>
      <c r="M1210" s="1">
        <v>12</v>
      </c>
      <c r="N1210" s="1" t="s">
        <v>20</v>
      </c>
      <c r="O1210" s="1" t="s">
        <v>29</v>
      </c>
      <c r="P1210" s="1" t="s">
        <v>39</v>
      </c>
      <c r="Q1210" s="1" t="s">
        <v>31</v>
      </c>
      <c r="R1210">
        <v>0.15318332877290064</v>
      </c>
    </row>
    <row r="1211" spans="1:18" x14ac:dyDescent="0.2">
      <c r="A1211" s="1">
        <v>151388</v>
      </c>
      <c r="B1211" s="1" t="s">
        <v>1281</v>
      </c>
      <c r="C1211" s="1" t="s">
        <v>102</v>
      </c>
      <c r="D1211" s="1">
        <v>0.67220000000000002</v>
      </c>
      <c r="E1211" s="1">
        <v>2589</v>
      </c>
      <c r="F1211" s="1">
        <v>22811</v>
      </c>
      <c r="G1211" s="1">
        <v>0.39579999999999999</v>
      </c>
      <c r="H1211" s="1">
        <v>0.61760000000000004</v>
      </c>
      <c r="I1211" s="1">
        <v>0.3543</v>
      </c>
      <c r="J1211" s="1">
        <v>47156</v>
      </c>
      <c r="K1211" s="1">
        <v>18000</v>
      </c>
      <c r="L1211" s="1">
        <v>8046</v>
      </c>
      <c r="M1211" s="1">
        <v>15</v>
      </c>
      <c r="N1211" s="1" t="s">
        <v>28</v>
      </c>
      <c r="O1211" s="1" t="s">
        <v>42</v>
      </c>
      <c r="P1211" s="1" t="s">
        <v>22</v>
      </c>
      <c r="Q1211" s="1" t="s">
        <v>31</v>
      </c>
      <c r="R1211">
        <v>0.15270758544457075</v>
      </c>
    </row>
    <row r="1212" spans="1:18" x14ac:dyDescent="0.2">
      <c r="A1212" s="1">
        <v>181394</v>
      </c>
      <c r="B1212" s="1" t="s">
        <v>1282</v>
      </c>
      <c r="C1212" s="1" t="s">
        <v>221</v>
      </c>
      <c r="D1212" s="1">
        <v>0.86980000000000002</v>
      </c>
      <c r="E1212" s="1">
        <v>11488</v>
      </c>
      <c r="F1212" s="1">
        <v>23206</v>
      </c>
      <c r="G1212" s="1">
        <v>0.4708</v>
      </c>
      <c r="H1212" s="1">
        <v>0.77869999999999995</v>
      </c>
      <c r="I1212" s="1">
        <v>0.34649999999999997</v>
      </c>
      <c r="J1212" s="1">
        <v>53909</v>
      </c>
      <c r="K1212" s="1">
        <v>19000</v>
      </c>
      <c r="L1212" s="1">
        <v>9293</v>
      </c>
      <c r="M1212" s="1">
        <v>15</v>
      </c>
      <c r="N1212" s="1" t="s">
        <v>28</v>
      </c>
      <c r="O1212" s="1" t="s">
        <v>29</v>
      </c>
      <c r="P1212" s="1" t="s">
        <v>22</v>
      </c>
      <c r="Q1212" s="1" t="s">
        <v>23</v>
      </c>
      <c r="R1212">
        <v>0.15180114773981768</v>
      </c>
    </row>
    <row r="1213" spans="1:18" x14ac:dyDescent="0.2">
      <c r="A1213" s="1">
        <v>146719</v>
      </c>
      <c r="B1213" s="1" t="s">
        <v>1283</v>
      </c>
      <c r="C1213" s="1" t="s">
        <v>25</v>
      </c>
      <c r="D1213" s="1">
        <v>0.81599999999999995</v>
      </c>
      <c r="E1213" s="1">
        <v>11737</v>
      </c>
      <c r="F1213" s="1">
        <v>53710</v>
      </c>
      <c r="G1213" s="1">
        <v>0.73040000000000005</v>
      </c>
      <c r="H1213" s="1">
        <v>0.81669999999999998</v>
      </c>
      <c r="I1213" s="1">
        <v>0.23749999999999999</v>
      </c>
      <c r="J1213" s="1">
        <v>71530</v>
      </c>
      <c r="K1213" s="1">
        <v>24157</v>
      </c>
      <c r="L1213" s="1">
        <v>11515</v>
      </c>
      <c r="M1213" s="1">
        <v>13</v>
      </c>
      <c r="N1213" s="1" t="s">
        <v>20</v>
      </c>
      <c r="O1213" s="1" t="s">
        <v>29</v>
      </c>
      <c r="P1213" s="1" t="s">
        <v>22</v>
      </c>
      <c r="Q1213" s="1" t="s">
        <v>23</v>
      </c>
      <c r="R1213">
        <v>0.15120488050543457</v>
      </c>
    </row>
    <row r="1214" spans="1:18" x14ac:dyDescent="0.2">
      <c r="A1214" s="1">
        <v>167057</v>
      </c>
      <c r="B1214" s="1" t="s">
        <v>1284</v>
      </c>
      <c r="C1214" s="1" t="s">
        <v>129</v>
      </c>
      <c r="D1214" s="1">
        <v>0.41099999999999998</v>
      </c>
      <c r="E1214" s="1">
        <v>393</v>
      </c>
      <c r="F1214" s="1">
        <v>60750</v>
      </c>
      <c r="G1214" s="1">
        <v>0.7339</v>
      </c>
      <c r="H1214" s="1">
        <v>0.88419999999999999</v>
      </c>
      <c r="I1214" s="1">
        <v>7.3800000000000004E-2</v>
      </c>
      <c r="J1214" s="1">
        <v>34483</v>
      </c>
      <c r="K1214" s="1">
        <v>27000</v>
      </c>
      <c r="L1214" s="1">
        <v>7937</v>
      </c>
      <c r="M1214" s="1">
        <v>5</v>
      </c>
      <c r="N1214" s="1" t="s">
        <v>20</v>
      </c>
      <c r="O1214" s="1" t="s">
        <v>29</v>
      </c>
      <c r="P1214" s="1" t="s">
        <v>39</v>
      </c>
      <c r="Q1214" s="1" t="s">
        <v>31</v>
      </c>
      <c r="R1214">
        <v>0.15028600000655834</v>
      </c>
    </row>
    <row r="1215" spans="1:18" x14ac:dyDescent="0.2">
      <c r="A1215" s="1">
        <v>206048</v>
      </c>
      <c r="B1215" s="1" t="s">
        <v>1285</v>
      </c>
      <c r="C1215" s="1" t="s">
        <v>19</v>
      </c>
      <c r="D1215" s="1">
        <v>0.80049999999999999</v>
      </c>
      <c r="E1215" s="1">
        <v>2051</v>
      </c>
      <c r="F1215" s="1">
        <v>34790</v>
      </c>
      <c r="G1215" s="1">
        <v>0.3987</v>
      </c>
      <c r="H1215" s="1">
        <v>0.71579999999999999</v>
      </c>
      <c r="I1215" s="1">
        <v>0.31469999999999998</v>
      </c>
      <c r="J1215" s="1">
        <v>35942</v>
      </c>
      <c r="K1215" s="1">
        <v>27000</v>
      </c>
      <c r="L1215" s="1">
        <v>7387</v>
      </c>
      <c r="M1215" s="1">
        <v>22</v>
      </c>
      <c r="N1215" s="1" t="s">
        <v>20</v>
      </c>
      <c r="O1215" s="1" t="s">
        <v>42</v>
      </c>
      <c r="P1215" s="1" t="s">
        <v>22</v>
      </c>
      <c r="Q1215" s="1" t="s">
        <v>31</v>
      </c>
      <c r="R1215">
        <v>0.14850780073316183</v>
      </c>
    </row>
    <row r="1216" spans="1:18" x14ac:dyDescent="0.2">
      <c r="A1216" s="1">
        <v>157100</v>
      </c>
      <c r="B1216" s="1" t="s">
        <v>1286</v>
      </c>
      <c r="C1216" s="1" t="s">
        <v>104</v>
      </c>
      <c r="D1216" s="1">
        <v>0.60909999999999997</v>
      </c>
      <c r="E1216" s="1">
        <v>429</v>
      </c>
      <c r="F1216" s="1">
        <v>26625</v>
      </c>
      <c r="G1216" s="1">
        <v>0.36670000000000003</v>
      </c>
      <c r="H1216" s="1">
        <v>0.86080000000000001</v>
      </c>
      <c r="I1216" s="1">
        <v>0.43140000000000001</v>
      </c>
      <c r="J1216" s="1">
        <v>42375</v>
      </c>
      <c r="K1216" s="1">
        <v>22250</v>
      </c>
      <c r="L1216" s="1">
        <v>4770</v>
      </c>
      <c r="M1216" s="1">
        <v>12</v>
      </c>
      <c r="N1216" s="1" t="s">
        <v>20</v>
      </c>
      <c r="O1216" s="1" t="s">
        <v>42</v>
      </c>
      <c r="P1216" s="1" t="s">
        <v>30</v>
      </c>
      <c r="Q1216" s="1" t="s">
        <v>31</v>
      </c>
      <c r="R1216">
        <v>0.14772388616894783</v>
      </c>
    </row>
    <row r="1217" spans="1:18" x14ac:dyDescent="0.2">
      <c r="A1217" s="1">
        <v>203544</v>
      </c>
      <c r="B1217" s="1" t="s">
        <v>1287</v>
      </c>
      <c r="C1217" s="1" t="s">
        <v>19</v>
      </c>
      <c r="D1217" s="1">
        <v>0.76539999999999997</v>
      </c>
      <c r="E1217" s="1">
        <v>549</v>
      </c>
      <c r="F1217" s="1">
        <v>16320</v>
      </c>
      <c r="G1217" s="1">
        <v>0.6512</v>
      </c>
      <c r="H1217" s="1">
        <v>0.73529999999999995</v>
      </c>
      <c r="I1217" s="1">
        <v>0.24099999999999999</v>
      </c>
      <c r="J1217" s="1">
        <v>67492</v>
      </c>
      <c r="K1217" s="1">
        <v>23500</v>
      </c>
      <c r="L1217" s="1">
        <v>8475</v>
      </c>
      <c r="M1217" s="1">
        <v>9</v>
      </c>
      <c r="N1217" s="1" t="s">
        <v>20</v>
      </c>
      <c r="O1217" s="1" t="s">
        <v>29</v>
      </c>
      <c r="P1217" s="1" t="s">
        <v>22</v>
      </c>
      <c r="Q1217" s="1" t="s">
        <v>23</v>
      </c>
      <c r="R1217">
        <v>0.14765228452212587</v>
      </c>
    </row>
    <row r="1218" spans="1:18" x14ac:dyDescent="0.2">
      <c r="A1218" s="1">
        <v>168227</v>
      </c>
      <c r="B1218" s="1" t="s">
        <v>1288</v>
      </c>
      <c r="C1218" s="1" t="s">
        <v>129</v>
      </c>
      <c r="D1218" s="1">
        <v>0.91210000000000002</v>
      </c>
      <c r="E1218" s="1">
        <v>3747</v>
      </c>
      <c r="F1218" s="1">
        <v>42884</v>
      </c>
      <c r="G1218" s="1">
        <v>0.68240000000000001</v>
      </c>
      <c r="H1218" s="1">
        <v>0.83760000000000001</v>
      </c>
      <c r="I1218" s="1">
        <v>0.2311</v>
      </c>
      <c r="J1218" s="1">
        <v>82721</v>
      </c>
      <c r="K1218" s="1">
        <v>25028</v>
      </c>
      <c r="L1218" s="1">
        <v>11150</v>
      </c>
      <c r="M1218" s="1">
        <v>17</v>
      </c>
      <c r="N1218" s="1" t="s">
        <v>20</v>
      </c>
      <c r="O1218" s="1" t="s">
        <v>29</v>
      </c>
      <c r="P1218" s="1" t="s">
        <v>39</v>
      </c>
      <c r="Q1218" s="1" t="s">
        <v>23</v>
      </c>
      <c r="R1218">
        <v>0.14754068514502705</v>
      </c>
    </row>
    <row r="1219" spans="1:18" x14ac:dyDescent="0.2">
      <c r="A1219" s="1">
        <v>219383</v>
      </c>
      <c r="B1219" s="1" t="s">
        <v>1289</v>
      </c>
      <c r="C1219" s="1" t="s">
        <v>41</v>
      </c>
      <c r="D1219" s="1">
        <v>0.82889999999999997</v>
      </c>
      <c r="E1219" s="1">
        <v>1218</v>
      </c>
      <c r="F1219" s="1">
        <v>21750</v>
      </c>
      <c r="G1219" s="1">
        <v>0.62909999999999999</v>
      </c>
      <c r="H1219" s="1">
        <v>0.745</v>
      </c>
      <c r="I1219" s="1">
        <v>0.28839999999999999</v>
      </c>
      <c r="J1219" s="1">
        <v>54521</v>
      </c>
      <c r="K1219" s="1">
        <v>23249</v>
      </c>
      <c r="L1219" s="1">
        <v>7056</v>
      </c>
      <c r="M1219" s="1">
        <v>18</v>
      </c>
      <c r="N1219" s="1" t="s">
        <v>20</v>
      </c>
      <c r="O1219" s="1" t="s">
        <v>29</v>
      </c>
      <c r="P1219" s="1" t="s">
        <v>22</v>
      </c>
      <c r="Q1219" s="1" t="s">
        <v>23</v>
      </c>
      <c r="R1219">
        <v>0.1470709752741225</v>
      </c>
    </row>
    <row r="1220" spans="1:18" x14ac:dyDescent="0.2">
      <c r="A1220" s="1">
        <v>215442</v>
      </c>
      <c r="B1220" s="1" t="s">
        <v>1290</v>
      </c>
      <c r="C1220" s="1" t="s">
        <v>98</v>
      </c>
      <c r="D1220" s="1">
        <v>0.96909999999999996</v>
      </c>
      <c r="E1220" s="1">
        <v>2331</v>
      </c>
      <c r="F1220" s="1">
        <v>39570</v>
      </c>
      <c r="G1220" s="1">
        <v>0.58540000000000003</v>
      </c>
      <c r="H1220" s="1">
        <v>0.73939999999999995</v>
      </c>
      <c r="I1220" s="1">
        <v>0.38700000000000001</v>
      </c>
      <c r="J1220" s="1">
        <v>45856</v>
      </c>
      <c r="K1220" s="1">
        <v>27000</v>
      </c>
      <c r="L1220" s="1">
        <v>9211</v>
      </c>
      <c r="M1220" s="1">
        <v>12</v>
      </c>
      <c r="N1220" s="1" t="s">
        <v>20</v>
      </c>
      <c r="O1220" s="1" t="s">
        <v>29</v>
      </c>
      <c r="P1220" s="1" t="s">
        <v>39</v>
      </c>
      <c r="Q1220" s="1" t="s">
        <v>31</v>
      </c>
      <c r="R1220">
        <v>0.14478155592215047</v>
      </c>
    </row>
    <row r="1221" spans="1:18" x14ac:dyDescent="0.2">
      <c r="A1221" s="1">
        <v>154527</v>
      </c>
      <c r="B1221" s="1" t="s">
        <v>1291</v>
      </c>
      <c r="C1221" s="1" t="s">
        <v>81</v>
      </c>
      <c r="D1221" s="1">
        <v>0.75839999999999996</v>
      </c>
      <c r="E1221" s="1">
        <v>1452</v>
      </c>
      <c r="F1221" s="1">
        <v>26250</v>
      </c>
      <c r="G1221" s="1">
        <v>0.64300000000000002</v>
      </c>
      <c r="H1221" s="1">
        <v>0.7571</v>
      </c>
      <c r="I1221" s="1">
        <v>0.22120000000000001</v>
      </c>
      <c r="J1221" s="1">
        <v>56201</v>
      </c>
      <c r="K1221" s="1">
        <v>27000</v>
      </c>
      <c r="L1221" s="1">
        <v>7194</v>
      </c>
      <c r="M1221" s="1">
        <v>13</v>
      </c>
      <c r="N1221" s="1" t="s">
        <v>20</v>
      </c>
      <c r="O1221" s="1" t="s">
        <v>42</v>
      </c>
      <c r="P1221" s="1" t="s">
        <v>22</v>
      </c>
      <c r="Q1221" s="1" t="s">
        <v>23</v>
      </c>
      <c r="R1221">
        <v>0.14463094195549464</v>
      </c>
    </row>
    <row r="1222" spans="1:18" x14ac:dyDescent="0.2">
      <c r="A1222" s="1">
        <v>199184</v>
      </c>
      <c r="B1222" s="1" t="s">
        <v>1292</v>
      </c>
      <c r="C1222" s="1" t="s">
        <v>86</v>
      </c>
      <c r="D1222" s="1">
        <v>0.29970000000000002</v>
      </c>
      <c r="E1222" s="1">
        <v>945</v>
      </c>
      <c r="F1222" s="1">
        <v>27211</v>
      </c>
      <c r="G1222" s="1">
        <v>0.77780000000000005</v>
      </c>
      <c r="H1222" s="1">
        <v>0.92759999999999998</v>
      </c>
      <c r="I1222" s="1">
        <v>0.26269999999999999</v>
      </c>
      <c r="J1222" s="1">
        <v>38357</v>
      </c>
      <c r="K1222" s="1">
        <v>23870</v>
      </c>
      <c r="L1222" s="1">
        <v>8980</v>
      </c>
      <c r="M1222" s="1">
        <v>6</v>
      </c>
      <c r="N1222" s="1" t="s">
        <v>28</v>
      </c>
      <c r="O1222" s="1" t="s">
        <v>29</v>
      </c>
      <c r="P1222" s="1" t="s">
        <v>30</v>
      </c>
      <c r="Q1222" s="1" t="s">
        <v>31</v>
      </c>
      <c r="R1222">
        <v>0.14419655313253943</v>
      </c>
    </row>
    <row r="1223" spans="1:18" x14ac:dyDescent="0.2">
      <c r="A1223" s="1">
        <v>198862</v>
      </c>
      <c r="B1223" s="1" t="s">
        <v>1293</v>
      </c>
      <c r="C1223" s="1" t="s">
        <v>86</v>
      </c>
      <c r="D1223" s="1">
        <v>0.59250000000000003</v>
      </c>
      <c r="E1223" s="1">
        <v>924</v>
      </c>
      <c r="F1223" s="1">
        <v>18296</v>
      </c>
      <c r="G1223" s="1">
        <v>0.28189999999999998</v>
      </c>
      <c r="H1223" s="1">
        <v>0.70630000000000004</v>
      </c>
      <c r="I1223" s="1">
        <v>0.82120000000000004</v>
      </c>
      <c r="J1223" s="1">
        <v>32600</v>
      </c>
      <c r="K1223" s="1">
        <v>31125</v>
      </c>
      <c r="L1223" s="1">
        <v>5732</v>
      </c>
      <c r="M1223" s="1">
        <v>14</v>
      </c>
      <c r="N1223" s="1" t="s">
        <v>20</v>
      </c>
      <c r="O1223" s="1" t="s">
        <v>21</v>
      </c>
      <c r="P1223" s="1" t="s">
        <v>30</v>
      </c>
      <c r="Q1223" s="1" t="s">
        <v>31</v>
      </c>
      <c r="R1223">
        <v>0.1433544668681983</v>
      </c>
    </row>
    <row r="1224" spans="1:18" x14ac:dyDescent="0.2">
      <c r="A1224" s="1">
        <v>101693</v>
      </c>
      <c r="B1224" s="1" t="s">
        <v>1294</v>
      </c>
      <c r="C1224" s="1" t="s">
        <v>177</v>
      </c>
      <c r="D1224" s="1">
        <v>0.77890000000000004</v>
      </c>
      <c r="E1224" s="1">
        <v>1307</v>
      </c>
      <c r="F1224" s="1">
        <v>26910</v>
      </c>
      <c r="G1224" s="1">
        <v>0.56850000000000001</v>
      </c>
      <c r="H1224" s="1">
        <v>0.73960000000000004</v>
      </c>
      <c r="I1224" s="1">
        <v>0.25650000000000001</v>
      </c>
      <c r="J1224" s="1">
        <v>43611</v>
      </c>
      <c r="K1224" s="1">
        <v>26500</v>
      </c>
      <c r="L1224" s="1">
        <v>5674</v>
      </c>
      <c r="M1224" s="1">
        <v>14</v>
      </c>
      <c r="N1224" s="1" t="s">
        <v>20</v>
      </c>
      <c r="O1224" s="1" t="s">
        <v>42</v>
      </c>
      <c r="P1224" s="1" t="s">
        <v>30</v>
      </c>
      <c r="Q1224" s="1" t="s">
        <v>31</v>
      </c>
      <c r="R1224">
        <v>0.14248996932336677</v>
      </c>
    </row>
    <row r="1225" spans="1:18" x14ac:dyDescent="0.2">
      <c r="A1225" s="1">
        <v>234030</v>
      </c>
      <c r="B1225" s="1" t="s">
        <v>1295</v>
      </c>
      <c r="C1225" s="1" t="s">
        <v>52</v>
      </c>
      <c r="D1225" s="1">
        <v>0.92620000000000002</v>
      </c>
      <c r="E1225" s="1">
        <v>20753</v>
      </c>
      <c r="F1225" s="1">
        <v>40109</v>
      </c>
      <c r="G1225" s="1">
        <v>0.63180000000000003</v>
      </c>
      <c r="H1225" s="1">
        <v>0.85340000000000005</v>
      </c>
      <c r="I1225" s="1">
        <v>0.31190000000000001</v>
      </c>
      <c r="J1225" s="1">
        <v>58128</v>
      </c>
      <c r="K1225" s="1">
        <v>21500</v>
      </c>
      <c r="L1225" s="1">
        <v>12401</v>
      </c>
      <c r="M1225" s="1">
        <v>17</v>
      </c>
      <c r="N1225" s="1" t="s">
        <v>28</v>
      </c>
      <c r="O1225" s="1" t="s">
        <v>29</v>
      </c>
      <c r="P1225" s="1" t="s">
        <v>30</v>
      </c>
      <c r="Q1225" s="1" t="s">
        <v>23</v>
      </c>
      <c r="R1225">
        <v>0.14182850061574304</v>
      </c>
    </row>
    <row r="1226" spans="1:18" x14ac:dyDescent="0.2">
      <c r="A1226" s="1">
        <v>102368</v>
      </c>
      <c r="B1226" s="1" t="s">
        <v>1296</v>
      </c>
      <c r="C1226" s="1" t="s">
        <v>177</v>
      </c>
      <c r="D1226" s="1">
        <v>0.96040000000000003</v>
      </c>
      <c r="E1226" s="1">
        <v>9805</v>
      </c>
      <c r="F1226" s="1">
        <v>20352</v>
      </c>
      <c r="G1226" s="1">
        <v>0.503</v>
      </c>
      <c r="H1226" s="1">
        <v>0.71209999999999996</v>
      </c>
      <c r="I1226" s="1">
        <v>0.42820000000000003</v>
      </c>
      <c r="J1226" s="1">
        <v>42062</v>
      </c>
      <c r="K1226" s="1">
        <v>25000</v>
      </c>
      <c r="L1226" s="1">
        <v>7612</v>
      </c>
      <c r="M1226" s="1">
        <v>16</v>
      </c>
      <c r="N1226" s="1" t="s">
        <v>28</v>
      </c>
      <c r="O1226" s="1" t="s">
        <v>42</v>
      </c>
      <c r="P1226" s="1" t="s">
        <v>30</v>
      </c>
      <c r="Q1226" s="1" t="s">
        <v>31</v>
      </c>
      <c r="R1226">
        <v>0.14164712497099063</v>
      </c>
    </row>
    <row r="1227" spans="1:18" x14ac:dyDescent="0.2">
      <c r="A1227" s="1">
        <v>153375</v>
      </c>
      <c r="B1227" s="1" t="s">
        <v>1297</v>
      </c>
      <c r="C1227" s="1" t="s">
        <v>81</v>
      </c>
      <c r="D1227" s="1">
        <v>0.9909</v>
      </c>
      <c r="E1227" s="1">
        <v>1486</v>
      </c>
      <c r="F1227" s="1">
        <v>34762</v>
      </c>
      <c r="G1227" s="1">
        <v>0.53990000000000005</v>
      </c>
      <c r="H1227" s="1">
        <v>0.70150000000000001</v>
      </c>
      <c r="I1227" s="1">
        <v>0.45040000000000002</v>
      </c>
      <c r="J1227" s="1">
        <v>52824</v>
      </c>
      <c r="K1227" s="1">
        <v>22500</v>
      </c>
      <c r="L1227" s="1">
        <v>7384</v>
      </c>
      <c r="M1227" s="1">
        <v>12</v>
      </c>
      <c r="N1227" s="1" t="s">
        <v>20</v>
      </c>
      <c r="O1227" s="1" t="s">
        <v>29</v>
      </c>
      <c r="P1227" s="1" t="s">
        <v>22</v>
      </c>
      <c r="Q1227" s="1" t="s">
        <v>23</v>
      </c>
      <c r="R1227">
        <v>0.14120489750902332</v>
      </c>
    </row>
    <row r="1228" spans="1:18" x14ac:dyDescent="0.2">
      <c r="A1228" s="1">
        <v>215275</v>
      </c>
      <c r="B1228" s="1" t="s">
        <v>1298</v>
      </c>
      <c r="C1228" s="1" t="s">
        <v>98</v>
      </c>
      <c r="D1228" s="1">
        <v>0.95209999999999995</v>
      </c>
      <c r="E1228" s="1">
        <v>1305</v>
      </c>
      <c r="F1228" s="1">
        <v>26584</v>
      </c>
      <c r="G1228" s="1">
        <v>0.39700000000000002</v>
      </c>
      <c r="H1228" s="1">
        <v>0.69069999999999998</v>
      </c>
      <c r="I1228" s="1">
        <v>0.37709999999999999</v>
      </c>
      <c r="J1228" s="1">
        <v>66125</v>
      </c>
      <c r="K1228" s="1">
        <v>24250</v>
      </c>
      <c r="L1228" s="1">
        <v>8269</v>
      </c>
      <c r="M1228" s="1">
        <v>14</v>
      </c>
      <c r="N1228" s="1" t="s">
        <v>28</v>
      </c>
      <c r="O1228" s="1" t="s">
        <v>21</v>
      </c>
      <c r="P1228" s="1" t="s">
        <v>39</v>
      </c>
      <c r="Q1228" s="1" t="s">
        <v>23</v>
      </c>
      <c r="R1228">
        <v>0.14013240851327946</v>
      </c>
    </row>
    <row r="1229" spans="1:18" x14ac:dyDescent="0.2">
      <c r="A1229" s="1">
        <v>212601</v>
      </c>
      <c r="B1229" s="1" t="s">
        <v>1299</v>
      </c>
      <c r="C1229" s="1" t="s">
        <v>98</v>
      </c>
      <c r="D1229" s="1">
        <v>0.74160000000000004</v>
      </c>
      <c r="E1229" s="1">
        <v>2365</v>
      </c>
      <c r="F1229" s="1">
        <v>40656</v>
      </c>
      <c r="G1229" s="1">
        <v>0.66359999999999997</v>
      </c>
      <c r="H1229" s="1">
        <v>0.76170000000000004</v>
      </c>
      <c r="I1229" s="1">
        <v>0.2384</v>
      </c>
      <c r="J1229" s="1">
        <v>58845</v>
      </c>
      <c r="K1229" s="1">
        <v>27000</v>
      </c>
      <c r="L1229" s="1">
        <v>8733</v>
      </c>
      <c r="M1229" s="1">
        <v>11</v>
      </c>
      <c r="N1229" s="1" t="s">
        <v>20</v>
      </c>
      <c r="O1229" s="1" t="s">
        <v>29</v>
      </c>
      <c r="P1229" s="1" t="s">
        <v>39</v>
      </c>
      <c r="Q1229" s="1" t="s">
        <v>23</v>
      </c>
      <c r="R1229">
        <v>0.13782748495494412</v>
      </c>
    </row>
    <row r="1230" spans="1:18" x14ac:dyDescent="0.2">
      <c r="A1230" s="1">
        <v>143048</v>
      </c>
      <c r="B1230" s="1" t="s">
        <v>1300</v>
      </c>
      <c r="C1230" s="1" t="s">
        <v>25</v>
      </c>
      <c r="D1230" s="1">
        <v>0.77470000000000006</v>
      </c>
      <c r="E1230" s="1">
        <v>2805</v>
      </c>
      <c r="F1230" s="1">
        <v>56420</v>
      </c>
      <c r="G1230" s="1">
        <v>0.66990000000000005</v>
      </c>
      <c r="H1230" s="1">
        <v>0.83830000000000005</v>
      </c>
      <c r="I1230" s="1">
        <v>0.18729999999999999</v>
      </c>
      <c r="J1230" s="1">
        <v>40151</v>
      </c>
      <c r="K1230" s="1">
        <v>27000</v>
      </c>
      <c r="L1230" s="1">
        <v>11628</v>
      </c>
      <c r="M1230" s="1">
        <v>10</v>
      </c>
      <c r="N1230" s="1" t="s">
        <v>20</v>
      </c>
      <c r="O1230" s="1" t="s">
        <v>29</v>
      </c>
      <c r="P1230" s="1" t="s">
        <v>22</v>
      </c>
      <c r="Q1230" s="1" t="s">
        <v>31</v>
      </c>
      <c r="R1230">
        <v>0.13778245158688984</v>
      </c>
    </row>
    <row r="1231" spans="1:18" x14ac:dyDescent="0.2">
      <c r="A1231" s="1">
        <v>220215</v>
      </c>
      <c r="B1231" s="1" t="s">
        <v>1301</v>
      </c>
      <c r="C1231" s="1" t="s">
        <v>163</v>
      </c>
      <c r="D1231" s="1">
        <v>0.5968</v>
      </c>
      <c r="E1231" s="1">
        <v>1212</v>
      </c>
      <c r="F1231" s="1">
        <v>25620</v>
      </c>
      <c r="G1231" s="1">
        <v>0.70779999999999998</v>
      </c>
      <c r="H1231" s="1">
        <v>0.85870000000000002</v>
      </c>
      <c r="I1231" s="1">
        <v>0.1802</v>
      </c>
      <c r="J1231" s="1">
        <v>47485</v>
      </c>
      <c r="K1231" s="1">
        <v>21500</v>
      </c>
      <c r="L1231" s="1">
        <v>7300</v>
      </c>
      <c r="M1231" s="1">
        <v>10</v>
      </c>
      <c r="N1231" s="1" t="s">
        <v>20</v>
      </c>
      <c r="O1231" s="1" t="s">
        <v>42</v>
      </c>
      <c r="P1231" s="1" t="s">
        <v>30</v>
      </c>
      <c r="Q1231" s="1" t="s">
        <v>31</v>
      </c>
      <c r="R1231">
        <v>0.13691188088519379</v>
      </c>
    </row>
    <row r="1232" spans="1:18" x14ac:dyDescent="0.2">
      <c r="A1232" s="1">
        <v>200846</v>
      </c>
      <c r="B1232" s="1" t="s">
        <v>1302</v>
      </c>
      <c r="C1232" s="1" t="s">
        <v>19</v>
      </c>
      <c r="D1232" s="1">
        <v>0.8992</v>
      </c>
      <c r="E1232" s="1">
        <v>457</v>
      </c>
      <c r="F1232" s="1">
        <v>15403</v>
      </c>
      <c r="G1232" s="1">
        <v>0.1852</v>
      </c>
      <c r="H1232" s="1">
        <v>0.58540000000000003</v>
      </c>
      <c r="I1232" s="1">
        <v>0.1249</v>
      </c>
      <c r="J1232" s="1">
        <v>46600</v>
      </c>
      <c r="K1232" s="1">
        <v>23250</v>
      </c>
      <c r="L1232" s="1">
        <v>7842</v>
      </c>
      <c r="M1232" s="1">
        <v>42</v>
      </c>
      <c r="N1232" s="1" t="s">
        <v>28</v>
      </c>
      <c r="O1232" s="1" t="s">
        <v>42</v>
      </c>
      <c r="P1232" s="1" t="s">
        <v>22</v>
      </c>
      <c r="Q1232" s="1" t="s">
        <v>31</v>
      </c>
      <c r="R1232">
        <v>0.13688081553362719</v>
      </c>
    </row>
    <row r="1233" spans="1:18" x14ac:dyDescent="0.2">
      <c r="A1233" s="1">
        <v>238980</v>
      </c>
      <c r="B1233" s="1" t="s">
        <v>1303</v>
      </c>
      <c r="C1233" s="1" t="s">
        <v>50</v>
      </c>
      <c r="D1233" s="1">
        <v>0.86280000000000001</v>
      </c>
      <c r="E1233" s="1">
        <v>1212</v>
      </c>
      <c r="F1233" s="1">
        <v>33396</v>
      </c>
      <c r="G1233" s="1">
        <v>0.42449999999999999</v>
      </c>
      <c r="H1233" s="1">
        <v>0.63319999999999999</v>
      </c>
      <c r="I1233" s="1">
        <v>0.2515</v>
      </c>
      <c r="J1233" s="1">
        <v>55961</v>
      </c>
      <c r="K1233" s="1">
        <v>25000</v>
      </c>
      <c r="L1233" s="1">
        <v>7358</v>
      </c>
      <c r="M1233" s="1">
        <v>12</v>
      </c>
      <c r="N1233" s="1" t="s">
        <v>20</v>
      </c>
      <c r="O1233" s="1" t="s">
        <v>42</v>
      </c>
      <c r="P1233" s="1" t="s">
        <v>22</v>
      </c>
      <c r="Q1233" s="1" t="s">
        <v>23</v>
      </c>
      <c r="R1233">
        <v>0.13653323229809</v>
      </c>
    </row>
    <row r="1234" spans="1:18" x14ac:dyDescent="0.2">
      <c r="A1234" s="1">
        <v>147703</v>
      </c>
      <c r="B1234" s="1" t="s">
        <v>1304</v>
      </c>
      <c r="C1234" s="1" t="s">
        <v>25</v>
      </c>
      <c r="D1234" s="1">
        <v>0.69789999999999996</v>
      </c>
      <c r="E1234" s="1">
        <v>11301</v>
      </c>
      <c r="F1234" s="1">
        <v>13248</v>
      </c>
      <c r="G1234" s="1">
        <v>0.48659999999999998</v>
      </c>
      <c r="H1234" s="1">
        <v>0.69620000000000004</v>
      </c>
      <c r="I1234" s="1">
        <v>0.47320000000000001</v>
      </c>
      <c r="J1234" s="1">
        <v>57808</v>
      </c>
      <c r="K1234" s="1">
        <v>22162</v>
      </c>
      <c r="L1234" s="1">
        <v>11060</v>
      </c>
      <c r="M1234" s="1">
        <v>15</v>
      </c>
      <c r="N1234" s="1" t="s">
        <v>28</v>
      </c>
      <c r="O1234" s="1" t="s">
        <v>21</v>
      </c>
      <c r="P1234" s="1" t="s">
        <v>22</v>
      </c>
      <c r="Q1234" s="1" t="s">
        <v>23</v>
      </c>
      <c r="R1234">
        <v>0.13511552319214881</v>
      </c>
    </row>
    <row r="1235" spans="1:18" x14ac:dyDescent="0.2">
      <c r="A1235" s="1">
        <v>227216</v>
      </c>
      <c r="B1235" s="1" t="s">
        <v>1305</v>
      </c>
      <c r="C1235" s="1" t="s">
        <v>36</v>
      </c>
      <c r="D1235" s="1">
        <v>0.72230000000000005</v>
      </c>
      <c r="E1235" s="1">
        <v>34341</v>
      </c>
      <c r="F1235" s="1">
        <v>21149</v>
      </c>
      <c r="G1235" s="1">
        <v>0.60709999999999997</v>
      </c>
      <c r="H1235" s="1">
        <v>0.76649999999999996</v>
      </c>
      <c r="I1235" s="1">
        <v>0.38040000000000002</v>
      </c>
      <c r="J1235" s="1">
        <v>57010</v>
      </c>
      <c r="K1235" s="1">
        <v>19250</v>
      </c>
      <c r="L1235" s="1">
        <v>11092</v>
      </c>
      <c r="M1235" s="1">
        <v>25</v>
      </c>
      <c r="N1235" s="1" t="s">
        <v>28</v>
      </c>
      <c r="O1235" s="1" t="s">
        <v>29</v>
      </c>
      <c r="P1235" s="1" t="s">
        <v>30</v>
      </c>
      <c r="Q1235" s="1" t="s">
        <v>23</v>
      </c>
      <c r="R1235">
        <v>0.13495057656903653</v>
      </c>
    </row>
    <row r="1236" spans="1:18" x14ac:dyDescent="0.2">
      <c r="A1236" s="1">
        <v>190637</v>
      </c>
      <c r="B1236" s="1" t="s">
        <v>1306</v>
      </c>
      <c r="C1236" s="1" t="s">
        <v>58</v>
      </c>
      <c r="D1236" s="1">
        <v>0.56579999999999997</v>
      </c>
      <c r="E1236" s="1">
        <v>10696</v>
      </c>
      <c r="F1236" s="1">
        <v>15360</v>
      </c>
      <c r="G1236" s="1">
        <v>0.51280000000000003</v>
      </c>
      <c r="H1236" s="1">
        <v>0.73070000000000002</v>
      </c>
      <c r="I1236" s="1">
        <v>0.59940000000000004</v>
      </c>
      <c r="J1236" s="1">
        <v>58013</v>
      </c>
      <c r="K1236" s="1">
        <v>10950</v>
      </c>
      <c r="L1236" s="1">
        <v>11996</v>
      </c>
      <c r="M1236" s="1">
        <v>15</v>
      </c>
      <c r="N1236" s="1" t="s">
        <v>28</v>
      </c>
      <c r="O1236" s="1" t="s">
        <v>29</v>
      </c>
      <c r="P1236" s="1" t="s">
        <v>39</v>
      </c>
      <c r="Q1236" s="1" t="s">
        <v>23</v>
      </c>
      <c r="R1236">
        <v>0.13463314443970076</v>
      </c>
    </row>
    <row r="1237" spans="1:18" x14ac:dyDescent="0.2">
      <c r="A1237" s="1">
        <v>164924</v>
      </c>
      <c r="B1237" s="1" t="s">
        <v>1307</v>
      </c>
      <c r="C1237" s="1" t="s">
        <v>129</v>
      </c>
      <c r="D1237" s="1">
        <v>0.1643</v>
      </c>
      <c r="E1237" s="1">
        <v>10085</v>
      </c>
      <c r="F1237" s="1">
        <v>70702</v>
      </c>
      <c r="G1237" s="1">
        <v>0.9083</v>
      </c>
      <c r="H1237" s="1">
        <v>0.96020000000000005</v>
      </c>
      <c r="I1237" s="1">
        <v>0.12909999999999999</v>
      </c>
      <c r="J1237" s="1">
        <v>103937</v>
      </c>
      <c r="K1237" s="1">
        <v>19000</v>
      </c>
      <c r="L1237" s="1">
        <v>18131</v>
      </c>
      <c r="M1237" s="1">
        <v>10</v>
      </c>
      <c r="N1237" s="1" t="s">
        <v>20</v>
      </c>
      <c r="O1237" s="1" t="s">
        <v>29</v>
      </c>
      <c r="P1237" s="1" t="s">
        <v>39</v>
      </c>
      <c r="Q1237" s="1" t="s">
        <v>23</v>
      </c>
      <c r="R1237">
        <v>0.13325773085373616</v>
      </c>
    </row>
    <row r="1238" spans="1:18" x14ac:dyDescent="0.2">
      <c r="A1238" s="1">
        <v>175980</v>
      </c>
      <c r="B1238" s="1" t="s">
        <v>1308</v>
      </c>
      <c r="C1238" s="1" t="s">
        <v>169</v>
      </c>
      <c r="D1238" s="1">
        <v>0.43120000000000003</v>
      </c>
      <c r="E1238" s="1">
        <v>549</v>
      </c>
      <c r="F1238" s="1">
        <v>44680</v>
      </c>
      <c r="G1238" s="1">
        <v>0.57140000000000002</v>
      </c>
      <c r="H1238" s="1">
        <v>0.58020000000000005</v>
      </c>
      <c r="I1238" s="1">
        <v>0.36940000000000001</v>
      </c>
      <c r="J1238" s="1">
        <v>53848</v>
      </c>
      <c r="K1238" s="1">
        <v>27000</v>
      </c>
      <c r="L1238" s="1">
        <v>8256</v>
      </c>
      <c r="M1238" s="1">
        <v>9</v>
      </c>
      <c r="N1238" s="1" t="s">
        <v>20</v>
      </c>
      <c r="O1238" s="1" t="s">
        <v>29</v>
      </c>
      <c r="P1238" s="1" t="s">
        <v>30</v>
      </c>
      <c r="Q1238" s="1" t="s">
        <v>23</v>
      </c>
      <c r="R1238">
        <v>0.13259709276182807</v>
      </c>
    </row>
    <row r="1239" spans="1:18" x14ac:dyDescent="0.2">
      <c r="A1239" s="1">
        <v>158477</v>
      </c>
      <c r="B1239" s="1" t="s">
        <v>1309</v>
      </c>
      <c r="C1239" s="1" t="s">
        <v>46</v>
      </c>
      <c r="D1239" s="1">
        <v>0.55740000000000001</v>
      </c>
      <c r="E1239" s="1">
        <v>685</v>
      </c>
      <c r="F1239" s="1">
        <v>41200</v>
      </c>
      <c r="G1239" s="1">
        <v>0.56210000000000004</v>
      </c>
      <c r="H1239" s="1">
        <v>0.70199999999999996</v>
      </c>
      <c r="I1239" s="1">
        <v>0.44840000000000002</v>
      </c>
      <c r="J1239" s="1">
        <v>50330</v>
      </c>
      <c r="K1239" s="1">
        <v>27000</v>
      </c>
      <c r="L1239" s="1">
        <v>7808</v>
      </c>
      <c r="M1239" s="1">
        <v>8</v>
      </c>
      <c r="N1239" s="1" t="s">
        <v>20</v>
      </c>
      <c r="O1239" s="1" t="s">
        <v>29</v>
      </c>
      <c r="P1239" s="1" t="s">
        <v>30</v>
      </c>
      <c r="Q1239" s="1" t="s">
        <v>23</v>
      </c>
      <c r="R1239">
        <v>0.13195679514077241</v>
      </c>
    </row>
    <row r="1240" spans="1:18" x14ac:dyDescent="0.2">
      <c r="A1240" s="1">
        <v>195216</v>
      </c>
      <c r="B1240" s="1" t="s">
        <v>1310</v>
      </c>
      <c r="C1240" s="1" t="s">
        <v>58</v>
      </c>
      <c r="D1240" s="1">
        <v>0.54339999999999999</v>
      </c>
      <c r="E1240" s="1">
        <v>1918</v>
      </c>
      <c r="F1240" s="1">
        <v>65900</v>
      </c>
      <c r="G1240" s="1">
        <v>0.79059999999999997</v>
      </c>
      <c r="H1240" s="1">
        <v>0.9083</v>
      </c>
      <c r="I1240" s="1">
        <v>0.21360000000000001</v>
      </c>
      <c r="J1240" s="1">
        <v>67258</v>
      </c>
      <c r="K1240" s="1">
        <v>27000</v>
      </c>
      <c r="L1240" s="1">
        <v>10401</v>
      </c>
      <c r="M1240" s="1">
        <v>11</v>
      </c>
      <c r="N1240" s="1" t="s">
        <v>20</v>
      </c>
      <c r="O1240" s="1" t="s">
        <v>42</v>
      </c>
      <c r="P1240" s="1" t="s">
        <v>39</v>
      </c>
      <c r="Q1240" s="1" t="s">
        <v>23</v>
      </c>
      <c r="R1240">
        <v>0.13194104876620172</v>
      </c>
    </row>
    <row r="1241" spans="1:18" x14ac:dyDescent="0.2">
      <c r="A1241" s="1">
        <v>107558</v>
      </c>
      <c r="B1241" s="1" t="s">
        <v>1311</v>
      </c>
      <c r="C1241" s="1" t="s">
        <v>70</v>
      </c>
      <c r="D1241" s="1">
        <v>0.59509999999999996</v>
      </c>
      <c r="E1241" s="1">
        <v>767</v>
      </c>
      <c r="F1241" s="1">
        <v>25950</v>
      </c>
      <c r="G1241" s="1">
        <v>0.51480000000000004</v>
      </c>
      <c r="H1241" s="1">
        <v>0.68620000000000003</v>
      </c>
      <c r="I1241" s="1">
        <v>0.39839999999999998</v>
      </c>
      <c r="J1241" s="1">
        <v>44384</v>
      </c>
      <c r="K1241" s="1">
        <v>20875</v>
      </c>
      <c r="L1241" s="1">
        <v>6231</v>
      </c>
      <c r="M1241" s="1">
        <v>14</v>
      </c>
      <c r="N1241" s="1" t="s">
        <v>20</v>
      </c>
      <c r="O1241" s="1" t="s">
        <v>42</v>
      </c>
      <c r="P1241" s="1" t="s">
        <v>30</v>
      </c>
      <c r="Q1241" s="1" t="s">
        <v>31</v>
      </c>
      <c r="R1241">
        <v>0.12960072065999972</v>
      </c>
    </row>
    <row r="1242" spans="1:18" x14ac:dyDescent="0.2">
      <c r="A1242" s="1">
        <v>187985</v>
      </c>
      <c r="B1242" s="1" t="s">
        <v>1312</v>
      </c>
      <c r="C1242" s="1" t="s">
        <v>436</v>
      </c>
      <c r="D1242" s="1">
        <v>0.95179999999999998</v>
      </c>
      <c r="E1242" s="1">
        <v>17244</v>
      </c>
      <c r="F1242" s="1">
        <v>33060</v>
      </c>
      <c r="G1242" s="1">
        <v>0.54690000000000005</v>
      </c>
      <c r="H1242" s="1">
        <v>0.76170000000000004</v>
      </c>
      <c r="I1242" s="1">
        <v>0.38729999999999998</v>
      </c>
      <c r="J1242" s="1">
        <v>44792</v>
      </c>
      <c r="K1242" s="1">
        <v>18450</v>
      </c>
      <c r="L1242" s="1">
        <v>11446</v>
      </c>
      <c r="M1242" s="1">
        <v>15</v>
      </c>
      <c r="N1242" s="1" t="s">
        <v>28</v>
      </c>
      <c r="O1242" s="1" t="s">
        <v>29</v>
      </c>
      <c r="P1242" s="1" t="s">
        <v>22</v>
      </c>
      <c r="Q1242" s="1" t="s">
        <v>31</v>
      </c>
      <c r="R1242">
        <v>0.12954962060561959</v>
      </c>
    </row>
    <row r="1243" spans="1:18" x14ac:dyDescent="0.2">
      <c r="A1243" s="1">
        <v>190567</v>
      </c>
      <c r="B1243" s="1" t="s">
        <v>1313</v>
      </c>
      <c r="C1243" s="1" t="s">
        <v>58</v>
      </c>
      <c r="D1243" s="1">
        <v>0.60019999999999996</v>
      </c>
      <c r="E1243" s="1">
        <v>12505</v>
      </c>
      <c r="F1243" s="1">
        <v>15290</v>
      </c>
      <c r="G1243" s="1">
        <v>0.56820000000000004</v>
      </c>
      <c r="H1243" s="1">
        <v>0.79259999999999997</v>
      </c>
      <c r="I1243" s="1">
        <v>0.60540000000000005</v>
      </c>
      <c r="J1243" s="1">
        <v>66039</v>
      </c>
      <c r="K1243" s="1">
        <v>11990</v>
      </c>
      <c r="L1243" s="1">
        <v>13231</v>
      </c>
      <c r="M1243" s="1">
        <v>15</v>
      </c>
      <c r="N1243" s="1" t="s">
        <v>28</v>
      </c>
      <c r="O1243" s="1" t="s">
        <v>29</v>
      </c>
      <c r="P1243" s="1" t="s">
        <v>39</v>
      </c>
      <c r="Q1243" s="1" t="s">
        <v>23</v>
      </c>
      <c r="R1243">
        <v>0.12875331860401817</v>
      </c>
    </row>
    <row r="1244" spans="1:18" x14ac:dyDescent="0.2">
      <c r="A1244" s="1">
        <v>153144</v>
      </c>
      <c r="B1244" s="1" t="s">
        <v>1314</v>
      </c>
      <c r="C1244" s="1" t="s">
        <v>81</v>
      </c>
      <c r="D1244" s="1">
        <v>0.64039999999999997</v>
      </c>
      <c r="E1244" s="1">
        <v>1164</v>
      </c>
      <c r="F1244" s="1">
        <v>54666</v>
      </c>
      <c r="G1244" s="1">
        <v>0.65900000000000003</v>
      </c>
      <c r="H1244" s="1">
        <v>0.72699999999999998</v>
      </c>
      <c r="I1244" s="1">
        <v>0.3584</v>
      </c>
      <c r="J1244" s="1">
        <v>57125</v>
      </c>
      <c r="K1244" s="1">
        <v>27000</v>
      </c>
      <c r="L1244" s="1">
        <v>7291</v>
      </c>
      <c r="M1244" s="1">
        <v>11</v>
      </c>
      <c r="N1244" s="1" t="s">
        <v>20</v>
      </c>
      <c r="O1244" s="1" t="s">
        <v>29</v>
      </c>
      <c r="P1244" s="1" t="s">
        <v>22</v>
      </c>
      <c r="Q1244" s="1" t="s">
        <v>23</v>
      </c>
      <c r="R1244">
        <v>0.12805900506384627</v>
      </c>
    </row>
    <row r="1245" spans="1:18" x14ac:dyDescent="0.2">
      <c r="A1245" s="1">
        <v>155317</v>
      </c>
      <c r="B1245" s="1" t="s">
        <v>1315</v>
      </c>
      <c r="C1245" s="1" t="s">
        <v>56</v>
      </c>
      <c r="D1245" s="1">
        <v>0.93479999999999996</v>
      </c>
      <c r="E1245" s="1">
        <v>21217</v>
      </c>
      <c r="F1245" s="1">
        <v>30432</v>
      </c>
      <c r="G1245" s="1">
        <v>0.68810000000000004</v>
      </c>
      <c r="H1245" s="1">
        <v>0.8649</v>
      </c>
      <c r="I1245" s="1">
        <v>0.20469999999999999</v>
      </c>
      <c r="J1245" s="1">
        <v>61945</v>
      </c>
      <c r="K1245" s="1">
        <v>21000</v>
      </c>
      <c r="L1245" s="1">
        <v>11338</v>
      </c>
      <c r="M1245" s="1">
        <v>18</v>
      </c>
      <c r="N1245" s="1" t="s">
        <v>28</v>
      </c>
      <c r="O1245" s="1" t="s">
        <v>29</v>
      </c>
      <c r="P1245" s="1" t="s">
        <v>22</v>
      </c>
      <c r="Q1245" s="1" t="s">
        <v>23</v>
      </c>
      <c r="R1245">
        <v>0.12771025189665564</v>
      </c>
    </row>
    <row r="1246" spans="1:18" x14ac:dyDescent="0.2">
      <c r="A1246" s="1">
        <v>130226</v>
      </c>
      <c r="B1246" s="1" t="s">
        <v>1316</v>
      </c>
      <c r="C1246" s="1" t="s">
        <v>147</v>
      </c>
      <c r="D1246" s="1">
        <v>0.72150000000000003</v>
      </c>
      <c r="E1246" s="1">
        <v>6531</v>
      </c>
      <c r="F1246" s="1">
        <v>55480</v>
      </c>
      <c r="G1246" s="1">
        <v>0.75700000000000001</v>
      </c>
      <c r="H1246" s="1">
        <v>0.89119999999999999</v>
      </c>
      <c r="I1246" s="1">
        <v>0.16170000000000001</v>
      </c>
      <c r="J1246" s="1">
        <v>83759</v>
      </c>
      <c r="K1246" s="1">
        <v>26000</v>
      </c>
      <c r="L1246" s="1">
        <v>11491</v>
      </c>
      <c r="M1246" s="1">
        <v>12</v>
      </c>
      <c r="N1246" s="1" t="s">
        <v>20</v>
      </c>
      <c r="O1246" s="1" t="s">
        <v>21</v>
      </c>
      <c r="P1246" s="1" t="s">
        <v>39</v>
      </c>
      <c r="Q1246" s="1" t="s">
        <v>23</v>
      </c>
      <c r="R1246">
        <v>0.1259251099190527</v>
      </c>
    </row>
    <row r="1247" spans="1:18" x14ac:dyDescent="0.2">
      <c r="A1247" s="1">
        <v>128498</v>
      </c>
      <c r="B1247" s="1" t="s">
        <v>1317</v>
      </c>
      <c r="C1247" s="1" t="s">
        <v>147</v>
      </c>
      <c r="D1247" s="1">
        <v>0.59309999999999996</v>
      </c>
      <c r="E1247" s="1">
        <v>991</v>
      </c>
      <c r="F1247" s="1">
        <v>41908</v>
      </c>
      <c r="G1247" s="1">
        <v>0.51480000000000004</v>
      </c>
      <c r="H1247" s="1">
        <v>0.66859999999999997</v>
      </c>
      <c r="I1247" s="1">
        <v>0.50560000000000005</v>
      </c>
      <c r="J1247" s="1">
        <v>60144</v>
      </c>
      <c r="K1247" s="1">
        <v>30964</v>
      </c>
      <c r="L1247" s="1">
        <v>8245</v>
      </c>
      <c r="M1247" s="1">
        <v>17</v>
      </c>
      <c r="N1247" s="1" t="s">
        <v>20</v>
      </c>
      <c r="O1247" s="1" t="s">
        <v>29</v>
      </c>
      <c r="P1247" s="1" t="s">
        <v>39</v>
      </c>
      <c r="Q1247" s="1" t="s">
        <v>23</v>
      </c>
      <c r="R1247">
        <v>0.12575640408041699</v>
      </c>
    </row>
    <row r="1248" spans="1:18" x14ac:dyDescent="0.2">
      <c r="A1248" s="1">
        <v>109651</v>
      </c>
      <c r="B1248" s="1" t="s">
        <v>1318</v>
      </c>
      <c r="C1248" s="1" t="s">
        <v>33</v>
      </c>
      <c r="D1248" s="1">
        <v>0.74539999999999995</v>
      </c>
      <c r="E1248" s="1">
        <v>2017</v>
      </c>
      <c r="F1248" s="1">
        <v>54170</v>
      </c>
      <c r="G1248" s="1">
        <v>0.79169999999999996</v>
      </c>
      <c r="H1248" s="1">
        <v>0.85940000000000005</v>
      </c>
      <c r="I1248" s="1">
        <v>0.216</v>
      </c>
      <c r="J1248" s="1">
        <v>71958</v>
      </c>
      <c r="K1248" s="1">
        <v>31000</v>
      </c>
      <c r="L1248" s="1">
        <v>9383</v>
      </c>
      <c r="M1248" s="1">
        <v>9</v>
      </c>
      <c r="N1248" s="1" t="s">
        <v>20</v>
      </c>
      <c r="O1248" s="1" t="s">
        <v>29</v>
      </c>
      <c r="P1248" s="1" t="s">
        <v>22</v>
      </c>
      <c r="Q1248" s="1" t="s">
        <v>23</v>
      </c>
      <c r="R1248">
        <v>0.12443862896610691</v>
      </c>
    </row>
    <row r="1249" spans="1:18" x14ac:dyDescent="0.2">
      <c r="A1249" s="1">
        <v>174792</v>
      </c>
      <c r="B1249" s="1" t="s">
        <v>1319</v>
      </c>
      <c r="C1249" s="1" t="s">
        <v>54</v>
      </c>
      <c r="D1249" s="1">
        <v>0.90620000000000001</v>
      </c>
      <c r="E1249" s="1">
        <v>1395</v>
      </c>
      <c r="F1249" s="1">
        <v>55816</v>
      </c>
      <c r="G1249" s="1">
        <v>0.75380000000000003</v>
      </c>
      <c r="H1249" s="1">
        <v>0.85750000000000004</v>
      </c>
      <c r="I1249" s="1">
        <v>0.18029999999999999</v>
      </c>
      <c r="J1249" s="1">
        <v>76786</v>
      </c>
      <c r="K1249" s="1">
        <v>27000</v>
      </c>
      <c r="L1249" s="1">
        <v>8973</v>
      </c>
      <c r="M1249" s="1">
        <v>12</v>
      </c>
      <c r="N1249" s="1" t="s">
        <v>20</v>
      </c>
      <c r="O1249" s="1" t="s">
        <v>42</v>
      </c>
      <c r="P1249" s="1" t="s">
        <v>22</v>
      </c>
      <c r="Q1249" s="1" t="s">
        <v>23</v>
      </c>
      <c r="R1249">
        <v>0.12438550116773051</v>
      </c>
    </row>
    <row r="1250" spans="1:18" x14ac:dyDescent="0.2">
      <c r="A1250" s="1">
        <v>138947</v>
      </c>
      <c r="B1250" s="1" t="s">
        <v>1320</v>
      </c>
      <c r="C1250" s="1" t="s">
        <v>126</v>
      </c>
      <c r="D1250" s="1">
        <v>0.64219999999999999</v>
      </c>
      <c r="E1250" s="1">
        <v>3603</v>
      </c>
      <c r="F1250" s="1">
        <v>28310</v>
      </c>
      <c r="G1250" s="1">
        <v>0.49020000000000002</v>
      </c>
      <c r="H1250" s="1">
        <v>0.70699999999999996</v>
      </c>
      <c r="I1250" s="1">
        <v>0.70469999999999999</v>
      </c>
      <c r="J1250" s="1">
        <v>42712</v>
      </c>
      <c r="K1250" s="1">
        <v>27000</v>
      </c>
      <c r="L1250" s="1">
        <v>8446</v>
      </c>
      <c r="M1250" s="1">
        <v>16</v>
      </c>
      <c r="N1250" s="1" t="s">
        <v>20</v>
      </c>
      <c r="O1250" s="1" t="s">
        <v>29</v>
      </c>
      <c r="P1250" s="1" t="s">
        <v>30</v>
      </c>
      <c r="Q1250" s="1" t="s">
        <v>31</v>
      </c>
      <c r="R1250">
        <v>0.12381938605780918</v>
      </c>
    </row>
    <row r="1251" spans="1:18" x14ac:dyDescent="0.2">
      <c r="A1251" s="1">
        <v>237181</v>
      </c>
      <c r="B1251" s="1" t="s">
        <v>72</v>
      </c>
      <c r="C1251" s="1" t="s">
        <v>255</v>
      </c>
      <c r="D1251" s="1">
        <v>0.58789999999999998</v>
      </c>
      <c r="E1251" s="1">
        <v>614</v>
      </c>
      <c r="F1251" s="1">
        <v>36765</v>
      </c>
      <c r="G1251" s="1">
        <v>0.46820000000000001</v>
      </c>
      <c r="H1251" s="1">
        <v>0.53749999999999998</v>
      </c>
      <c r="I1251" s="1">
        <v>0.51160000000000005</v>
      </c>
      <c r="J1251" s="1">
        <v>44512</v>
      </c>
      <c r="K1251" s="1">
        <v>27000</v>
      </c>
      <c r="L1251" s="1">
        <v>6417</v>
      </c>
      <c r="M1251" s="1">
        <v>12</v>
      </c>
      <c r="N1251" s="1" t="s">
        <v>20</v>
      </c>
      <c r="O1251" s="1" t="s">
        <v>42</v>
      </c>
      <c r="P1251" s="1" t="s">
        <v>30</v>
      </c>
      <c r="Q1251" s="1" t="s">
        <v>31</v>
      </c>
      <c r="R1251">
        <v>0.12338879917649792</v>
      </c>
    </row>
    <row r="1252" spans="1:18" x14ac:dyDescent="0.2">
      <c r="A1252" s="1">
        <v>122597</v>
      </c>
      <c r="B1252" s="1" t="s">
        <v>1321</v>
      </c>
      <c r="C1252" s="1" t="s">
        <v>33</v>
      </c>
      <c r="D1252" s="1">
        <v>0.96440000000000003</v>
      </c>
      <c r="E1252" s="1">
        <v>18639</v>
      </c>
      <c r="F1252" s="1">
        <v>20550</v>
      </c>
      <c r="G1252" s="1">
        <v>0.50370000000000004</v>
      </c>
      <c r="H1252" s="1">
        <v>0.82699999999999996</v>
      </c>
      <c r="I1252" s="1">
        <v>0.42220000000000002</v>
      </c>
      <c r="J1252" s="1">
        <v>68077</v>
      </c>
      <c r="K1252" s="1">
        <v>15371</v>
      </c>
      <c r="L1252" s="1">
        <v>13199</v>
      </c>
      <c r="M1252" s="1">
        <v>19</v>
      </c>
      <c r="N1252" s="1" t="s">
        <v>28</v>
      </c>
      <c r="O1252" s="1" t="s">
        <v>29</v>
      </c>
      <c r="P1252" s="1" t="s">
        <v>22</v>
      </c>
      <c r="Q1252" s="1" t="s">
        <v>23</v>
      </c>
      <c r="R1252">
        <v>0.12305837445787726</v>
      </c>
    </row>
    <row r="1253" spans="1:18" x14ac:dyDescent="0.2">
      <c r="A1253" s="1">
        <v>198516</v>
      </c>
      <c r="B1253" s="1" t="s">
        <v>1322</v>
      </c>
      <c r="C1253" s="1" t="s">
        <v>86</v>
      </c>
      <c r="D1253" s="1">
        <v>0.66349999999999998</v>
      </c>
      <c r="E1253" s="1">
        <v>6452</v>
      </c>
      <c r="F1253" s="1">
        <v>46958</v>
      </c>
      <c r="G1253" s="1">
        <v>0.84040000000000004</v>
      </c>
      <c r="H1253" s="1">
        <v>0.89800000000000002</v>
      </c>
      <c r="I1253" s="1">
        <v>9.9299999999999999E-2</v>
      </c>
      <c r="J1253" s="1">
        <v>74545</v>
      </c>
      <c r="K1253" s="1">
        <v>20500</v>
      </c>
      <c r="L1253" s="1">
        <v>10563</v>
      </c>
      <c r="M1253" s="1">
        <v>11</v>
      </c>
      <c r="N1253" s="1" t="s">
        <v>20</v>
      </c>
      <c r="O1253" s="1" t="s">
        <v>21</v>
      </c>
      <c r="P1253" s="1" t="s">
        <v>30</v>
      </c>
      <c r="Q1253" s="1" t="s">
        <v>23</v>
      </c>
      <c r="R1253">
        <v>0.1229613314877458</v>
      </c>
    </row>
    <row r="1254" spans="1:18" x14ac:dyDescent="0.2">
      <c r="A1254" s="1">
        <v>160904</v>
      </c>
      <c r="B1254" s="1" t="s">
        <v>1323</v>
      </c>
      <c r="C1254" s="1" t="s">
        <v>46</v>
      </c>
      <c r="D1254" s="1">
        <v>0.69040000000000001</v>
      </c>
      <c r="E1254" s="1">
        <v>2628</v>
      </c>
      <c r="F1254" s="1">
        <v>28733</v>
      </c>
      <c r="G1254" s="1">
        <v>0.48549999999999999</v>
      </c>
      <c r="H1254" s="1">
        <v>0.71679999999999999</v>
      </c>
      <c r="I1254" s="1">
        <v>0.54190000000000005</v>
      </c>
      <c r="J1254" s="1">
        <v>52184</v>
      </c>
      <c r="K1254" s="1">
        <v>24053</v>
      </c>
      <c r="L1254" s="1">
        <v>9918</v>
      </c>
      <c r="M1254" s="1">
        <v>11</v>
      </c>
      <c r="N1254" s="1" t="s">
        <v>20</v>
      </c>
      <c r="O1254" s="1" t="s">
        <v>29</v>
      </c>
      <c r="P1254" s="1" t="s">
        <v>30</v>
      </c>
      <c r="Q1254" s="1" t="s">
        <v>23</v>
      </c>
      <c r="R1254">
        <v>0.12236173653246596</v>
      </c>
    </row>
    <row r="1255" spans="1:18" x14ac:dyDescent="0.2">
      <c r="A1255" s="1">
        <v>168281</v>
      </c>
      <c r="B1255" s="1" t="s">
        <v>1324</v>
      </c>
      <c r="C1255" s="1" t="s">
        <v>129</v>
      </c>
      <c r="D1255" s="1">
        <v>0.67730000000000001</v>
      </c>
      <c r="E1255" s="1">
        <v>1773</v>
      </c>
      <c r="F1255" s="1">
        <v>63960</v>
      </c>
      <c r="G1255" s="1">
        <v>0.72819999999999996</v>
      </c>
      <c r="H1255" s="1">
        <v>0.82179999999999997</v>
      </c>
      <c r="I1255" s="1">
        <v>0.22170000000000001</v>
      </c>
      <c r="J1255" s="1">
        <v>67725</v>
      </c>
      <c r="K1255" s="1">
        <v>26000</v>
      </c>
      <c r="L1255" s="1">
        <v>8150</v>
      </c>
      <c r="M1255" s="1">
        <v>11</v>
      </c>
      <c r="N1255" s="1" t="s">
        <v>20</v>
      </c>
      <c r="O1255" s="1" t="s">
        <v>21</v>
      </c>
      <c r="P1255" s="1" t="s">
        <v>39</v>
      </c>
      <c r="Q1255" s="1" t="s">
        <v>23</v>
      </c>
      <c r="R1255">
        <v>0.11870963523047429</v>
      </c>
    </row>
    <row r="1256" spans="1:18" x14ac:dyDescent="0.2">
      <c r="A1256" s="1">
        <v>156365</v>
      </c>
      <c r="B1256" s="1" t="s">
        <v>1325</v>
      </c>
      <c r="C1256" s="1" t="s">
        <v>104</v>
      </c>
      <c r="D1256" s="1">
        <v>0.7974</v>
      </c>
      <c r="E1256" s="1">
        <v>2840</v>
      </c>
      <c r="F1256" s="1">
        <v>27998</v>
      </c>
      <c r="G1256" s="1">
        <v>0.42009999999999997</v>
      </c>
      <c r="H1256" s="1">
        <v>0.64500000000000002</v>
      </c>
      <c r="I1256" s="1">
        <v>0.20050000000000001</v>
      </c>
      <c r="J1256" s="1">
        <v>41583</v>
      </c>
      <c r="K1256" s="1">
        <v>17156</v>
      </c>
      <c r="L1256" s="1">
        <v>6787</v>
      </c>
      <c r="M1256" s="1">
        <v>19</v>
      </c>
      <c r="N1256" s="1" t="s">
        <v>20</v>
      </c>
      <c r="O1256" s="1" t="s">
        <v>42</v>
      </c>
      <c r="P1256" s="1" t="s">
        <v>30</v>
      </c>
      <c r="Q1256" s="1" t="s">
        <v>31</v>
      </c>
      <c r="R1256">
        <v>0.11829574206842408</v>
      </c>
    </row>
    <row r="1257" spans="1:18" x14ac:dyDescent="0.2">
      <c r="A1257" s="1">
        <v>227845</v>
      </c>
      <c r="B1257" s="1" t="s">
        <v>1326</v>
      </c>
      <c r="C1257" s="1" t="s">
        <v>36</v>
      </c>
      <c r="D1257" s="1">
        <v>0.81420000000000003</v>
      </c>
      <c r="E1257" s="1">
        <v>2493</v>
      </c>
      <c r="F1257" s="1">
        <v>51384</v>
      </c>
      <c r="G1257" s="1">
        <v>0.62590000000000001</v>
      </c>
      <c r="H1257" s="1">
        <v>0.79669999999999996</v>
      </c>
      <c r="I1257" s="1">
        <v>0.42370000000000002</v>
      </c>
      <c r="J1257" s="1">
        <v>58826</v>
      </c>
      <c r="K1257" s="1">
        <v>24803</v>
      </c>
      <c r="L1257" s="1">
        <v>9902</v>
      </c>
      <c r="M1257" s="1">
        <v>12</v>
      </c>
      <c r="N1257" s="1" t="s">
        <v>20</v>
      </c>
      <c r="O1257" s="1" t="s">
        <v>29</v>
      </c>
      <c r="P1257" s="1" t="s">
        <v>30</v>
      </c>
      <c r="Q1257" s="1" t="s">
        <v>23</v>
      </c>
      <c r="R1257">
        <v>0.11774675566295378</v>
      </c>
    </row>
    <row r="1258" spans="1:18" x14ac:dyDescent="0.2">
      <c r="A1258" s="1">
        <v>110592</v>
      </c>
      <c r="B1258" s="1" t="s">
        <v>1327</v>
      </c>
      <c r="C1258" s="1" t="s">
        <v>33</v>
      </c>
      <c r="D1258" s="1">
        <v>0.91249999999999998</v>
      </c>
      <c r="E1258" s="1">
        <v>19562</v>
      </c>
      <c r="F1258" s="1">
        <v>19760</v>
      </c>
      <c r="G1258" s="1">
        <v>0.52980000000000005</v>
      </c>
      <c r="H1258" s="1">
        <v>0.71850000000000003</v>
      </c>
      <c r="I1258" s="1">
        <v>0.66300000000000003</v>
      </c>
      <c r="J1258" s="1">
        <v>59211</v>
      </c>
      <c r="K1258" s="1">
        <v>13000</v>
      </c>
      <c r="L1258" s="1">
        <v>12690</v>
      </c>
      <c r="M1258" s="1">
        <v>21</v>
      </c>
      <c r="N1258" s="1" t="s">
        <v>28</v>
      </c>
      <c r="O1258" s="1" t="s">
        <v>29</v>
      </c>
      <c r="P1258" s="1" t="s">
        <v>22</v>
      </c>
      <c r="Q1258" s="1" t="s">
        <v>23</v>
      </c>
      <c r="R1258">
        <v>0.11411644427070733</v>
      </c>
    </row>
    <row r="1259" spans="1:18" x14ac:dyDescent="0.2">
      <c r="A1259" s="1">
        <v>230995</v>
      </c>
      <c r="B1259" s="1" t="s">
        <v>1328</v>
      </c>
      <c r="C1259" s="1" t="s">
        <v>451</v>
      </c>
      <c r="D1259" s="1">
        <v>0.74439999999999995</v>
      </c>
      <c r="E1259" s="1">
        <v>2428</v>
      </c>
      <c r="F1259" s="1">
        <v>49740</v>
      </c>
      <c r="G1259" s="1">
        <v>0.60209999999999997</v>
      </c>
      <c r="H1259" s="1">
        <v>0.79259999999999997</v>
      </c>
      <c r="I1259" s="1">
        <v>0.24410000000000001</v>
      </c>
      <c r="J1259" s="1">
        <v>65575</v>
      </c>
      <c r="K1259" s="1">
        <v>25000</v>
      </c>
      <c r="L1259" s="1">
        <v>8275</v>
      </c>
      <c r="M1259" s="1">
        <v>13</v>
      </c>
      <c r="N1259" s="1" t="s">
        <v>20</v>
      </c>
      <c r="O1259" s="1" t="s">
        <v>42</v>
      </c>
      <c r="P1259" s="1" t="s">
        <v>39</v>
      </c>
      <c r="Q1259" s="1" t="s">
        <v>23</v>
      </c>
      <c r="R1259">
        <v>0.1129413374333269</v>
      </c>
    </row>
    <row r="1260" spans="1:18" x14ac:dyDescent="0.2">
      <c r="A1260" s="1">
        <v>212984</v>
      </c>
      <c r="B1260" s="1" t="s">
        <v>1329</v>
      </c>
      <c r="C1260" s="1" t="s">
        <v>98</v>
      </c>
      <c r="D1260" s="1">
        <v>0.71040000000000003</v>
      </c>
      <c r="E1260" s="1">
        <v>2464</v>
      </c>
      <c r="F1260" s="1">
        <v>35330</v>
      </c>
      <c r="G1260" s="1">
        <v>0.60909999999999997</v>
      </c>
      <c r="H1260" s="1">
        <v>0.77729999999999999</v>
      </c>
      <c r="I1260" s="1">
        <v>0.41049999999999998</v>
      </c>
      <c r="J1260" s="1">
        <v>62235</v>
      </c>
      <c r="K1260" s="1">
        <v>25125</v>
      </c>
      <c r="L1260" s="1">
        <v>7978</v>
      </c>
      <c r="M1260" s="1">
        <v>14</v>
      </c>
      <c r="N1260" s="1" t="s">
        <v>20</v>
      </c>
      <c r="O1260" s="1" t="s">
        <v>29</v>
      </c>
      <c r="P1260" s="1" t="s">
        <v>39</v>
      </c>
      <c r="Q1260" s="1" t="s">
        <v>23</v>
      </c>
      <c r="R1260">
        <v>0.1121213738226593</v>
      </c>
    </row>
    <row r="1261" spans="1:18" x14ac:dyDescent="0.2">
      <c r="A1261" s="1">
        <v>211981</v>
      </c>
      <c r="B1261" s="1" t="s">
        <v>1330</v>
      </c>
      <c r="C1261" s="1" t="s">
        <v>98</v>
      </c>
      <c r="D1261" s="1">
        <v>0.93210000000000004</v>
      </c>
      <c r="E1261" s="1">
        <v>1628</v>
      </c>
      <c r="F1261" s="1">
        <v>44850</v>
      </c>
      <c r="G1261" s="1">
        <v>0.55910000000000004</v>
      </c>
      <c r="H1261" s="1">
        <v>0.69279999999999997</v>
      </c>
      <c r="I1261" s="1">
        <v>0.29899999999999999</v>
      </c>
      <c r="J1261" s="1">
        <v>55838</v>
      </c>
      <c r="K1261" s="1">
        <v>25000</v>
      </c>
      <c r="L1261" s="1">
        <v>9069</v>
      </c>
      <c r="M1261" s="1">
        <v>14</v>
      </c>
      <c r="N1261" s="1" t="s">
        <v>20</v>
      </c>
      <c r="O1261" s="1" t="s">
        <v>21</v>
      </c>
      <c r="P1261" s="1" t="s">
        <v>39</v>
      </c>
      <c r="Q1261" s="1" t="s">
        <v>23</v>
      </c>
      <c r="R1261">
        <v>0.11184318106407276</v>
      </c>
    </row>
    <row r="1262" spans="1:18" x14ac:dyDescent="0.2">
      <c r="A1262" s="1">
        <v>147767</v>
      </c>
      <c r="B1262" s="1" t="s">
        <v>1331</v>
      </c>
      <c r="C1262" s="1" t="s">
        <v>25</v>
      </c>
      <c r="D1262" s="1">
        <v>7.6899999999999996E-2</v>
      </c>
      <c r="E1262" s="1">
        <v>9201</v>
      </c>
      <c r="F1262" s="1">
        <v>68322</v>
      </c>
      <c r="G1262" s="1">
        <v>0.95130000000000003</v>
      </c>
      <c r="H1262" s="1">
        <v>0.98099999999999998</v>
      </c>
      <c r="I1262" s="1">
        <v>0.1855</v>
      </c>
      <c r="J1262" s="1">
        <v>89363</v>
      </c>
      <c r="K1262" s="1">
        <v>15000</v>
      </c>
      <c r="L1262" s="1">
        <v>20322</v>
      </c>
      <c r="M1262" s="1">
        <v>6</v>
      </c>
      <c r="N1262" s="1" t="s">
        <v>20</v>
      </c>
      <c r="O1262" s="1" t="s">
        <v>29</v>
      </c>
      <c r="P1262" s="1" t="s">
        <v>22</v>
      </c>
      <c r="Q1262" s="1" t="s">
        <v>23</v>
      </c>
      <c r="R1262">
        <v>0.11178492309126509</v>
      </c>
    </row>
    <row r="1263" spans="1:18" x14ac:dyDescent="0.2">
      <c r="A1263" s="1">
        <v>220473</v>
      </c>
      <c r="B1263" s="1" t="s">
        <v>1332</v>
      </c>
      <c r="C1263" s="1" t="s">
        <v>163</v>
      </c>
      <c r="D1263" s="1">
        <v>0.65110000000000001</v>
      </c>
      <c r="E1263" s="1">
        <v>743</v>
      </c>
      <c r="F1263" s="1">
        <v>21122</v>
      </c>
      <c r="G1263" s="1">
        <v>0.56769999999999998</v>
      </c>
      <c r="H1263" s="1">
        <v>0.69410000000000005</v>
      </c>
      <c r="I1263" s="1">
        <v>0.38700000000000001</v>
      </c>
      <c r="J1263" s="1">
        <v>40596</v>
      </c>
      <c r="K1263" s="1">
        <v>21500</v>
      </c>
      <c r="L1263" s="1">
        <v>6075</v>
      </c>
      <c r="M1263" s="1">
        <v>12</v>
      </c>
      <c r="N1263" s="1" t="s">
        <v>20</v>
      </c>
      <c r="O1263" s="1" t="s">
        <v>42</v>
      </c>
      <c r="P1263" s="1" t="s">
        <v>30</v>
      </c>
      <c r="Q1263" s="1" t="s">
        <v>31</v>
      </c>
      <c r="R1263">
        <v>0.11100684495248303</v>
      </c>
    </row>
    <row r="1264" spans="1:18" x14ac:dyDescent="0.2">
      <c r="A1264" s="1">
        <v>157085</v>
      </c>
      <c r="B1264" s="1" t="s">
        <v>1333</v>
      </c>
      <c r="C1264" s="1" t="s">
        <v>104</v>
      </c>
      <c r="D1264" s="1">
        <v>0.9294</v>
      </c>
      <c r="E1264" s="1">
        <v>24763</v>
      </c>
      <c r="F1264" s="1">
        <v>34140</v>
      </c>
      <c r="G1264" s="1">
        <v>0.71419999999999995</v>
      </c>
      <c r="H1264" s="1">
        <v>0.86839999999999995</v>
      </c>
      <c r="I1264" s="1">
        <v>0.22520000000000001</v>
      </c>
      <c r="J1264" s="1">
        <v>59025</v>
      </c>
      <c r="K1264" s="1">
        <v>22500</v>
      </c>
      <c r="L1264" s="1">
        <v>11984</v>
      </c>
      <c r="M1264" s="1">
        <v>18</v>
      </c>
      <c r="N1264" s="1" t="s">
        <v>28</v>
      </c>
      <c r="O1264" s="1" t="s">
        <v>29</v>
      </c>
      <c r="P1264" s="1" t="s">
        <v>30</v>
      </c>
      <c r="Q1264" s="1" t="s">
        <v>23</v>
      </c>
      <c r="R1264">
        <v>0.11078207156352982</v>
      </c>
    </row>
    <row r="1265" spans="1:18" x14ac:dyDescent="0.2">
      <c r="A1265" s="1">
        <v>368452</v>
      </c>
      <c r="B1265" s="1" t="s">
        <v>1334</v>
      </c>
      <c r="C1265" s="1" t="s">
        <v>163</v>
      </c>
      <c r="D1265" s="1">
        <v>0.46310000000000001</v>
      </c>
      <c r="E1265" s="1">
        <v>247</v>
      </c>
      <c r="F1265" s="1">
        <v>20350</v>
      </c>
      <c r="G1265" s="1">
        <v>0.41799999999999998</v>
      </c>
      <c r="H1265" s="1">
        <v>0.88</v>
      </c>
      <c r="I1265" s="1">
        <v>0.57250000000000001</v>
      </c>
      <c r="J1265" s="1">
        <v>35113</v>
      </c>
      <c r="K1265" s="1">
        <v>33498</v>
      </c>
      <c r="L1265" s="1">
        <v>7917</v>
      </c>
      <c r="M1265" s="1">
        <v>10</v>
      </c>
      <c r="N1265" s="1" t="s">
        <v>142</v>
      </c>
      <c r="O1265" s="1" t="s">
        <v>29</v>
      </c>
      <c r="P1265" s="1" t="s">
        <v>30</v>
      </c>
      <c r="Q1265" s="1" t="s">
        <v>31</v>
      </c>
      <c r="R1265">
        <v>0.11047840627584604</v>
      </c>
    </row>
    <row r="1266" spans="1:18" x14ac:dyDescent="0.2">
      <c r="A1266" s="1">
        <v>144740</v>
      </c>
      <c r="B1266" s="1" t="s">
        <v>1335</v>
      </c>
      <c r="C1266" s="1" t="s">
        <v>25</v>
      </c>
      <c r="D1266" s="1">
        <v>0.75890000000000002</v>
      </c>
      <c r="E1266" s="1">
        <v>14090</v>
      </c>
      <c r="F1266" s="1">
        <v>45999</v>
      </c>
      <c r="G1266" s="1">
        <v>0.67800000000000005</v>
      </c>
      <c r="H1266" s="1">
        <v>0.85499999999999998</v>
      </c>
      <c r="I1266" s="1">
        <v>0.31780000000000003</v>
      </c>
      <c r="J1266" s="1">
        <v>68751</v>
      </c>
      <c r="K1266" s="1">
        <v>23168</v>
      </c>
      <c r="L1266" s="1">
        <v>12717</v>
      </c>
      <c r="M1266" s="1">
        <v>17</v>
      </c>
      <c r="N1266" s="1" t="s">
        <v>20</v>
      </c>
      <c r="O1266" s="1" t="s">
        <v>29</v>
      </c>
      <c r="P1266" s="1" t="s">
        <v>22</v>
      </c>
      <c r="Q1266" s="1" t="s">
        <v>23</v>
      </c>
      <c r="R1266">
        <v>0.10996657694799272</v>
      </c>
    </row>
    <row r="1267" spans="1:18" x14ac:dyDescent="0.2">
      <c r="A1267" s="1">
        <v>240365</v>
      </c>
      <c r="B1267" s="1" t="s">
        <v>1336</v>
      </c>
      <c r="C1267" s="1" t="s">
        <v>50</v>
      </c>
      <c r="D1267" s="1">
        <v>0.86499999999999999</v>
      </c>
      <c r="E1267" s="1">
        <v>6877</v>
      </c>
      <c r="F1267" s="1">
        <v>16446</v>
      </c>
      <c r="G1267" s="1">
        <v>0.46139999999999998</v>
      </c>
      <c r="H1267" s="1">
        <v>0.69299999999999995</v>
      </c>
      <c r="I1267" s="1">
        <v>0.16070000000000001</v>
      </c>
      <c r="J1267" s="1">
        <v>55548</v>
      </c>
      <c r="K1267" s="1">
        <v>21500</v>
      </c>
      <c r="L1267" s="1">
        <v>8888</v>
      </c>
      <c r="M1267" s="1">
        <v>22</v>
      </c>
      <c r="N1267" s="1" t="s">
        <v>28</v>
      </c>
      <c r="O1267" s="1" t="s">
        <v>29</v>
      </c>
      <c r="P1267" s="1" t="s">
        <v>22</v>
      </c>
      <c r="Q1267" s="1" t="s">
        <v>23</v>
      </c>
      <c r="R1267">
        <v>0.10889049169638343</v>
      </c>
    </row>
    <row r="1268" spans="1:18" x14ac:dyDescent="0.2">
      <c r="A1268" s="1">
        <v>164580</v>
      </c>
      <c r="B1268" s="1" t="s">
        <v>1337</v>
      </c>
      <c r="C1268" s="1" t="s">
        <v>129</v>
      </c>
      <c r="D1268" s="1">
        <v>0.1709</v>
      </c>
      <c r="E1268" s="1">
        <v>2728</v>
      </c>
      <c r="F1268" s="1">
        <v>57152</v>
      </c>
      <c r="G1268" s="1">
        <v>0.93120000000000003</v>
      </c>
      <c r="H1268" s="1">
        <v>0.94569999999999999</v>
      </c>
      <c r="I1268" s="1">
        <v>0.1628</v>
      </c>
      <c r="J1268" s="1">
        <v>123938</v>
      </c>
      <c r="K1268" s="1">
        <v>20000</v>
      </c>
      <c r="L1268" s="1">
        <v>20620</v>
      </c>
      <c r="M1268" s="1">
        <v>15</v>
      </c>
      <c r="N1268" s="1" t="s">
        <v>20</v>
      </c>
      <c r="O1268" s="1" t="s">
        <v>21</v>
      </c>
      <c r="P1268" s="1" t="s">
        <v>39</v>
      </c>
      <c r="Q1268" s="1" t="s">
        <v>23</v>
      </c>
      <c r="R1268">
        <v>0.10873143825574105</v>
      </c>
    </row>
    <row r="1269" spans="1:18" x14ac:dyDescent="0.2">
      <c r="A1269" s="1">
        <v>212009</v>
      </c>
      <c r="B1269" s="1" t="s">
        <v>1338</v>
      </c>
      <c r="C1269" s="1" t="s">
        <v>98</v>
      </c>
      <c r="D1269" s="1">
        <v>0.4209</v>
      </c>
      <c r="E1269" s="1">
        <v>2273</v>
      </c>
      <c r="F1269" s="1">
        <v>65650</v>
      </c>
      <c r="G1269" s="1">
        <v>0.79779999999999995</v>
      </c>
      <c r="H1269" s="1">
        <v>0.91979999999999995</v>
      </c>
      <c r="I1269" s="1">
        <v>0.1275</v>
      </c>
      <c r="J1269" s="1">
        <v>70204</v>
      </c>
      <c r="K1269" s="1">
        <v>19000</v>
      </c>
      <c r="L1269" s="1">
        <v>10034</v>
      </c>
      <c r="M1269" s="1">
        <v>11</v>
      </c>
      <c r="N1269" s="1" t="s">
        <v>20</v>
      </c>
      <c r="O1269" s="1" t="s">
        <v>29</v>
      </c>
      <c r="P1269" s="1" t="s">
        <v>39</v>
      </c>
      <c r="Q1269" s="1" t="s">
        <v>23</v>
      </c>
      <c r="R1269">
        <v>0.10799037770966147</v>
      </c>
    </row>
    <row r="1270" spans="1:18" x14ac:dyDescent="0.2">
      <c r="A1270" s="1">
        <v>228246</v>
      </c>
      <c r="B1270" s="1" t="s">
        <v>1339</v>
      </c>
      <c r="C1270" s="1" t="s">
        <v>36</v>
      </c>
      <c r="D1270" s="1">
        <v>0.63349999999999995</v>
      </c>
      <c r="E1270" s="1">
        <v>7277</v>
      </c>
      <c r="F1270" s="1">
        <v>67040</v>
      </c>
      <c r="G1270" s="1">
        <v>0.8427</v>
      </c>
      <c r="H1270" s="1">
        <v>0.9052</v>
      </c>
      <c r="I1270" s="1">
        <v>0.12759999999999999</v>
      </c>
      <c r="J1270" s="1">
        <v>78354</v>
      </c>
      <c r="K1270" s="1">
        <v>19500</v>
      </c>
      <c r="L1270" s="1">
        <v>14916</v>
      </c>
      <c r="M1270" s="1">
        <v>11</v>
      </c>
      <c r="N1270" s="1" t="s">
        <v>20</v>
      </c>
      <c r="O1270" s="1" t="s">
        <v>21</v>
      </c>
      <c r="P1270" s="1" t="s">
        <v>30</v>
      </c>
      <c r="Q1270" s="1" t="s">
        <v>23</v>
      </c>
      <c r="R1270">
        <v>0.10791710006152189</v>
      </c>
    </row>
    <row r="1271" spans="1:18" x14ac:dyDescent="0.2">
      <c r="A1271" s="1">
        <v>180461</v>
      </c>
      <c r="B1271" s="1" t="s">
        <v>1340</v>
      </c>
      <c r="C1271" s="1" t="s">
        <v>95</v>
      </c>
      <c r="D1271" s="1">
        <v>0.82140000000000002</v>
      </c>
      <c r="E1271" s="1">
        <v>14451</v>
      </c>
      <c r="F1271" s="1">
        <v>33287</v>
      </c>
      <c r="G1271" s="1">
        <v>0.57079999999999997</v>
      </c>
      <c r="H1271" s="1">
        <v>0.78520000000000001</v>
      </c>
      <c r="I1271" s="1">
        <v>0.16389999999999999</v>
      </c>
      <c r="J1271" s="1">
        <v>53263</v>
      </c>
      <c r="K1271" s="1">
        <v>22500</v>
      </c>
      <c r="L1271" s="1">
        <v>9762</v>
      </c>
      <c r="M1271" s="1">
        <v>18</v>
      </c>
      <c r="N1271" s="1" t="s">
        <v>28</v>
      </c>
      <c r="O1271" s="1" t="s">
        <v>29</v>
      </c>
      <c r="P1271" s="1" t="s">
        <v>22</v>
      </c>
      <c r="Q1271" s="1" t="s">
        <v>23</v>
      </c>
      <c r="R1271">
        <v>0.1076829605160684</v>
      </c>
    </row>
    <row r="1272" spans="1:18" x14ac:dyDescent="0.2">
      <c r="A1272" s="1">
        <v>110662</v>
      </c>
      <c r="B1272" s="1" t="s">
        <v>1341</v>
      </c>
      <c r="C1272" s="1" t="s">
        <v>33</v>
      </c>
      <c r="D1272" s="1">
        <v>8.9700000000000002E-2</v>
      </c>
      <c r="E1272" s="1">
        <v>33475</v>
      </c>
      <c r="F1272" s="1">
        <v>49403</v>
      </c>
      <c r="G1272" s="1">
        <v>0.92620000000000002</v>
      </c>
      <c r="H1272" s="1">
        <v>0.97309999999999997</v>
      </c>
      <c r="I1272" s="1">
        <v>0.28239999999999998</v>
      </c>
      <c r="J1272" s="1">
        <v>82511</v>
      </c>
      <c r="K1272" s="1">
        <v>14000</v>
      </c>
      <c r="L1272" s="1">
        <v>22848</v>
      </c>
      <c r="M1272" s="1">
        <v>20</v>
      </c>
      <c r="N1272" s="1" t="s">
        <v>28</v>
      </c>
      <c r="O1272" s="1" t="s">
        <v>29</v>
      </c>
      <c r="P1272" s="1" t="s">
        <v>22</v>
      </c>
      <c r="Q1272" s="1" t="s">
        <v>23</v>
      </c>
      <c r="R1272">
        <v>0.10720073587956969</v>
      </c>
    </row>
    <row r="1273" spans="1:18" x14ac:dyDescent="0.2">
      <c r="A1273" s="1">
        <v>203085</v>
      </c>
      <c r="B1273" s="1" t="s">
        <v>1342</v>
      </c>
      <c r="C1273" s="1" t="s">
        <v>19</v>
      </c>
      <c r="D1273" s="1">
        <v>0.8579</v>
      </c>
      <c r="E1273" s="1">
        <v>915</v>
      </c>
      <c r="F1273" s="1">
        <v>33650</v>
      </c>
      <c r="G1273" s="1">
        <v>0.51980000000000004</v>
      </c>
      <c r="H1273" s="1">
        <v>0.74129999999999996</v>
      </c>
      <c r="I1273" s="1">
        <v>0.36599999999999999</v>
      </c>
      <c r="J1273" s="1">
        <v>48466</v>
      </c>
      <c r="K1273" s="1">
        <v>27000</v>
      </c>
      <c r="L1273" s="1">
        <v>6994</v>
      </c>
      <c r="M1273" s="1">
        <v>14</v>
      </c>
      <c r="N1273" s="1" t="s">
        <v>20</v>
      </c>
      <c r="O1273" s="1" t="s">
        <v>42</v>
      </c>
      <c r="P1273" s="1" t="s">
        <v>22</v>
      </c>
      <c r="Q1273" s="1" t="s">
        <v>31</v>
      </c>
      <c r="R1273">
        <v>0.10628668762767357</v>
      </c>
    </row>
    <row r="1274" spans="1:18" x14ac:dyDescent="0.2">
      <c r="A1274" s="1">
        <v>220631</v>
      </c>
      <c r="B1274" s="1" t="s">
        <v>1343</v>
      </c>
      <c r="C1274" s="1" t="s">
        <v>163</v>
      </c>
      <c r="D1274" s="1">
        <v>0.62590000000000001</v>
      </c>
      <c r="E1274" s="1">
        <v>1572</v>
      </c>
      <c r="F1274" s="1">
        <v>26938</v>
      </c>
      <c r="G1274" s="1">
        <v>0.49659999999999999</v>
      </c>
      <c r="H1274" s="1">
        <v>0.7167</v>
      </c>
      <c r="I1274" s="1">
        <v>0.37130000000000002</v>
      </c>
      <c r="J1274" s="1">
        <v>49956</v>
      </c>
      <c r="K1274" s="1">
        <v>20000</v>
      </c>
      <c r="L1274" s="1">
        <v>7938</v>
      </c>
      <c r="M1274" s="1">
        <v>10</v>
      </c>
      <c r="N1274" s="1" t="s">
        <v>20</v>
      </c>
      <c r="O1274" s="1" t="s">
        <v>42</v>
      </c>
      <c r="P1274" s="1" t="s">
        <v>30</v>
      </c>
      <c r="Q1274" s="1" t="s">
        <v>31</v>
      </c>
      <c r="R1274">
        <v>0.10628269953715563</v>
      </c>
    </row>
    <row r="1275" spans="1:18" x14ac:dyDescent="0.2">
      <c r="A1275" s="1">
        <v>167394</v>
      </c>
      <c r="B1275" s="1" t="s">
        <v>1344</v>
      </c>
      <c r="C1275" s="1" t="s">
        <v>129</v>
      </c>
      <c r="D1275" s="1">
        <v>0.85260000000000002</v>
      </c>
      <c r="E1275" s="1">
        <v>949</v>
      </c>
      <c r="F1275" s="1">
        <v>43325</v>
      </c>
      <c r="G1275" s="1">
        <v>0.68089999999999995</v>
      </c>
      <c r="H1275" s="1">
        <v>0.76019999999999999</v>
      </c>
      <c r="I1275" s="1">
        <v>0.45090000000000002</v>
      </c>
      <c r="J1275" s="1">
        <v>51540</v>
      </c>
      <c r="K1275" s="1">
        <v>25000</v>
      </c>
      <c r="L1275" s="1">
        <v>7693</v>
      </c>
      <c r="M1275" s="1">
        <v>11</v>
      </c>
      <c r="N1275" s="1" t="s">
        <v>20</v>
      </c>
      <c r="O1275" s="1" t="s">
        <v>21</v>
      </c>
      <c r="P1275" s="1" t="s">
        <v>39</v>
      </c>
      <c r="Q1275" s="1" t="s">
        <v>23</v>
      </c>
      <c r="R1275">
        <v>0.10616935989610854</v>
      </c>
    </row>
    <row r="1276" spans="1:18" x14ac:dyDescent="0.2">
      <c r="A1276" s="1">
        <v>204024</v>
      </c>
      <c r="B1276" s="1" t="s">
        <v>1345</v>
      </c>
      <c r="C1276" s="1" t="s">
        <v>19</v>
      </c>
      <c r="D1276" s="1">
        <v>0.754</v>
      </c>
      <c r="E1276" s="1">
        <v>16656</v>
      </c>
      <c r="F1276" s="1">
        <v>41221</v>
      </c>
      <c r="G1276" s="1">
        <v>0.79790000000000005</v>
      </c>
      <c r="H1276" s="1">
        <v>0.90139999999999998</v>
      </c>
      <c r="I1276" s="1">
        <v>0.12590000000000001</v>
      </c>
      <c r="J1276" s="1">
        <v>55076</v>
      </c>
      <c r="K1276" s="1">
        <v>23000</v>
      </c>
      <c r="L1276" s="1">
        <v>10834</v>
      </c>
      <c r="M1276" s="1">
        <v>16</v>
      </c>
      <c r="N1276" s="1" t="s">
        <v>28</v>
      </c>
      <c r="O1276" s="1" t="s">
        <v>42</v>
      </c>
      <c r="P1276" s="1" t="s">
        <v>22</v>
      </c>
      <c r="Q1276" s="1" t="s">
        <v>23</v>
      </c>
      <c r="R1276">
        <v>0.10551877130591691</v>
      </c>
    </row>
    <row r="1277" spans="1:18" x14ac:dyDescent="0.2">
      <c r="A1277" s="1">
        <v>155520</v>
      </c>
      <c r="B1277" s="1" t="s">
        <v>1346</v>
      </c>
      <c r="C1277" s="1" t="s">
        <v>56</v>
      </c>
      <c r="D1277" s="1">
        <v>0.78800000000000003</v>
      </c>
      <c r="E1277" s="1">
        <v>983</v>
      </c>
      <c r="F1277" s="1">
        <v>37174</v>
      </c>
      <c r="G1277" s="1">
        <v>0.53610000000000002</v>
      </c>
      <c r="H1277" s="1">
        <v>0.6986</v>
      </c>
      <c r="I1277" s="1">
        <v>0.31219999999999998</v>
      </c>
      <c r="J1277" s="1">
        <v>62972</v>
      </c>
      <c r="K1277" s="1">
        <v>15000</v>
      </c>
      <c r="L1277" s="1">
        <v>6477</v>
      </c>
      <c r="M1277" s="1">
        <v>11</v>
      </c>
      <c r="N1277" s="1" t="s">
        <v>20</v>
      </c>
      <c r="O1277" s="1" t="s">
        <v>21</v>
      </c>
      <c r="P1277" s="1" t="s">
        <v>22</v>
      </c>
      <c r="Q1277" s="1" t="s">
        <v>23</v>
      </c>
      <c r="R1277">
        <v>0.10488336663448661</v>
      </c>
    </row>
    <row r="1278" spans="1:18" x14ac:dyDescent="0.2">
      <c r="A1278" s="1">
        <v>167783</v>
      </c>
      <c r="B1278" s="1" t="s">
        <v>1347</v>
      </c>
      <c r="C1278" s="1" t="s">
        <v>129</v>
      </c>
      <c r="D1278" s="1">
        <v>0.69979999999999998</v>
      </c>
      <c r="E1278" s="1">
        <v>1670</v>
      </c>
      <c r="F1278" s="1">
        <v>46874</v>
      </c>
      <c r="G1278" s="1">
        <v>0.72340000000000004</v>
      </c>
      <c r="H1278" s="1">
        <v>0.84809999999999997</v>
      </c>
      <c r="I1278" s="1">
        <v>0.33179999999999998</v>
      </c>
      <c r="J1278" s="1">
        <v>63494</v>
      </c>
      <c r="K1278" s="1">
        <v>24840</v>
      </c>
      <c r="L1278" s="1">
        <v>8463</v>
      </c>
      <c r="M1278" s="1">
        <v>9</v>
      </c>
      <c r="N1278" s="1" t="s">
        <v>20</v>
      </c>
      <c r="O1278" s="1" t="s">
        <v>29</v>
      </c>
      <c r="P1278" s="1" t="s">
        <v>39</v>
      </c>
      <c r="Q1278" s="1" t="s">
        <v>23</v>
      </c>
      <c r="R1278">
        <v>0.10330138259846977</v>
      </c>
    </row>
    <row r="1279" spans="1:18" x14ac:dyDescent="0.2">
      <c r="A1279" s="1">
        <v>218645</v>
      </c>
      <c r="B1279" s="1" t="s">
        <v>1348</v>
      </c>
      <c r="C1279" s="1" t="s">
        <v>155</v>
      </c>
      <c r="D1279" s="1">
        <v>0.78539999999999999</v>
      </c>
      <c r="E1279" s="1">
        <v>2962</v>
      </c>
      <c r="F1279" s="1">
        <v>21218</v>
      </c>
      <c r="G1279" s="1">
        <v>0.39850000000000002</v>
      </c>
      <c r="H1279" s="1">
        <v>0.66779999999999995</v>
      </c>
      <c r="I1279" s="1">
        <v>0.39240000000000003</v>
      </c>
      <c r="J1279" s="1">
        <v>45603</v>
      </c>
      <c r="K1279" s="1">
        <v>24275</v>
      </c>
      <c r="L1279" s="1">
        <v>8537</v>
      </c>
      <c r="M1279" s="1">
        <v>16</v>
      </c>
      <c r="N1279" s="1" t="s">
        <v>28</v>
      </c>
      <c r="O1279" s="1" t="s">
        <v>21</v>
      </c>
      <c r="P1279" s="1" t="s">
        <v>30</v>
      </c>
      <c r="Q1279" s="1" t="s">
        <v>31</v>
      </c>
      <c r="R1279">
        <v>0.10276110462539001</v>
      </c>
    </row>
    <row r="1280" spans="1:18" x14ac:dyDescent="0.2">
      <c r="A1280" s="1">
        <v>195003</v>
      </c>
      <c r="B1280" s="1" t="s">
        <v>1349</v>
      </c>
      <c r="C1280" s="1" t="s">
        <v>58</v>
      </c>
      <c r="D1280" s="1">
        <v>0.66930000000000001</v>
      </c>
      <c r="E1280" s="1">
        <v>13215</v>
      </c>
      <c r="F1280" s="1">
        <v>59274</v>
      </c>
      <c r="G1280" s="1">
        <v>0.69889999999999997</v>
      </c>
      <c r="H1280" s="1">
        <v>0.88790000000000002</v>
      </c>
      <c r="I1280" s="1">
        <v>0.27239999999999998</v>
      </c>
      <c r="J1280" s="1">
        <v>76571</v>
      </c>
      <c r="K1280" s="1">
        <v>26778</v>
      </c>
      <c r="L1280" s="1">
        <v>11525</v>
      </c>
      <c r="M1280" s="1">
        <v>13</v>
      </c>
      <c r="N1280" s="1" t="s">
        <v>20</v>
      </c>
      <c r="O1280" s="1" t="s">
        <v>21</v>
      </c>
      <c r="P1280" s="1" t="s">
        <v>39</v>
      </c>
      <c r="Q1280" s="1" t="s">
        <v>23</v>
      </c>
      <c r="R1280">
        <v>0.10065013696866443</v>
      </c>
    </row>
    <row r="1281" spans="1:18" x14ac:dyDescent="0.2">
      <c r="A1281" s="1">
        <v>105330</v>
      </c>
      <c r="B1281" s="1" t="s">
        <v>1350</v>
      </c>
      <c r="C1281" s="1" t="s">
        <v>216</v>
      </c>
      <c r="D1281" s="1">
        <v>0.89610000000000001</v>
      </c>
      <c r="E1281" s="1">
        <v>22903</v>
      </c>
      <c r="F1281" s="1">
        <v>29881</v>
      </c>
      <c r="G1281" s="1">
        <v>0.61319999999999997</v>
      </c>
      <c r="H1281" s="1">
        <v>0.75480000000000003</v>
      </c>
      <c r="I1281" s="1">
        <v>0.31259999999999999</v>
      </c>
      <c r="J1281" s="1">
        <v>54384</v>
      </c>
      <c r="K1281" s="1">
        <v>19000</v>
      </c>
      <c r="L1281" s="1">
        <v>9847</v>
      </c>
      <c r="M1281" s="1">
        <v>19</v>
      </c>
      <c r="N1281" s="1" t="s">
        <v>28</v>
      </c>
      <c r="O1281" s="1" t="s">
        <v>29</v>
      </c>
      <c r="P1281" s="1" t="s">
        <v>22</v>
      </c>
      <c r="Q1281" s="1" t="s">
        <v>23</v>
      </c>
      <c r="R1281">
        <v>0.10048933964258078</v>
      </c>
    </row>
    <row r="1282" spans="1:18" x14ac:dyDescent="0.2">
      <c r="A1282" s="1">
        <v>181002</v>
      </c>
      <c r="B1282" s="1" t="s">
        <v>1351</v>
      </c>
      <c r="C1282" s="1" t="s">
        <v>221</v>
      </c>
      <c r="D1282" s="1">
        <v>0.79749999999999999</v>
      </c>
      <c r="E1282" s="1">
        <v>4348</v>
      </c>
      <c r="F1282" s="1">
        <v>48856</v>
      </c>
      <c r="G1282" s="1">
        <v>0.83360000000000001</v>
      </c>
      <c r="H1282" s="1">
        <v>0.9415</v>
      </c>
      <c r="I1282" s="1">
        <v>0.1152</v>
      </c>
      <c r="J1282" s="1">
        <v>73911</v>
      </c>
      <c r="K1282" s="1">
        <v>25000</v>
      </c>
      <c r="L1282" s="1">
        <v>10809</v>
      </c>
      <c r="M1282" s="1">
        <v>11</v>
      </c>
      <c r="N1282" s="1" t="s">
        <v>20</v>
      </c>
      <c r="O1282" s="1" t="s">
        <v>29</v>
      </c>
      <c r="P1282" s="1" t="s">
        <v>22</v>
      </c>
      <c r="Q1282" s="1" t="s">
        <v>23</v>
      </c>
      <c r="R1282">
        <v>9.9404404640100363E-2</v>
      </c>
    </row>
    <row r="1283" spans="1:18" x14ac:dyDescent="0.2">
      <c r="A1283" s="1">
        <v>190655</v>
      </c>
      <c r="B1283" s="1" t="s">
        <v>1352</v>
      </c>
      <c r="C1283" s="1" t="s">
        <v>58</v>
      </c>
      <c r="D1283" s="1">
        <v>0.80289999999999995</v>
      </c>
      <c r="E1283" s="1">
        <v>13580</v>
      </c>
      <c r="F1283" s="1">
        <v>15282</v>
      </c>
      <c r="G1283" s="1">
        <v>0.2147</v>
      </c>
      <c r="H1283" s="1">
        <v>0.64870000000000005</v>
      </c>
      <c r="I1283" s="1">
        <v>0.55069999999999997</v>
      </c>
      <c r="J1283" s="1">
        <v>49365</v>
      </c>
      <c r="K1283" s="1">
        <v>10533</v>
      </c>
      <c r="L1283" s="1">
        <v>12016</v>
      </c>
      <c r="M1283" s="1">
        <v>16</v>
      </c>
      <c r="N1283" s="1" t="s">
        <v>28</v>
      </c>
      <c r="O1283" s="1" t="s">
        <v>29</v>
      </c>
      <c r="P1283" s="1" t="s">
        <v>39</v>
      </c>
      <c r="Q1283" s="1" t="s">
        <v>31</v>
      </c>
      <c r="R1283">
        <v>9.9304821294500911E-2</v>
      </c>
    </row>
    <row r="1284" spans="1:18" x14ac:dyDescent="0.2">
      <c r="A1284" s="1">
        <v>174358</v>
      </c>
      <c r="B1284" s="1" t="s">
        <v>1353</v>
      </c>
      <c r="C1284" s="1" t="s">
        <v>54</v>
      </c>
      <c r="D1284" s="1">
        <v>0.58760000000000001</v>
      </c>
      <c r="E1284" s="1">
        <v>3072</v>
      </c>
      <c r="F1284" s="1">
        <v>10428</v>
      </c>
      <c r="G1284" s="1">
        <v>0.57320000000000004</v>
      </c>
      <c r="H1284" s="1">
        <v>0.74960000000000004</v>
      </c>
      <c r="I1284" s="1">
        <v>0.27950000000000003</v>
      </c>
      <c r="J1284" s="1">
        <v>50527</v>
      </c>
      <c r="K1284" s="1">
        <v>20000</v>
      </c>
      <c r="L1284" s="1">
        <v>10729</v>
      </c>
      <c r="M1284" s="1">
        <v>17</v>
      </c>
      <c r="N1284" s="1" t="s">
        <v>28</v>
      </c>
      <c r="O1284" s="1" t="s">
        <v>21</v>
      </c>
      <c r="P1284" s="1" t="s">
        <v>22</v>
      </c>
      <c r="Q1284" s="1" t="s">
        <v>23</v>
      </c>
      <c r="R1284">
        <v>9.9246033803789491E-2</v>
      </c>
    </row>
    <row r="1285" spans="1:18" x14ac:dyDescent="0.2">
      <c r="A1285" s="1">
        <v>199607</v>
      </c>
      <c r="B1285" s="1" t="s">
        <v>1354</v>
      </c>
      <c r="C1285" s="1" t="s">
        <v>86</v>
      </c>
      <c r="D1285" s="1">
        <v>0.76670000000000005</v>
      </c>
      <c r="E1285" s="1">
        <v>423</v>
      </c>
      <c r="F1285" s="1">
        <v>33848</v>
      </c>
      <c r="G1285" s="1">
        <v>0.57430000000000003</v>
      </c>
      <c r="H1285" s="1">
        <v>0.67530000000000001</v>
      </c>
      <c r="I1285" s="1">
        <v>0.55200000000000005</v>
      </c>
      <c r="J1285" s="1">
        <v>44640</v>
      </c>
      <c r="K1285" s="1">
        <v>26649</v>
      </c>
      <c r="L1285" s="1">
        <v>6493</v>
      </c>
      <c r="M1285" s="1">
        <v>9</v>
      </c>
      <c r="N1285" s="1" t="s">
        <v>20</v>
      </c>
      <c r="O1285" s="1" t="s">
        <v>29</v>
      </c>
      <c r="P1285" s="1" t="s">
        <v>30</v>
      </c>
      <c r="Q1285" s="1" t="s">
        <v>31</v>
      </c>
      <c r="R1285">
        <v>9.8547590301610866E-2</v>
      </c>
    </row>
    <row r="1286" spans="1:18" x14ac:dyDescent="0.2">
      <c r="A1286" s="1">
        <v>120883</v>
      </c>
      <c r="B1286" s="1" t="s">
        <v>1355</v>
      </c>
      <c r="C1286" s="1" t="s">
        <v>33</v>
      </c>
      <c r="D1286" s="1">
        <v>0.71319999999999995</v>
      </c>
      <c r="E1286" s="1">
        <v>3204</v>
      </c>
      <c r="F1286" s="1">
        <v>57080</v>
      </c>
      <c r="G1286" s="1">
        <v>0.6905</v>
      </c>
      <c r="H1286" s="1">
        <v>0.88460000000000005</v>
      </c>
      <c r="I1286" s="1">
        <v>0.36120000000000002</v>
      </c>
      <c r="J1286" s="1">
        <v>78445</v>
      </c>
      <c r="K1286" s="1">
        <v>19500</v>
      </c>
      <c r="L1286" s="1">
        <v>11952</v>
      </c>
      <c r="M1286" s="1">
        <v>13</v>
      </c>
      <c r="N1286" s="1" t="s">
        <v>20</v>
      </c>
      <c r="O1286" s="1" t="s">
        <v>29</v>
      </c>
      <c r="P1286" s="1" t="s">
        <v>22</v>
      </c>
      <c r="Q1286" s="1" t="s">
        <v>23</v>
      </c>
      <c r="R1286">
        <v>9.8401637434173073E-2</v>
      </c>
    </row>
    <row r="1287" spans="1:18" x14ac:dyDescent="0.2">
      <c r="A1287" s="1">
        <v>144050</v>
      </c>
      <c r="B1287" s="1" t="s">
        <v>1356</v>
      </c>
      <c r="C1287" s="1" t="s">
        <v>25</v>
      </c>
      <c r="D1287" s="1">
        <v>4.48E-2</v>
      </c>
      <c r="E1287" s="1">
        <v>7569</v>
      </c>
      <c r="F1287" s="1">
        <v>70662</v>
      </c>
      <c r="G1287" s="1">
        <v>0.95850000000000002</v>
      </c>
      <c r="H1287" s="1">
        <v>0.99260000000000004</v>
      </c>
      <c r="I1287" s="1">
        <v>0.15260000000000001</v>
      </c>
      <c r="J1287" s="1">
        <v>91885</v>
      </c>
      <c r="K1287" s="1">
        <v>15000</v>
      </c>
      <c r="L1287" s="1">
        <v>19806</v>
      </c>
      <c r="M1287" s="1">
        <v>5</v>
      </c>
      <c r="N1287" s="1" t="s">
        <v>20</v>
      </c>
      <c r="O1287" s="1" t="s">
        <v>29</v>
      </c>
      <c r="P1287" s="1" t="s">
        <v>22</v>
      </c>
      <c r="Q1287" s="1" t="s">
        <v>23</v>
      </c>
      <c r="R1287">
        <v>9.7326791305490934E-2</v>
      </c>
    </row>
    <row r="1288" spans="1:18" x14ac:dyDescent="0.2">
      <c r="A1288" s="1">
        <v>224545</v>
      </c>
      <c r="B1288" s="1" t="s">
        <v>1357</v>
      </c>
      <c r="C1288" s="1" t="s">
        <v>36</v>
      </c>
      <c r="D1288" s="1">
        <v>0.63539999999999996</v>
      </c>
      <c r="E1288" s="1">
        <v>1982</v>
      </c>
      <c r="F1288" s="1">
        <v>45080</v>
      </c>
      <c r="G1288" s="1">
        <v>0.29570000000000002</v>
      </c>
      <c r="H1288" s="1">
        <v>0.6371</v>
      </c>
      <c r="I1288" s="1">
        <v>0.52510000000000001</v>
      </c>
      <c r="J1288" s="1">
        <v>45515</v>
      </c>
      <c r="K1288" s="1">
        <v>18953</v>
      </c>
      <c r="L1288" s="1">
        <v>8835</v>
      </c>
      <c r="M1288" s="1">
        <v>14</v>
      </c>
      <c r="N1288" s="1" t="s">
        <v>28</v>
      </c>
      <c r="O1288" s="1" t="s">
        <v>29</v>
      </c>
      <c r="P1288" s="1" t="s">
        <v>30</v>
      </c>
      <c r="Q1288" s="1" t="s">
        <v>31</v>
      </c>
      <c r="R1288">
        <v>9.67691106887415E-2</v>
      </c>
    </row>
    <row r="1289" spans="1:18" x14ac:dyDescent="0.2">
      <c r="A1289" s="1">
        <v>229179</v>
      </c>
      <c r="B1289" s="1" t="s">
        <v>1358</v>
      </c>
      <c r="C1289" s="1" t="s">
        <v>36</v>
      </c>
      <c r="D1289" s="1">
        <v>0.96120000000000005</v>
      </c>
      <c r="E1289" s="1">
        <v>8767</v>
      </c>
      <c r="F1289" s="1">
        <v>18480</v>
      </c>
      <c r="G1289" s="1">
        <v>0.49059999999999998</v>
      </c>
      <c r="H1289" s="1">
        <v>0.69550000000000001</v>
      </c>
      <c r="I1289" s="1">
        <v>0.42009999999999997</v>
      </c>
      <c r="J1289" s="1">
        <v>56544</v>
      </c>
      <c r="K1289" s="1">
        <v>19218</v>
      </c>
      <c r="L1289" s="1">
        <v>9526</v>
      </c>
      <c r="M1289" s="1">
        <v>16</v>
      </c>
      <c r="N1289" s="1" t="s">
        <v>28</v>
      </c>
      <c r="O1289" s="1" t="s">
        <v>29</v>
      </c>
      <c r="P1289" s="1" t="s">
        <v>30</v>
      </c>
      <c r="Q1289" s="1" t="s">
        <v>23</v>
      </c>
      <c r="R1289">
        <v>9.6317945360523849E-2</v>
      </c>
    </row>
    <row r="1290" spans="1:18" x14ac:dyDescent="0.2">
      <c r="A1290" s="1">
        <v>182281</v>
      </c>
      <c r="B1290" s="1" t="s">
        <v>1359</v>
      </c>
      <c r="C1290" s="1" t="s">
        <v>336</v>
      </c>
      <c r="D1290" s="1">
        <v>0.9617</v>
      </c>
      <c r="E1290" s="1">
        <v>24622</v>
      </c>
      <c r="F1290" s="1">
        <v>27411</v>
      </c>
      <c r="G1290" s="1">
        <v>0.50509999999999999</v>
      </c>
      <c r="H1290" s="1">
        <v>0.79220000000000002</v>
      </c>
      <c r="I1290" s="1">
        <v>0.40100000000000002</v>
      </c>
      <c r="J1290" s="1">
        <v>55037</v>
      </c>
      <c r="K1290" s="1">
        <v>19450</v>
      </c>
      <c r="L1290" s="1">
        <v>13197</v>
      </c>
      <c r="M1290" s="1">
        <v>19</v>
      </c>
      <c r="N1290" s="1" t="s">
        <v>28</v>
      </c>
      <c r="O1290" s="1" t="s">
        <v>29</v>
      </c>
      <c r="P1290" s="1" t="s">
        <v>22</v>
      </c>
      <c r="Q1290" s="1" t="s">
        <v>23</v>
      </c>
      <c r="R1290">
        <v>9.6189393029944448E-2</v>
      </c>
    </row>
    <row r="1291" spans="1:18" x14ac:dyDescent="0.2">
      <c r="A1291" s="1">
        <v>107080</v>
      </c>
      <c r="B1291" s="1" t="s">
        <v>1360</v>
      </c>
      <c r="C1291" s="1" t="s">
        <v>70</v>
      </c>
      <c r="D1291" s="1">
        <v>0.55649999999999999</v>
      </c>
      <c r="E1291" s="1">
        <v>1100</v>
      </c>
      <c r="F1291" s="1">
        <v>38200</v>
      </c>
      <c r="G1291" s="1">
        <v>0.72350000000000003</v>
      </c>
      <c r="H1291" s="1">
        <v>0.7964</v>
      </c>
      <c r="I1291" s="1">
        <v>0.2319</v>
      </c>
      <c r="J1291" s="1">
        <v>60376</v>
      </c>
      <c r="K1291" s="1">
        <v>26688</v>
      </c>
      <c r="L1291" s="1">
        <v>8185</v>
      </c>
      <c r="M1291" s="1">
        <v>11</v>
      </c>
      <c r="N1291" s="1" t="s">
        <v>20</v>
      </c>
      <c r="O1291" s="1" t="s">
        <v>29</v>
      </c>
      <c r="P1291" s="1" t="s">
        <v>30</v>
      </c>
      <c r="Q1291" s="1" t="s">
        <v>23</v>
      </c>
      <c r="R1291">
        <v>9.394300959997981E-2</v>
      </c>
    </row>
    <row r="1292" spans="1:18" x14ac:dyDescent="0.2">
      <c r="A1292" s="1">
        <v>209065</v>
      </c>
      <c r="B1292" s="1" t="s">
        <v>1361</v>
      </c>
      <c r="C1292" s="1" t="s">
        <v>79</v>
      </c>
      <c r="D1292" s="1">
        <v>0.85170000000000001</v>
      </c>
      <c r="E1292" s="1">
        <v>1621</v>
      </c>
      <c r="F1292" s="1">
        <v>50850</v>
      </c>
      <c r="G1292" s="1">
        <v>0.7046</v>
      </c>
      <c r="H1292" s="1">
        <v>0.79710000000000003</v>
      </c>
      <c r="I1292" s="1">
        <v>0.30330000000000001</v>
      </c>
      <c r="J1292" s="1">
        <v>78638</v>
      </c>
      <c r="K1292" s="1">
        <v>25000</v>
      </c>
      <c r="L1292" s="1">
        <v>7672</v>
      </c>
      <c r="M1292" s="1">
        <v>10</v>
      </c>
      <c r="N1292" s="1" t="s">
        <v>20</v>
      </c>
      <c r="O1292" s="1" t="s">
        <v>42</v>
      </c>
      <c r="P1292" s="1" t="s">
        <v>22</v>
      </c>
      <c r="Q1292" s="1" t="s">
        <v>23</v>
      </c>
      <c r="R1292">
        <v>9.2975099112752368E-2</v>
      </c>
    </row>
    <row r="1293" spans="1:18" x14ac:dyDescent="0.2">
      <c r="A1293" s="1">
        <v>174020</v>
      </c>
      <c r="B1293" s="1" t="s">
        <v>1362</v>
      </c>
      <c r="C1293" s="1" t="s">
        <v>54</v>
      </c>
      <c r="D1293" s="1">
        <v>0.98709999999999998</v>
      </c>
      <c r="E1293" s="1">
        <v>5616</v>
      </c>
      <c r="F1293" s="1">
        <v>9840</v>
      </c>
      <c r="G1293" s="1">
        <v>0.43569999999999998</v>
      </c>
      <c r="H1293" s="1">
        <v>0.6754</v>
      </c>
      <c r="I1293" s="1">
        <v>0.47549999999999998</v>
      </c>
      <c r="J1293" s="1">
        <v>64705</v>
      </c>
      <c r="K1293" s="1">
        <v>17100</v>
      </c>
      <c r="L1293" s="1">
        <v>11336</v>
      </c>
      <c r="M1293" s="1">
        <v>15</v>
      </c>
      <c r="N1293" s="1" t="s">
        <v>28</v>
      </c>
      <c r="O1293" s="1" t="s">
        <v>29</v>
      </c>
      <c r="P1293" s="1" t="s">
        <v>22</v>
      </c>
      <c r="Q1293" s="1" t="s">
        <v>23</v>
      </c>
      <c r="R1293">
        <v>9.2509520525429267E-2</v>
      </c>
    </row>
    <row r="1294" spans="1:18" x14ac:dyDescent="0.2">
      <c r="A1294" s="1">
        <v>128391</v>
      </c>
      <c r="B1294" s="1" t="s">
        <v>1363</v>
      </c>
      <c r="C1294" s="1" t="s">
        <v>161</v>
      </c>
      <c r="D1294" s="1">
        <v>0.99709999999999999</v>
      </c>
      <c r="E1294" s="1">
        <v>1586</v>
      </c>
      <c r="F1294" s="1">
        <v>24434</v>
      </c>
      <c r="G1294" s="1">
        <v>0.505</v>
      </c>
      <c r="H1294" s="1">
        <v>0.7238</v>
      </c>
      <c r="I1294" s="1">
        <v>0.1202</v>
      </c>
      <c r="J1294" s="1">
        <v>46833</v>
      </c>
      <c r="K1294" s="1">
        <v>20250</v>
      </c>
      <c r="L1294" s="1">
        <v>7628</v>
      </c>
      <c r="M1294" s="1">
        <v>17</v>
      </c>
      <c r="N1294" s="1" t="s">
        <v>28</v>
      </c>
      <c r="O1294" s="1" t="s">
        <v>42</v>
      </c>
      <c r="P1294" s="1" t="s">
        <v>22</v>
      </c>
      <c r="Q1294" s="1" t="s">
        <v>31</v>
      </c>
      <c r="R1294">
        <v>9.2429883774136745E-2</v>
      </c>
    </row>
    <row r="1295" spans="1:18" x14ac:dyDescent="0.2">
      <c r="A1295" s="1">
        <v>140951</v>
      </c>
      <c r="B1295" s="1" t="s">
        <v>1364</v>
      </c>
      <c r="C1295" s="1" t="s">
        <v>126</v>
      </c>
      <c r="D1295" s="1">
        <v>0.82979999999999998</v>
      </c>
      <c r="E1295" s="1">
        <v>15243</v>
      </c>
      <c r="F1295" s="1">
        <v>41630</v>
      </c>
      <c r="G1295" s="1">
        <v>0.69410000000000005</v>
      </c>
      <c r="H1295" s="1">
        <v>0.86329999999999996</v>
      </c>
      <c r="I1295" s="1">
        <v>0.18820000000000001</v>
      </c>
      <c r="J1295" s="1">
        <v>45954</v>
      </c>
      <c r="K1295" s="1">
        <v>25148</v>
      </c>
      <c r="L1295" s="1">
        <v>10950</v>
      </c>
      <c r="M1295" s="1">
        <v>21</v>
      </c>
      <c r="N1295" s="1" t="s">
        <v>20</v>
      </c>
      <c r="O1295" s="1" t="s">
        <v>29</v>
      </c>
      <c r="P1295" s="1" t="s">
        <v>30</v>
      </c>
      <c r="Q1295" s="1" t="s">
        <v>31</v>
      </c>
      <c r="R1295">
        <v>9.2192110901444746E-2</v>
      </c>
    </row>
    <row r="1296" spans="1:18" x14ac:dyDescent="0.2">
      <c r="A1296" s="1">
        <v>446385</v>
      </c>
      <c r="B1296" s="1" t="s">
        <v>1365</v>
      </c>
      <c r="C1296" s="1" t="s">
        <v>33</v>
      </c>
      <c r="D1296" s="1">
        <v>0.87709999999999999</v>
      </c>
      <c r="E1296" s="1">
        <v>227</v>
      </c>
      <c r="F1296" s="1">
        <v>30540</v>
      </c>
      <c r="G1296" s="1">
        <v>0.41270000000000001</v>
      </c>
      <c r="H1296" s="1">
        <v>0.6129</v>
      </c>
      <c r="I1296" s="1">
        <v>0.20219999999999999</v>
      </c>
      <c r="J1296" s="1">
        <v>31758</v>
      </c>
      <c r="K1296" s="1">
        <v>27938</v>
      </c>
      <c r="L1296" s="1">
        <v>5308</v>
      </c>
      <c r="M1296" s="1">
        <v>3</v>
      </c>
      <c r="N1296" s="1" t="s">
        <v>142</v>
      </c>
      <c r="O1296" s="1" t="s">
        <v>29</v>
      </c>
      <c r="P1296" s="1" t="s">
        <v>22</v>
      </c>
      <c r="Q1296" s="1" t="s">
        <v>31</v>
      </c>
      <c r="R1296">
        <v>9.2095557158330843E-2</v>
      </c>
    </row>
    <row r="1297" spans="1:18" x14ac:dyDescent="0.2">
      <c r="A1297" s="1">
        <v>168148</v>
      </c>
      <c r="B1297" s="1" t="s">
        <v>1366</v>
      </c>
      <c r="C1297" s="1" t="s">
        <v>129</v>
      </c>
      <c r="D1297" s="1">
        <v>0.1149</v>
      </c>
      <c r="E1297" s="1">
        <v>7061</v>
      </c>
      <c r="F1297" s="1">
        <v>70704</v>
      </c>
      <c r="G1297" s="1">
        <v>0.93510000000000004</v>
      </c>
      <c r="H1297" s="1">
        <v>0.95499999999999996</v>
      </c>
      <c r="I1297" s="1">
        <v>0.12039999999999999</v>
      </c>
      <c r="J1297" s="1">
        <v>83214</v>
      </c>
      <c r="K1297" s="1">
        <v>16250</v>
      </c>
      <c r="L1297" s="1">
        <v>14205</v>
      </c>
      <c r="M1297" s="1">
        <v>10</v>
      </c>
      <c r="N1297" s="1" t="s">
        <v>20</v>
      </c>
      <c r="O1297" s="1" t="s">
        <v>21</v>
      </c>
      <c r="P1297" s="1" t="s">
        <v>39</v>
      </c>
      <c r="Q1297" s="1" t="s">
        <v>23</v>
      </c>
      <c r="R1297">
        <v>9.1864112968210176E-2</v>
      </c>
    </row>
    <row r="1298" spans="1:18" x14ac:dyDescent="0.2">
      <c r="A1298" s="1">
        <v>181604</v>
      </c>
      <c r="B1298" s="1" t="s">
        <v>1367</v>
      </c>
      <c r="C1298" s="1" t="s">
        <v>221</v>
      </c>
      <c r="D1298" s="1">
        <v>0.44650000000000001</v>
      </c>
      <c r="E1298" s="1">
        <v>445</v>
      </c>
      <c r="F1298" s="1">
        <v>24510</v>
      </c>
      <c r="G1298" s="1">
        <v>0.60499999999999998</v>
      </c>
      <c r="H1298" s="1">
        <v>0.79779999999999995</v>
      </c>
      <c r="I1298" s="1">
        <v>0.38800000000000001</v>
      </c>
      <c r="J1298" s="1">
        <v>54338</v>
      </c>
      <c r="K1298" s="1">
        <v>24250</v>
      </c>
      <c r="L1298" s="1">
        <v>7807</v>
      </c>
      <c r="M1298" s="1">
        <v>8</v>
      </c>
      <c r="N1298" s="1" t="s">
        <v>20</v>
      </c>
      <c r="O1298" s="1" t="s">
        <v>29</v>
      </c>
      <c r="P1298" s="1" t="s">
        <v>22</v>
      </c>
      <c r="Q1298" s="1" t="s">
        <v>23</v>
      </c>
      <c r="R1298">
        <v>9.141633971772245E-2</v>
      </c>
    </row>
    <row r="1299" spans="1:18" x14ac:dyDescent="0.2">
      <c r="A1299" s="1">
        <v>446233</v>
      </c>
      <c r="B1299" s="1" t="s">
        <v>1368</v>
      </c>
      <c r="C1299" s="1" t="s">
        <v>70</v>
      </c>
      <c r="D1299" s="1">
        <v>0.73809999999999998</v>
      </c>
      <c r="E1299" s="1">
        <v>108</v>
      </c>
      <c r="F1299" s="1">
        <v>16850</v>
      </c>
      <c r="G1299" s="1">
        <v>0.4</v>
      </c>
      <c r="H1299" s="1">
        <v>0.4839</v>
      </c>
      <c r="I1299" s="1">
        <v>0.48549999999999999</v>
      </c>
      <c r="J1299" s="1">
        <v>40650</v>
      </c>
      <c r="K1299" s="1">
        <v>13019</v>
      </c>
      <c r="L1299" s="1">
        <v>1331</v>
      </c>
      <c r="M1299" s="1">
        <v>10</v>
      </c>
      <c r="N1299" s="1" t="s">
        <v>20</v>
      </c>
      <c r="O1299" s="1" t="s">
        <v>42</v>
      </c>
      <c r="P1299" s="1" t="s">
        <v>30</v>
      </c>
      <c r="Q1299" s="1" t="s">
        <v>31</v>
      </c>
      <c r="R1299">
        <v>9.0667024294113552E-2</v>
      </c>
    </row>
    <row r="1300" spans="1:18" x14ac:dyDescent="0.2">
      <c r="A1300" s="1">
        <v>154235</v>
      </c>
      <c r="B1300" s="1" t="s">
        <v>1369</v>
      </c>
      <c r="C1300" s="1" t="s">
        <v>81</v>
      </c>
      <c r="D1300" s="1">
        <v>0.77329999999999999</v>
      </c>
      <c r="E1300" s="1">
        <v>1916</v>
      </c>
      <c r="F1300" s="1">
        <v>36658</v>
      </c>
      <c r="G1300" s="1">
        <v>0.61029999999999995</v>
      </c>
      <c r="H1300" s="1">
        <v>0.75770000000000004</v>
      </c>
      <c r="I1300" s="1">
        <v>0.3155</v>
      </c>
      <c r="J1300" s="1">
        <v>59531</v>
      </c>
      <c r="K1300" s="1">
        <v>25000</v>
      </c>
      <c r="L1300" s="1">
        <v>7663</v>
      </c>
      <c r="M1300" s="1">
        <v>11</v>
      </c>
      <c r="N1300" s="1" t="s">
        <v>20</v>
      </c>
      <c r="O1300" s="1" t="s">
        <v>29</v>
      </c>
      <c r="P1300" s="1" t="s">
        <v>22</v>
      </c>
      <c r="Q1300" s="1" t="s">
        <v>23</v>
      </c>
      <c r="R1300">
        <v>8.9468146456686326E-2</v>
      </c>
    </row>
    <row r="1301" spans="1:18" x14ac:dyDescent="0.2">
      <c r="A1301" s="1">
        <v>239071</v>
      </c>
      <c r="B1301" s="1" t="s">
        <v>1370</v>
      </c>
      <c r="C1301" s="1" t="s">
        <v>50</v>
      </c>
      <c r="D1301" s="1">
        <v>0.71899999999999997</v>
      </c>
      <c r="E1301" s="1">
        <v>541</v>
      </c>
      <c r="F1301" s="1">
        <v>21550</v>
      </c>
      <c r="G1301" s="1">
        <v>0.63570000000000004</v>
      </c>
      <c r="H1301" s="1">
        <v>0.88239999999999996</v>
      </c>
      <c r="I1301" s="1">
        <v>0.33989999999999998</v>
      </c>
      <c r="J1301" s="1">
        <v>45593</v>
      </c>
      <c r="K1301" s="1">
        <v>14143</v>
      </c>
      <c r="L1301" s="1">
        <v>4049</v>
      </c>
      <c r="M1301" s="1">
        <v>11</v>
      </c>
      <c r="N1301" s="1" t="s">
        <v>20</v>
      </c>
      <c r="O1301" s="1" t="s">
        <v>42</v>
      </c>
      <c r="P1301" s="1" t="s">
        <v>22</v>
      </c>
      <c r="Q1301" s="1" t="s">
        <v>31</v>
      </c>
      <c r="R1301">
        <v>8.8291061200468701E-2</v>
      </c>
    </row>
    <row r="1302" spans="1:18" x14ac:dyDescent="0.2">
      <c r="A1302" s="1">
        <v>195243</v>
      </c>
      <c r="B1302" s="1" t="s">
        <v>1371</v>
      </c>
      <c r="C1302" s="1" t="s">
        <v>58</v>
      </c>
      <c r="D1302" s="1">
        <v>0.93049999999999999</v>
      </c>
      <c r="E1302" s="1">
        <v>972</v>
      </c>
      <c r="F1302" s="1">
        <v>39450</v>
      </c>
      <c r="G1302" s="1">
        <v>0.54039999999999999</v>
      </c>
      <c r="H1302" s="1">
        <v>0.73360000000000003</v>
      </c>
      <c r="I1302" s="1">
        <v>0.2162</v>
      </c>
      <c r="J1302" s="1">
        <v>62909</v>
      </c>
      <c r="K1302" s="1">
        <v>23198</v>
      </c>
      <c r="L1302" s="1">
        <v>9579</v>
      </c>
      <c r="M1302" s="1">
        <v>16</v>
      </c>
      <c r="N1302" s="1" t="s">
        <v>20</v>
      </c>
      <c r="O1302" s="1" t="s">
        <v>21</v>
      </c>
      <c r="P1302" s="1" t="s">
        <v>39</v>
      </c>
      <c r="Q1302" s="1" t="s">
        <v>23</v>
      </c>
      <c r="R1302">
        <v>8.7114524949423511E-2</v>
      </c>
    </row>
    <row r="1303" spans="1:18" x14ac:dyDescent="0.2">
      <c r="A1303" s="1">
        <v>186283</v>
      </c>
      <c r="B1303" s="1" t="s">
        <v>1372</v>
      </c>
      <c r="C1303" s="1" t="s">
        <v>66</v>
      </c>
      <c r="D1303" s="1">
        <v>0.78639999999999999</v>
      </c>
      <c r="E1303" s="1">
        <v>3106</v>
      </c>
      <c r="F1303" s="1">
        <v>41120</v>
      </c>
      <c r="G1303" s="1">
        <v>0.61329999999999996</v>
      </c>
      <c r="H1303" s="1">
        <v>0.78359999999999996</v>
      </c>
      <c r="I1303" s="1">
        <v>0.3473</v>
      </c>
      <c r="J1303" s="1">
        <v>62208</v>
      </c>
      <c r="K1303" s="1">
        <v>26130</v>
      </c>
      <c r="L1303" s="1">
        <v>11615</v>
      </c>
      <c r="M1303" s="1">
        <v>14</v>
      </c>
      <c r="N1303" s="1" t="s">
        <v>20</v>
      </c>
      <c r="O1303" s="1" t="s">
        <v>21</v>
      </c>
      <c r="P1303" s="1" t="s">
        <v>39</v>
      </c>
      <c r="Q1303" s="1" t="s">
        <v>23</v>
      </c>
      <c r="R1303">
        <v>8.5924464765678388E-2</v>
      </c>
    </row>
    <row r="1304" spans="1:18" x14ac:dyDescent="0.2">
      <c r="A1304" s="1">
        <v>215655</v>
      </c>
      <c r="B1304" s="1" t="s">
        <v>1373</v>
      </c>
      <c r="C1304" s="1" t="s">
        <v>98</v>
      </c>
      <c r="D1304" s="1">
        <v>0.89890000000000003</v>
      </c>
      <c r="E1304" s="1">
        <v>2896</v>
      </c>
      <c r="F1304" s="1">
        <v>35970</v>
      </c>
      <c r="G1304" s="1">
        <v>0.65690000000000004</v>
      </c>
      <c r="H1304" s="1">
        <v>0.83199999999999996</v>
      </c>
      <c r="I1304" s="1">
        <v>0.23300000000000001</v>
      </c>
      <c r="J1304" s="1">
        <v>62105</v>
      </c>
      <c r="K1304" s="1">
        <v>26950</v>
      </c>
      <c r="L1304" s="1">
        <v>13576</v>
      </c>
      <c r="M1304" s="1">
        <v>14</v>
      </c>
      <c r="N1304" s="1" t="s">
        <v>20</v>
      </c>
      <c r="O1304" s="1" t="s">
        <v>21</v>
      </c>
      <c r="P1304" s="1" t="s">
        <v>39</v>
      </c>
      <c r="Q1304" s="1" t="s">
        <v>23</v>
      </c>
      <c r="R1304">
        <v>8.4440496847333124E-2</v>
      </c>
    </row>
    <row r="1305" spans="1:18" x14ac:dyDescent="0.2">
      <c r="A1305" s="1">
        <v>446048</v>
      </c>
      <c r="B1305" s="1" t="s">
        <v>1374</v>
      </c>
      <c r="C1305" s="1" t="s">
        <v>27</v>
      </c>
      <c r="D1305" s="1">
        <v>0.41389999999999999</v>
      </c>
      <c r="E1305" s="1">
        <v>1298</v>
      </c>
      <c r="F1305" s="1">
        <v>30198</v>
      </c>
      <c r="G1305" s="1">
        <v>0.53939999999999999</v>
      </c>
      <c r="H1305" s="1">
        <v>0.7893</v>
      </c>
      <c r="I1305" s="1">
        <v>0.2104</v>
      </c>
      <c r="J1305" s="1">
        <v>49520</v>
      </c>
      <c r="K1305" s="1">
        <v>20776</v>
      </c>
      <c r="L1305" s="1">
        <v>9091</v>
      </c>
      <c r="M1305" s="1">
        <v>17</v>
      </c>
      <c r="N1305" s="1" t="s">
        <v>20</v>
      </c>
      <c r="O1305" s="1" t="s">
        <v>42</v>
      </c>
      <c r="P1305" s="1" t="s">
        <v>30</v>
      </c>
      <c r="Q1305" s="1" t="s">
        <v>31</v>
      </c>
      <c r="R1305">
        <v>8.4274570131813054E-2</v>
      </c>
    </row>
    <row r="1306" spans="1:18" x14ac:dyDescent="0.2">
      <c r="A1306" s="1">
        <v>234076</v>
      </c>
      <c r="B1306" s="1" t="s">
        <v>1375</v>
      </c>
      <c r="C1306" s="1" t="s">
        <v>52</v>
      </c>
      <c r="D1306" s="1">
        <v>0.1681</v>
      </c>
      <c r="E1306" s="1">
        <v>17597</v>
      </c>
      <c r="F1306" s="1">
        <v>59512</v>
      </c>
      <c r="G1306" s="1">
        <v>0.95599999999999996</v>
      </c>
      <c r="H1306" s="1">
        <v>0.97550000000000003</v>
      </c>
      <c r="I1306" s="1">
        <v>0.1555</v>
      </c>
      <c r="J1306" s="1">
        <v>86863</v>
      </c>
      <c r="K1306" s="1">
        <v>17500</v>
      </c>
      <c r="L1306" s="1">
        <v>17428</v>
      </c>
      <c r="M1306" s="1">
        <v>15</v>
      </c>
      <c r="N1306" s="1" t="s">
        <v>28</v>
      </c>
      <c r="O1306" s="1" t="s">
        <v>21</v>
      </c>
      <c r="P1306" s="1" t="s">
        <v>30</v>
      </c>
      <c r="Q1306" s="1" t="s">
        <v>23</v>
      </c>
      <c r="R1306">
        <v>8.4194772214004066E-2</v>
      </c>
    </row>
    <row r="1307" spans="1:18" x14ac:dyDescent="0.2">
      <c r="A1307" s="1">
        <v>110495</v>
      </c>
      <c r="B1307" s="1" t="s">
        <v>1376</v>
      </c>
      <c r="C1307" s="1" t="s">
        <v>33</v>
      </c>
      <c r="D1307" s="1">
        <v>0.98140000000000005</v>
      </c>
      <c r="E1307" s="1">
        <v>8385</v>
      </c>
      <c r="F1307" s="1">
        <v>20846</v>
      </c>
      <c r="G1307" s="1">
        <v>0.53449999999999998</v>
      </c>
      <c r="H1307" s="1">
        <v>0.8246</v>
      </c>
      <c r="I1307" s="1">
        <v>0.55189999999999995</v>
      </c>
      <c r="J1307" s="1">
        <v>63188</v>
      </c>
      <c r="K1307" s="1">
        <v>13540</v>
      </c>
      <c r="L1307" s="1">
        <v>11926</v>
      </c>
      <c r="M1307" s="1">
        <v>18</v>
      </c>
      <c r="N1307" s="1" t="s">
        <v>28</v>
      </c>
      <c r="O1307" s="1" t="s">
        <v>21</v>
      </c>
      <c r="P1307" s="1" t="s">
        <v>22</v>
      </c>
      <c r="Q1307" s="1" t="s">
        <v>23</v>
      </c>
      <c r="R1307">
        <v>8.3983681401740284E-2</v>
      </c>
    </row>
    <row r="1308" spans="1:18" x14ac:dyDescent="0.2">
      <c r="A1308" s="1">
        <v>152673</v>
      </c>
      <c r="B1308" s="1" t="s">
        <v>1377</v>
      </c>
      <c r="C1308" s="1" t="s">
        <v>102</v>
      </c>
      <c r="D1308" s="1">
        <v>0.63300000000000001</v>
      </c>
      <c r="E1308" s="1">
        <v>866</v>
      </c>
      <c r="F1308" s="1">
        <v>50800</v>
      </c>
      <c r="G1308" s="1">
        <v>0.77010000000000001</v>
      </c>
      <c r="H1308" s="1">
        <v>0.92949999999999999</v>
      </c>
      <c r="I1308" s="1">
        <v>0.23669999999999999</v>
      </c>
      <c r="J1308" s="1">
        <v>69952</v>
      </c>
      <c r="K1308" s="1">
        <v>27000</v>
      </c>
      <c r="L1308" s="1">
        <v>9533</v>
      </c>
      <c r="M1308" s="1">
        <v>9</v>
      </c>
      <c r="N1308" s="1" t="s">
        <v>20</v>
      </c>
      <c r="O1308" s="1" t="s">
        <v>42</v>
      </c>
      <c r="P1308" s="1" t="s">
        <v>22</v>
      </c>
      <c r="Q1308" s="1" t="s">
        <v>23</v>
      </c>
      <c r="R1308">
        <v>8.378320674269446E-2</v>
      </c>
    </row>
    <row r="1309" spans="1:18" x14ac:dyDescent="0.2">
      <c r="A1309" s="1">
        <v>196246</v>
      </c>
      <c r="B1309" s="1" t="s">
        <v>1378</v>
      </c>
      <c r="C1309" s="1" t="s">
        <v>58</v>
      </c>
      <c r="D1309" s="1">
        <v>0.78410000000000002</v>
      </c>
      <c r="E1309" s="1">
        <v>3769</v>
      </c>
      <c r="F1309" s="1">
        <v>18945</v>
      </c>
      <c r="G1309" s="1">
        <v>0.58509999999999995</v>
      </c>
      <c r="H1309" s="1">
        <v>0.73199999999999998</v>
      </c>
      <c r="I1309" s="1">
        <v>0.40560000000000002</v>
      </c>
      <c r="J1309" s="1">
        <v>56403</v>
      </c>
      <c r="K1309" s="1">
        <v>21196</v>
      </c>
      <c r="L1309" s="1">
        <v>8116</v>
      </c>
      <c r="M1309" s="1">
        <v>15</v>
      </c>
      <c r="N1309" s="1" t="s">
        <v>28</v>
      </c>
      <c r="O1309" s="1" t="s">
        <v>42</v>
      </c>
      <c r="P1309" s="1" t="s">
        <v>39</v>
      </c>
      <c r="Q1309" s="1" t="s">
        <v>23</v>
      </c>
      <c r="R1309">
        <v>7.8583041329914671E-2</v>
      </c>
    </row>
    <row r="1310" spans="1:18" x14ac:dyDescent="0.2">
      <c r="A1310" s="1">
        <v>216287</v>
      </c>
      <c r="B1310" s="1" t="s">
        <v>1379</v>
      </c>
      <c r="C1310" s="1" t="s">
        <v>98</v>
      </c>
      <c r="D1310" s="1">
        <v>7.46E-2</v>
      </c>
      <c r="E1310" s="1">
        <v>1613</v>
      </c>
      <c r="F1310" s="1">
        <v>65494</v>
      </c>
      <c r="G1310" s="1">
        <v>0.92269999999999996</v>
      </c>
      <c r="H1310" s="1">
        <v>0.93979999999999997</v>
      </c>
      <c r="I1310" s="1">
        <v>0.1948</v>
      </c>
      <c r="J1310" s="1">
        <v>80257</v>
      </c>
      <c r="K1310" s="1">
        <v>17500</v>
      </c>
      <c r="L1310" s="1">
        <v>14961</v>
      </c>
      <c r="M1310" s="1">
        <v>7</v>
      </c>
      <c r="N1310" s="1" t="s">
        <v>20</v>
      </c>
      <c r="O1310" s="1" t="s">
        <v>21</v>
      </c>
      <c r="P1310" s="1" t="s">
        <v>39</v>
      </c>
      <c r="Q1310" s="1" t="s">
        <v>23</v>
      </c>
      <c r="R1310">
        <v>7.8425238577042644E-2</v>
      </c>
    </row>
    <row r="1311" spans="1:18" x14ac:dyDescent="0.2">
      <c r="A1311" s="1">
        <v>139764</v>
      </c>
      <c r="B1311" s="1" t="s">
        <v>1380</v>
      </c>
      <c r="C1311" s="1" t="s">
        <v>126</v>
      </c>
      <c r="D1311" s="1">
        <v>0.75170000000000003</v>
      </c>
      <c r="E1311" s="1">
        <v>2424</v>
      </c>
      <c r="F1311" s="1">
        <v>16572</v>
      </c>
      <c r="G1311" s="1">
        <v>0.40639999999999998</v>
      </c>
      <c r="H1311" s="1">
        <v>0.57550000000000001</v>
      </c>
      <c r="I1311" s="1">
        <v>0.43440000000000001</v>
      </c>
      <c r="J1311" s="1">
        <v>48757</v>
      </c>
      <c r="K1311" s="1">
        <v>18851</v>
      </c>
      <c r="L1311" s="1">
        <v>8122</v>
      </c>
      <c r="M1311" s="1">
        <v>18</v>
      </c>
      <c r="N1311" s="1" t="s">
        <v>28</v>
      </c>
      <c r="O1311" s="1" t="s">
        <v>42</v>
      </c>
      <c r="P1311" s="1" t="s">
        <v>30</v>
      </c>
      <c r="Q1311" s="1" t="s">
        <v>31</v>
      </c>
      <c r="R1311">
        <v>7.7581238344703984E-2</v>
      </c>
    </row>
    <row r="1312" spans="1:18" x14ac:dyDescent="0.2">
      <c r="A1312" s="1">
        <v>156286</v>
      </c>
      <c r="B1312" s="1" t="s">
        <v>1381</v>
      </c>
      <c r="C1312" s="1" t="s">
        <v>104</v>
      </c>
      <c r="D1312" s="1">
        <v>0.86109999999999998</v>
      </c>
      <c r="E1312" s="1">
        <v>2161</v>
      </c>
      <c r="F1312" s="1">
        <v>48770</v>
      </c>
      <c r="G1312" s="1">
        <v>0.64359999999999995</v>
      </c>
      <c r="H1312" s="1">
        <v>0.75119999999999998</v>
      </c>
      <c r="I1312" s="1">
        <v>0.30709999999999998</v>
      </c>
      <c r="J1312" s="1">
        <v>62069</v>
      </c>
      <c r="K1312" s="1">
        <v>25000</v>
      </c>
      <c r="L1312" s="1">
        <v>8508</v>
      </c>
      <c r="M1312" s="1">
        <v>12</v>
      </c>
      <c r="N1312" s="1" t="s">
        <v>20</v>
      </c>
      <c r="O1312" s="1" t="s">
        <v>29</v>
      </c>
      <c r="P1312" s="1" t="s">
        <v>30</v>
      </c>
      <c r="Q1312" s="1" t="s">
        <v>23</v>
      </c>
      <c r="R1312">
        <v>7.7325544605892804E-2</v>
      </c>
    </row>
    <row r="1313" spans="1:18" x14ac:dyDescent="0.2">
      <c r="A1313" s="1">
        <v>153825</v>
      </c>
      <c r="B1313" s="1" t="s">
        <v>1382</v>
      </c>
      <c r="C1313" s="1" t="s">
        <v>81</v>
      </c>
      <c r="D1313" s="1">
        <v>0.99860000000000004</v>
      </c>
      <c r="E1313" s="1">
        <v>1083</v>
      </c>
      <c r="F1313" s="1">
        <v>39824</v>
      </c>
      <c r="G1313" s="1">
        <v>0.67600000000000005</v>
      </c>
      <c r="H1313" s="1">
        <v>0.82279999999999998</v>
      </c>
      <c r="I1313" s="1">
        <v>0.2336</v>
      </c>
      <c r="J1313" s="1">
        <v>58289</v>
      </c>
      <c r="K1313" s="1">
        <v>26000</v>
      </c>
      <c r="L1313" s="1">
        <v>7039</v>
      </c>
      <c r="M1313" s="1">
        <v>12</v>
      </c>
      <c r="N1313" s="1" t="s">
        <v>20</v>
      </c>
      <c r="O1313" s="1" t="s">
        <v>29</v>
      </c>
      <c r="P1313" s="1" t="s">
        <v>22</v>
      </c>
      <c r="Q1313" s="1" t="s">
        <v>23</v>
      </c>
      <c r="R1313">
        <v>7.6838191302593728E-2</v>
      </c>
    </row>
    <row r="1314" spans="1:18" x14ac:dyDescent="0.2">
      <c r="A1314" s="1">
        <v>221731</v>
      </c>
      <c r="B1314" s="1" t="s">
        <v>1383</v>
      </c>
      <c r="C1314" s="1" t="s">
        <v>163</v>
      </c>
      <c r="D1314" s="1">
        <v>0.6885</v>
      </c>
      <c r="E1314" s="1">
        <v>846</v>
      </c>
      <c r="F1314" s="1">
        <v>30814</v>
      </c>
      <c r="G1314" s="1">
        <v>0.47589999999999999</v>
      </c>
      <c r="H1314" s="1">
        <v>0.72019999999999995</v>
      </c>
      <c r="I1314" s="1">
        <v>0.3921</v>
      </c>
      <c r="J1314" s="1">
        <v>45989</v>
      </c>
      <c r="K1314" s="1">
        <v>20000</v>
      </c>
      <c r="L1314" s="1">
        <v>5870</v>
      </c>
      <c r="M1314" s="1">
        <v>12</v>
      </c>
      <c r="N1314" s="1" t="s">
        <v>20</v>
      </c>
      <c r="O1314" s="1" t="s">
        <v>42</v>
      </c>
      <c r="P1314" s="1" t="s">
        <v>30</v>
      </c>
      <c r="Q1314" s="1" t="s">
        <v>31</v>
      </c>
      <c r="R1314">
        <v>7.6460742018652383E-2</v>
      </c>
    </row>
    <row r="1315" spans="1:18" x14ac:dyDescent="0.2">
      <c r="A1315" s="1">
        <v>193584</v>
      </c>
      <c r="B1315" s="1" t="s">
        <v>1384</v>
      </c>
      <c r="C1315" s="1" t="s">
        <v>58</v>
      </c>
      <c r="D1315" s="1">
        <v>0.74719999999999998</v>
      </c>
      <c r="E1315" s="1">
        <v>1873</v>
      </c>
      <c r="F1315" s="1">
        <v>42450</v>
      </c>
      <c r="G1315" s="1">
        <v>0.72789999999999999</v>
      </c>
      <c r="H1315" s="1">
        <v>0.84819999999999995</v>
      </c>
      <c r="I1315" s="1">
        <v>0.2626</v>
      </c>
      <c r="J1315" s="1">
        <v>56458</v>
      </c>
      <c r="K1315" s="1">
        <v>26038</v>
      </c>
      <c r="L1315" s="1">
        <v>8439</v>
      </c>
      <c r="M1315" s="1">
        <v>8</v>
      </c>
      <c r="N1315" s="1" t="s">
        <v>20</v>
      </c>
      <c r="O1315" s="1" t="s">
        <v>21</v>
      </c>
      <c r="P1315" s="1" t="s">
        <v>39</v>
      </c>
      <c r="Q1315" s="1" t="s">
        <v>23</v>
      </c>
      <c r="R1315">
        <v>7.6441956040808168E-2</v>
      </c>
    </row>
    <row r="1316" spans="1:18" x14ac:dyDescent="0.2">
      <c r="A1316" s="1">
        <v>132408</v>
      </c>
      <c r="B1316" s="1" t="s">
        <v>1385</v>
      </c>
      <c r="C1316" s="1" t="s">
        <v>27</v>
      </c>
      <c r="D1316" s="1">
        <v>0.3599</v>
      </c>
      <c r="E1316" s="1">
        <v>360</v>
      </c>
      <c r="F1316" s="1">
        <v>15000</v>
      </c>
      <c r="G1316" s="1">
        <v>0.51849999999999996</v>
      </c>
      <c r="H1316" s="1">
        <v>0.45</v>
      </c>
      <c r="I1316" s="1">
        <v>0.39879999999999999</v>
      </c>
      <c r="J1316" s="1">
        <v>42836</v>
      </c>
      <c r="K1316" s="1">
        <v>23590</v>
      </c>
      <c r="L1316" s="1">
        <v>5515</v>
      </c>
      <c r="M1316" s="1">
        <v>8</v>
      </c>
      <c r="N1316" s="1" t="s">
        <v>20</v>
      </c>
      <c r="O1316" s="1" t="s">
        <v>42</v>
      </c>
      <c r="P1316" s="1" t="s">
        <v>30</v>
      </c>
      <c r="Q1316" s="1" t="s">
        <v>31</v>
      </c>
      <c r="R1316">
        <v>7.6203533998307704E-2</v>
      </c>
    </row>
    <row r="1317" spans="1:18" x14ac:dyDescent="0.2">
      <c r="A1317" s="1">
        <v>151360</v>
      </c>
      <c r="B1317" s="1" t="s">
        <v>1386</v>
      </c>
      <c r="C1317" s="1" t="s">
        <v>102</v>
      </c>
      <c r="D1317" s="1">
        <v>0.7339</v>
      </c>
      <c r="E1317" s="1">
        <v>2661</v>
      </c>
      <c r="F1317" s="1">
        <v>22811</v>
      </c>
      <c r="G1317" s="1">
        <v>0.37380000000000002</v>
      </c>
      <c r="H1317" s="1">
        <v>0.71360000000000001</v>
      </c>
      <c r="I1317" s="1">
        <v>0.42549999999999999</v>
      </c>
      <c r="J1317" s="1">
        <v>43361</v>
      </c>
      <c r="K1317" s="1">
        <v>21710</v>
      </c>
      <c r="L1317" s="1">
        <v>7562</v>
      </c>
      <c r="M1317" s="1">
        <v>15</v>
      </c>
      <c r="N1317" s="1" t="s">
        <v>28</v>
      </c>
      <c r="O1317" s="1" t="s">
        <v>21</v>
      </c>
      <c r="P1317" s="1" t="s">
        <v>22</v>
      </c>
      <c r="Q1317" s="1" t="s">
        <v>31</v>
      </c>
      <c r="R1317">
        <v>7.6085448000611344E-2</v>
      </c>
    </row>
    <row r="1318" spans="1:18" x14ac:dyDescent="0.2">
      <c r="A1318" s="1">
        <v>164739</v>
      </c>
      <c r="B1318" s="1" t="s">
        <v>1387</v>
      </c>
      <c r="C1318" s="1" t="s">
        <v>129</v>
      </c>
      <c r="D1318" s="1">
        <v>0.45050000000000001</v>
      </c>
      <c r="E1318" s="1">
        <v>4474</v>
      </c>
      <c r="F1318" s="1">
        <v>61000</v>
      </c>
      <c r="G1318" s="1">
        <v>0.8679</v>
      </c>
      <c r="H1318" s="1">
        <v>0.92679999999999996</v>
      </c>
      <c r="I1318" s="1">
        <v>0.16070000000000001</v>
      </c>
      <c r="J1318" s="1">
        <v>120959</v>
      </c>
      <c r="K1318" s="1">
        <v>25023</v>
      </c>
      <c r="L1318" s="1">
        <v>15847</v>
      </c>
      <c r="M1318" s="1">
        <v>12</v>
      </c>
      <c r="N1318" s="1" t="s">
        <v>20</v>
      </c>
      <c r="O1318" s="1" t="s">
        <v>29</v>
      </c>
      <c r="P1318" s="1" t="s">
        <v>39</v>
      </c>
      <c r="Q1318" s="1" t="s">
        <v>23</v>
      </c>
      <c r="R1318">
        <v>7.6073388101711936E-2</v>
      </c>
    </row>
    <row r="1319" spans="1:18" x14ac:dyDescent="0.2">
      <c r="A1319" s="1">
        <v>160621</v>
      </c>
      <c r="B1319" s="1" t="s">
        <v>1388</v>
      </c>
      <c r="C1319" s="1" t="s">
        <v>46</v>
      </c>
      <c r="D1319" s="1">
        <v>0.35120000000000001</v>
      </c>
      <c r="E1319" s="1">
        <v>5519</v>
      </c>
      <c r="F1319" s="1">
        <v>17272</v>
      </c>
      <c r="G1319" s="1">
        <v>0.27089999999999997</v>
      </c>
      <c r="H1319" s="1">
        <v>0.60309999999999997</v>
      </c>
      <c r="I1319" s="1">
        <v>0.68140000000000001</v>
      </c>
      <c r="J1319" s="1">
        <v>43371</v>
      </c>
      <c r="K1319" s="1">
        <v>29251</v>
      </c>
      <c r="L1319" s="1">
        <v>7735</v>
      </c>
      <c r="M1319" s="1">
        <v>21</v>
      </c>
      <c r="N1319" s="1" t="s">
        <v>28</v>
      </c>
      <c r="O1319" s="1" t="s">
        <v>29</v>
      </c>
      <c r="P1319" s="1" t="s">
        <v>30</v>
      </c>
      <c r="Q1319" s="1" t="s">
        <v>31</v>
      </c>
      <c r="R1319">
        <v>7.5811954925965153E-2</v>
      </c>
    </row>
    <row r="1320" spans="1:18" x14ac:dyDescent="0.2">
      <c r="A1320" s="1">
        <v>214713</v>
      </c>
      <c r="B1320" s="1" t="s">
        <v>1389</v>
      </c>
      <c r="C1320" s="1" t="s">
        <v>98</v>
      </c>
      <c r="D1320" s="1">
        <v>0.97599999999999998</v>
      </c>
      <c r="E1320" s="1">
        <v>4031</v>
      </c>
      <c r="F1320" s="1">
        <v>26958</v>
      </c>
      <c r="G1320" s="1">
        <v>0.26119999999999999</v>
      </c>
      <c r="H1320" s="1">
        <v>0.82120000000000004</v>
      </c>
      <c r="I1320" s="1">
        <v>0.26129999999999998</v>
      </c>
      <c r="J1320" s="1">
        <v>63435</v>
      </c>
      <c r="K1320" s="1">
        <v>25000</v>
      </c>
      <c r="L1320" s="1">
        <v>11107</v>
      </c>
      <c r="M1320" s="1">
        <v>15</v>
      </c>
      <c r="N1320" s="1" t="s">
        <v>28</v>
      </c>
      <c r="O1320" s="1" t="s">
        <v>21</v>
      </c>
      <c r="P1320" s="1" t="s">
        <v>39</v>
      </c>
      <c r="Q1320" s="1" t="s">
        <v>23</v>
      </c>
      <c r="R1320">
        <v>7.5450874350161956E-2</v>
      </c>
    </row>
    <row r="1321" spans="1:18" x14ac:dyDescent="0.2">
      <c r="A1321" s="1">
        <v>206437</v>
      </c>
      <c r="B1321" s="1" t="s">
        <v>1390</v>
      </c>
      <c r="C1321" s="1" t="s">
        <v>19</v>
      </c>
      <c r="D1321" s="1">
        <v>0.70740000000000003</v>
      </c>
      <c r="E1321" s="1">
        <v>1390</v>
      </c>
      <c r="F1321" s="1">
        <v>35745</v>
      </c>
      <c r="G1321" s="1">
        <v>0.58499999999999996</v>
      </c>
      <c r="H1321" s="1">
        <v>0.72370000000000001</v>
      </c>
      <c r="I1321" s="1">
        <v>0.27360000000000001</v>
      </c>
      <c r="J1321" s="1">
        <v>59764</v>
      </c>
      <c r="K1321" s="1">
        <v>27000</v>
      </c>
      <c r="L1321" s="1">
        <v>5760</v>
      </c>
      <c r="M1321" s="1">
        <v>14</v>
      </c>
      <c r="N1321" s="1" t="s">
        <v>20</v>
      </c>
      <c r="O1321" s="1" t="s">
        <v>21</v>
      </c>
      <c r="P1321" s="1" t="s">
        <v>22</v>
      </c>
      <c r="Q1321" s="1" t="s">
        <v>23</v>
      </c>
      <c r="R1321">
        <v>7.3934216880791714E-2</v>
      </c>
    </row>
    <row r="1322" spans="1:18" x14ac:dyDescent="0.2">
      <c r="A1322" s="1">
        <v>110538</v>
      </c>
      <c r="B1322" s="1" t="s">
        <v>1391</v>
      </c>
      <c r="C1322" s="1" t="s">
        <v>33</v>
      </c>
      <c r="D1322" s="1">
        <v>0.92720000000000002</v>
      </c>
      <c r="E1322" s="1">
        <v>13631</v>
      </c>
      <c r="F1322" s="1">
        <v>21072</v>
      </c>
      <c r="G1322" s="1">
        <v>0.62780000000000002</v>
      </c>
      <c r="H1322" s="1">
        <v>0.81630000000000003</v>
      </c>
      <c r="I1322" s="1">
        <v>0.42520000000000002</v>
      </c>
      <c r="J1322" s="1">
        <v>64172</v>
      </c>
      <c r="K1322" s="1">
        <v>16552</v>
      </c>
      <c r="L1322" s="1">
        <v>11664</v>
      </c>
      <c r="M1322" s="1">
        <v>23</v>
      </c>
      <c r="N1322" s="1" t="s">
        <v>28</v>
      </c>
      <c r="O1322" s="1" t="s">
        <v>29</v>
      </c>
      <c r="P1322" s="1" t="s">
        <v>22</v>
      </c>
      <c r="Q1322" s="1" t="s">
        <v>23</v>
      </c>
      <c r="R1322">
        <v>7.2806633588602176E-2</v>
      </c>
    </row>
    <row r="1323" spans="1:18" x14ac:dyDescent="0.2">
      <c r="A1323" s="1">
        <v>174066</v>
      </c>
      <c r="B1323" s="1" t="s">
        <v>1392</v>
      </c>
      <c r="C1323" s="1" t="s">
        <v>54</v>
      </c>
      <c r="D1323" s="1">
        <v>0.79749999999999999</v>
      </c>
      <c r="E1323" s="1">
        <v>31855</v>
      </c>
      <c r="F1323" s="1">
        <v>38362</v>
      </c>
      <c r="G1323" s="1">
        <v>0.8528</v>
      </c>
      <c r="H1323" s="1">
        <v>0.91120000000000001</v>
      </c>
      <c r="I1323" s="1">
        <v>0.17649999999999999</v>
      </c>
      <c r="J1323" s="1">
        <v>69020</v>
      </c>
      <c r="K1323" s="1">
        <v>19500</v>
      </c>
      <c r="L1323" s="1">
        <v>13662</v>
      </c>
      <c r="M1323" s="1">
        <v>17</v>
      </c>
      <c r="N1323" s="1" t="s">
        <v>28</v>
      </c>
      <c r="O1323" s="1" t="s">
        <v>29</v>
      </c>
      <c r="P1323" s="1" t="s">
        <v>22</v>
      </c>
      <c r="Q1323" s="1" t="s">
        <v>23</v>
      </c>
      <c r="R1323">
        <v>7.0414298444428258E-2</v>
      </c>
    </row>
    <row r="1324" spans="1:18" x14ac:dyDescent="0.2">
      <c r="A1324" s="1">
        <v>221971</v>
      </c>
      <c r="B1324" s="1" t="s">
        <v>1393</v>
      </c>
      <c r="C1324" s="1" t="s">
        <v>163</v>
      </c>
      <c r="D1324" s="1">
        <v>0.60409999999999997</v>
      </c>
      <c r="E1324" s="1">
        <v>1607</v>
      </c>
      <c r="F1324" s="1">
        <v>40025</v>
      </c>
      <c r="G1324" s="1">
        <v>0.65959999999999996</v>
      </c>
      <c r="H1324" s="1">
        <v>0.89</v>
      </c>
      <c r="I1324" s="1">
        <v>0.24540000000000001</v>
      </c>
      <c r="J1324" s="1">
        <v>53990</v>
      </c>
      <c r="K1324" s="1">
        <v>20714</v>
      </c>
      <c r="L1324" s="1">
        <v>8181</v>
      </c>
      <c r="M1324" s="1">
        <v>9</v>
      </c>
      <c r="N1324" s="1" t="s">
        <v>20</v>
      </c>
      <c r="O1324" s="1" t="s">
        <v>29</v>
      </c>
      <c r="P1324" s="1" t="s">
        <v>30</v>
      </c>
      <c r="Q1324" s="1" t="s">
        <v>23</v>
      </c>
      <c r="R1324">
        <v>6.9456071143513487E-2</v>
      </c>
    </row>
    <row r="1325" spans="1:18" x14ac:dyDescent="0.2">
      <c r="A1325" s="1">
        <v>178411</v>
      </c>
      <c r="B1325" s="1" t="s">
        <v>1394</v>
      </c>
      <c r="C1325" s="1" t="s">
        <v>77</v>
      </c>
      <c r="D1325" s="1">
        <v>0.72550000000000003</v>
      </c>
      <c r="E1325" s="1">
        <v>5521</v>
      </c>
      <c r="F1325" s="1">
        <v>33248</v>
      </c>
      <c r="G1325" s="1">
        <v>0.64370000000000005</v>
      </c>
      <c r="H1325" s="1">
        <v>0.86560000000000004</v>
      </c>
      <c r="I1325" s="1">
        <v>0.22789999999999999</v>
      </c>
      <c r="J1325" s="1">
        <v>82957</v>
      </c>
      <c r="K1325" s="1">
        <v>23250</v>
      </c>
      <c r="L1325" s="1">
        <v>12726</v>
      </c>
      <c r="M1325" s="1">
        <v>17</v>
      </c>
      <c r="N1325" s="1" t="s">
        <v>28</v>
      </c>
      <c r="O1325" s="1" t="s">
        <v>42</v>
      </c>
      <c r="P1325" s="1" t="s">
        <v>22</v>
      </c>
      <c r="Q1325" s="1" t="s">
        <v>23</v>
      </c>
      <c r="R1325">
        <v>6.8941560903518551E-2</v>
      </c>
    </row>
    <row r="1326" spans="1:18" x14ac:dyDescent="0.2">
      <c r="A1326" s="1">
        <v>130794</v>
      </c>
      <c r="B1326" s="1" t="s">
        <v>1395</v>
      </c>
      <c r="C1326" s="1" t="s">
        <v>147</v>
      </c>
      <c r="D1326" s="1">
        <v>3.8699999999999998E-2</v>
      </c>
      <c r="E1326" s="1">
        <v>6758</v>
      </c>
      <c r="F1326" s="1">
        <v>67250</v>
      </c>
      <c r="G1326" s="1">
        <v>0.95740000000000003</v>
      </c>
      <c r="H1326" s="1">
        <v>0.98780000000000001</v>
      </c>
      <c r="I1326" s="1">
        <v>0.2039</v>
      </c>
      <c r="J1326" s="1">
        <v>100533</v>
      </c>
      <c r="K1326" s="1">
        <v>12975</v>
      </c>
      <c r="L1326" s="1">
        <v>22590</v>
      </c>
      <c r="M1326" s="1">
        <v>5</v>
      </c>
      <c r="N1326" s="1" t="s">
        <v>20</v>
      </c>
      <c r="O1326" s="1" t="s">
        <v>29</v>
      </c>
      <c r="P1326" s="1" t="s">
        <v>39</v>
      </c>
      <c r="Q1326" s="1" t="s">
        <v>23</v>
      </c>
      <c r="R1326">
        <v>6.8820262318020631E-2</v>
      </c>
    </row>
    <row r="1327" spans="1:18" x14ac:dyDescent="0.2">
      <c r="A1327" s="1">
        <v>146427</v>
      </c>
      <c r="B1327" s="1" t="s">
        <v>1396</v>
      </c>
      <c r="C1327" s="1" t="s">
        <v>25</v>
      </c>
      <c r="D1327" s="1">
        <v>0.70789999999999997</v>
      </c>
      <c r="E1327" s="1">
        <v>1127</v>
      </c>
      <c r="F1327" s="1">
        <v>57903</v>
      </c>
      <c r="G1327" s="1">
        <v>0.67730000000000001</v>
      </c>
      <c r="H1327" s="1">
        <v>0.83130000000000004</v>
      </c>
      <c r="I1327" s="1">
        <v>0.30869999999999997</v>
      </c>
      <c r="J1327" s="1">
        <v>54820</v>
      </c>
      <c r="K1327" s="1">
        <v>27000</v>
      </c>
      <c r="L1327" s="1">
        <v>7221</v>
      </c>
      <c r="M1327" s="1">
        <v>11</v>
      </c>
      <c r="N1327" s="1" t="s">
        <v>20</v>
      </c>
      <c r="O1327" s="1" t="s">
        <v>42</v>
      </c>
      <c r="P1327" s="1" t="s">
        <v>22</v>
      </c>
      <c r="Q1327" s="1" t="s">
        <v>23</v>
      </c>
      <c r="R1327">
        <v>6.7140390802088112E-2</v>
      </c>
    </row>
    <row r="1328" spans="1:18" x14ac:dyDescent="0.2">
      <c r="A1328" s="1">
        <v>139719</v>
      </c>
      <c r="B1328" s="1" t="s">
        <v>1397</v>
      </c>
      <c r="C1328" s="1" t="s">
        <v>126</v>
      </c>
      <c r="D1328" s="1">
        <v>0.65869999999999995</v>
      </c>
      <c r="E1328" s="1">
        <v>2684</v>
      </c>
      <c r="F1328" s="1">
        <v>16932</v>
      </c>
      <c r="G1328" s="1">
        <v>0.41110000000000002</v>
      </c>
      <c r="H1328" s="1">
        <v>0.78510000000000002</v>
      </c>
      <c r="I1328" s="1">
        <v>0.73319999999999996</v>
      </c>
      <c r="J1328" s="1">
        <v>36666</v>
      </c>
      <c r="K1328" s="1">
        <v>31000</v>
      </c>
      <c r="L1328" s="1">
        <v>7426</v>
      </c>
      <c r="M1328" s="1">
        <v>21</v>
      </c>
      <c r="N1328" s="1" t="s">
        <v>28</v>
      </c>
      <c r="O1328" s="1" t="s">
        <v>42</v>
      </c>
      <c r="P1328" s="1" t="s">
        <v>30</v>
      </c>
      <c r="Q1328" s="1" t="s">
        <v>31</v>
      </c>
      <c r="R1328">
        <v>6.691062311984719E-2</v>
      </c>
    </row>
    <row r="1329" spans="1:18" x14ac:dyDescent="0.2">
      <c r="A1329" s="1">
        <v>196097</v>
      </c>
      <c r="B1329" s="1" t="s">
        <v>1398</v>
      </c>
      <c r="C1329" s="1" t="s">
        <v>58</v>
      </c>
      <c r="D1329" s="1">
        <v>0.4904</v>
      </c>
      <c r="E1329" s="1">
        <v>18101</v>
      </c>
      <c r="F1329" s="1">
        <v>32741</v>
      </c>
      <c r="G1329" s="1">
        <v>0.75560000000000005</v>
      </c>
      <c r="H1329" s="1">
        <v>0.89810000000000001</v>
      </c>
      <c r="I1329" s="1">
        <v>0.39439999999999997</v>
      </c>
      <c r="J1329" s="1">
        <v>74502</v>
      </c>
      <c r="K1329" s="1">
        <v>18228</v>
      </c>
      <c r="L1329" s="1">
        <v>14008</v>
      </c>
      <c r="M1329" s="1">
        <v>19</v>
      </c>
      <c r="N1329" s="1" t="s">
        <v>28</v>
      </c>
      <c r="O1329" s="1" t="s">
        <v>21</v>
      </c>
      <c r="P1329" s="1" t="s">
        <v>39</v>
      </c>
      <c r="Q1329" s="1" t="s">
        <v>23</v>
      </c>
      <c r="R1329">
        <v>6.6440667697523437E-2</v>
      </c>
    </row>
    <row r="1330" spans="1:18" x14ac:dyDescent="0.2">
      <c r="A1330" s="1">
        <v>210146</v>
      </c>
      <c r="B1330" s="1" t="s">
        <v>1399</v>
      </c>
      <c r="C1330" s="1" t="s">
        <v>79</v>
      </c>
      <c r="D1330" s="1">
        <v>0.88619999999999999</v>
      </c>
      <c r="E1330" s="1">
        <v>2751</v>
      </c>
      <c r="F1330" s="1">
        <v>31887</v>
      </c>
      <c r="G1330" s="1">
        <v>0.42530000000000001</v>
      </c>
      <c r="H1330" s="1">
        <v>0.67849999999999999</v>
      </c>
      <c r="I1330" s="1">
        <v>0.24859999999999999</v>
      </c>
      <c r="J1330" s="1">
        <v>49175</v>
      </c>
      <c r="K1330" s="1">
        <v>20332</v>
      </c>
      <c r="L1330" s="1">
        <v>9721</v>
      </c>
      <c r="M1330" s="1">
        <v>23</v>
      </c>
      <c r="N1330" s="1" t="s">
        <v>28</v>
      </c>
      <c r="O1330" s="1" t="s">
        <v>21</v>
      </c>
      <c r="P1330" s="1" t="s">
        <v>22</v>
      </c>
      <c r="Q1330" s="1" t="s">
        <v>31</v>
      </c>
      <c r="R1330">
        <v>6.5810404114876042E-2</v>
      </c>
    </row>
    <row r="1331" spans="1:18" x14ac:dyDescent="0.2">
      <c r="A1331" s="1">
        <v>199412</v>
      </c>
      <c r="B1331" s="1" t="s">
        <v>1400</v>
      </c>
      <c r="C1331" s="1" t="s">
        <v>86</v>
      </c>
      <c r="D1331" s="1">
        <v>0.62080000000000002</v>
      </c>
      <c r="E1331" s="1">
        <v>1211</v>
      </c>
      <c r="F1331" s="1">
        <v>45846</v>
      </c>
      <c r="G1331" s="1">
        <v>0.61309999999999998</v>
      </c>
      <c r="H1331" s="1">
        <v>0.74060000000000004</v>
      </c>
      <c r="I1331" s="1">
        <v>0.24030000000000001</v>
      </c>
      <c r="J1331" s="1">
        <v>57673</v>
      </c>
      <c r="K1331" s="1">
        <v>25000</v>
      </c>
      <c r="L1331" s="1">
        <v>8748</v>
      </c>
      <c r="M1331" s="1">
        <v>9</v>
      </c>
      <c r="N1331" s="1" t="s">
        <v>20</v>
      </c>
      <c r="O1331" s="1" t="s">
        <v>29</v>
      </c>
      <c r="P1331" s="1" t="s">
        <v>30</v>
      </c>
      <c r="Q1331" s="1" t="s">
        <v>23</v>
      </c>
      <c r="R1331">
        <v>6.5787605177144548E-2</v>
      </c>
    </row>
    <row r="1332" spans="1:18" x14ac:dyDescent="0.2">
      <c r="A1332" s="1">
        <v>237358</v>
      </c>
      <c r="B1332" s="1" t="s">
        <v>1401</v>
      </c>
      <c r="C1332" s="1" t="s">
        <v>255</v>
      </c>
      <c r="D1332" s="1">
        <v>0.94330000000000003</v>
      </c>
      <c r="E1332" s="1">
        <v>661</v>
      </c>
      <c r="F1332" s="1">
        <v>31820</v>
      </c>
      <c r="G1332" s="1">
        <v>0.39290000000000003</v>
      </c>
      <c r="H1332" s="1">
        <v>0.6522</v>
      </c>
      <c r="I1332" s="1">
        <v>0.43340000000000001</v>
      </c>
      <c r="J1332" s="1">
        <v>43411</v>
      </c>
      <c r="K1332" s="1">
        <v>27000</v>
      </c>
      <c r="L1332" s="1">
        <v>5987</v>
      </c>
      <c r="M1332" s="1">
        <v>10</v>
      </c>
      <c r="N1332" s="1" t="s">
        <v>20</v>
      </c>
      <c r="O1332" s="1" t="s">
        <v>42</v>
      </c>
      <c r="P1332" s="1" t="s">
        <v>30</v>
      </c>
      <c r="Q1332" s="1" t="s">
        <v>31</v>
      </c>
      <c r="R1332">
        <v>6.5461634745971109E-2</v>
      </c>
    </row>
    <row r="1333" spans="1:18" x14ac:dyDescent="0.2">
      <c r="A1333" s="1">
        <v>239017</v>
      </c>
      <c r="B1333" s="1" t="s">
        <v>1402</v>
      </c>
      <c r="C1333" s="1" t="s">
        <v>50</v>
      </c>
      <c r="D1333" s="1">
        <v>0.63939999999999997</v>
      </c>
      <c r="E1333" s="1">
        <v>1396</v>
      </c>
      <c r="F1333" s="1">
        <v>56982</v>
      </c>
      <c r="G1333" s="1">
        <v>0.76770000000000005</v>
      </c>
      <c r="H1333" s="1">
        <v>0.86570000000000003</v>
      </c>
      <c r="I1333" s="1">
        <v>0.21990000000000001</v>
      </c>
      <c r="J1333" s="1">
        <v>55789</v>
      </c>
      <c r="K1333" s="1">
        <v>26000</v>
      </c>
      <c r="L1333" s="1">
        <v>8785</v>
      </c>
      <c r="M1333" s="1">
        <v>7</v>
      </c>
      <c r="N1333" s="1" t="s">
        <v>20</v>
      </c>
      <c r="O1333" s="1" t="s">
        <v>29</v>
      </c>
      <c r="P1333" s="1" t="s">
        <v>22</v>
      </c>
      <c r="Q1333" s="1" t="s">
        <v>23</v>
      </c>
      <c r="R1333">
        <v>6.4847287861342306E-2</v>
      </c>
    </row>
    <row r="1334" spans="1:18" x14ac:dyDescent="0.2">
      <c r="A1334" s="1">
        <v>200156</v>
      </c>
      <c r="B1334" s="1" t="s">
        <v>1403</v>
      </c>
      <c r="C1334" s="1" t="s">
        <v>836</v>
      </c>
      <c r="D1334" s="1">
        <v>0.88080000000000003</v>
      </c>
      <c r="E1334" s="1">
        <v>1041</v>
      </c>
      <c r="F1334" s="1">
        <v>24990</v>
      </c>
      <c r="G1334" s="1">
        <v>0.4904</v>
      </c>
      <c r="H1334" s="1">
        <v>0.67349999999999999</v>
      </c>
      <c r="I1334" s="1">
        <v>0.25519999999999998</v>
      </c>
      <c r="J1334" s="1">
        <v>56621</v>
      </c>
      <c r="K1334" s="1">
        <v>27000</v>
      </c>
      <c r="L1334" s="1">
        <v>7294</v>
      </c>
      <c r="M1334" s="1">
        <v>13</v>
      </c>
      <c r="N1334" s="1" t="s">
        <v>20</v>
      </c>
      <c r="O1334" s="1" t="s">
        <v>42</v>
      </c>
      <c r="P1334" s="1" t="s">
        <v>22</v>
      </c>
      <c r="Q1334" s="1" t="s">
        <v>23</v>
      </c>
      <c r="R1334">
        <v>6.2689636238143942E-2</v>
      </c>
    </row>
    <row r="1335" spans="1:18" x14ac:dyDescent="0.2">
      <c r="A1335" s="1">
        <v>129774</v>
      </c>
      <c r="B1335" s="1" t="s">
        <v>1404</v>
      </c>
      <c r="C1335" s="1" t="s">
        <v>147</v>
      </c>
      <c r="D1335" s="1">
        <v>0.9466</v>
      </c>
      <c r="E1335" s="1">
        <v>377</v>
      </c>
      <c r="F1335" s="1">
        <v>40490</v>
      </c>
      <c r="G1335" s="1">
        <v>0.42180000000000001</v>
      </c>
      <c r="H1335" s="1">
        <v>0.59040000000000004</v>
      </c>
      <c r="I1335" s="1">
        <v>0.38279999999999997</v>
      </c>
      <c r="J1335" s="1">
        <v>39115</v>
      </c>
      <c r="K1335" s="1">
        <v>25150</v>
      </c>
      <c r="L1335" s="1">
        <v>7511</v>
      </c>
      <c r="M1335" s="1">
        <v>11</v>
      </c>
      <c r="N1335" s="1" t="s">
        <v>20</v>
      </c>
      <c r="O1335" s="1" t="s">
        <v>29</v>
      </c>
      <c r="P1335" s="1" t="s">
        <v>39</v>
      </c>
      <c r="Q1335" s="1" t="s">
        <v>31</v>
      </c>
      <c r="R1335">
        <v>6.2264266407099256E-2</v>
      </c>
    </row>
    <row r="1336" spans="1:18" x14ac:dyDescent="0.2">
      <c r="A1336" s="1">
        <v>182290</v>
      </c>
      <c r="B1336" s="1" t="s">
        <v>1405</v>
      </c>
      <c r="C1336" s="1" t="s">
        <v>336</v>
      </c>
      <c r="D1336" s="1">
        <v>0.73709999999999998</v>
      </c>
      <c r="E1336" s="1">
        <v>15599</v>
      </c>
      <c r="F1336" s="1">
        <v>27720</v>
      </c>
      <c r="G1336" s="1">
        <v>0.61240000000000006</v>
      </c>
      <c r="H1336" s="1">
        <v>0.79659999999999997</v>
      </c>
      <c r="I1336" s="1">
        <v>0.22889999999999999</v>
      </c>
      <c r="J1336" s="1">
        <v>60614</v>
      </c>
      <c r="K1336" s="1">
        <v>18922</v>
      </c>
      <c r="L1336" s="1">
        <v>13293</v>
      </c>
      <c r="M1336" s="1">
        <v>17</v>
      </c>
      <c r="N1336" s="1" t="s">
        <v>28</v>
      </c>
      <c r="O1336" s="1" t="s">
        <v>29</v>
      </c>
      <c r="P1336" s="1" t="s">
        <v>22</v>
      </c>
      <c r="Q1336" s="1" t="s">
        <v>23</v>
      </c>
      <c r="R1336">
        <v>6.1328318331259069E-2</v>
      </c>
    </row>
    <row r="1337" spans="1:18" x14ac:dyDescent="0.2">
      <c r="A1337" s="1">
        <v>210739</v>
      </c>
      <c r="B1337" s="1" t="s">
        <v>1406</v>
      </c>
      <c r="C1337" s="1" t="s">
        <v>98</v>
      </c>
      <c r="D1337" s="1">
        <v>0.77090000000000003</v>
      </c>
      <c r="E1337" s="1">
        <v>2128</v>
      </c>
      <c r="F1337" s="1">
        <v>46800</v>
      </c>
      <c r="G1337" s="1">
        <v>0.72199999999999998</v>
      </c>
      <c r="H1337" s="1">
        <v>0.83030000000000004</v>
      </c>
      <c r="I1337" s="1">
        <v>0.23780000000000001</v>
      </c>
      <c r="J1337" s="1">
        <v>61295</v>
      </c>
      <c r="K1337" s="1">
        <v>25788</v>
      </c>
      <c r="L1337" s="1">
        <v>8905</v>
      </c>
      <c r="M1337" s="1">
        <v>12</v>
      </c>
      <c r="N1337" s="1" t="s">
        <v>20</v>
      </c>
      <c r="O1337" s="1" t="s">
        <v>21</v>
      </c>
      <c r="P1337" s="1" t="s">
        <v>39</v>
      </c>
      <c r="Q1337" s="1" t="s">
        <v>23</v>
      </c>
      <c r="R1337">
        <v>6.1084515249293925E-2</v>
      </c>
    </row>
    <row r="1338" spans="1:18" x14ac:dyDescent="0.2">
      <c r="A1338" s="1">
        <v>217156</v>
      </c>
      <c r="B1338" s="1" t="s">
        <v>1407</v>
      </c>
      <c r="C1338" s="1" t="s">
        <v>92</v>
      </c>
      <c r="D1338" s="1">
        <v>5.3900000000000003E-2</v>
      </c>
      <c r="E1338" s="1">
        <v>7226</v>
      </c>
      <c r="F1338" s="1">
        <v>71412</v>
      </c>
      <c r="G1338" s="1">
        <v>0.95689999999999997</v>
      </c>
      <c r="H1338" s="1">
        <v>0.98819999999999997</v>
      </c>
      <c r="I1338" s="1">
        <v>0.1384</v>
      </c>
      <c r="J1338" s="1">
        <v>93487</v>
      </c>
      <c r="K1338" s="1">
        <v>11428</v>
      </c>
      <c r="L1338" s="1">
        <v>17839</v>
      </c>
      <c r="M1338" s="1">
        <v>6</v>
      </c>
      <c r="N1338" s="1" t="s">
        <v>20</v>
      </c>
      <c r="O1338" s="1" t="s">
        <v>29</v>
      </c>
      <c r="P1338" s="1" t="s">
        <v>39</v>
      </c>
      <c r="Q1338" s="1" t="s">
        <v>23</v>
      </c>
      <c r="R1338">
        <v>6.0270386264527631E-2</v>
      </c>
    </row>
    <row r="1339" spans="1:18" x14ac:dyDescent="0.2">
      <c r="A1339" s="1">
        <v>161873</v>
      </c>
      <c r="B1339" s="1" t="s">
        <v>1408</v>
      </c>
      <c r="C1339" s="1" t="s">
        <v>61</v>
      </c>
      <c r="D1339" s="1">
        <v>0.78739999999999999</v>
      </c>
      <c r="E1339" s="1">
        <v>1133</v>
      </c>
      <c r="F1339" s="1">
        <v>23984</v>
      </c>
      <c r="G1339" s="1">
        <v>0.38159999999999999</v>
      </c>
      <c r="H1339" s="1">
        <v>0.6</v>
      </c>
      <c r="I1339" s="1">
        <v>0.44890000000000002</v>
      </c>
      <c r="J1339" s="1">
        <v>61335</v>
      </c>
      <c r="K1339" s="1">
        <v>23250</v>
      </c>
      <c r="L1339" s="1">
        <v>13975</v>
      </c>
      <c r="M1339" s="1">
        <v>10</v>
      </c>
      <c r="N1339" s="1" t="s">
        <v>28</v>
      </c>
      <c r="O1339" s="1" t="s">
        <v>29</v>
      </c>
      <c r="P1339" s="1" t="s">
        <v>30</v>
      </c>
      <c r="Q1339" s="1" t="s">
        <v>23</v>
      </c>
      <c r="R1339">
        <v>6.012910679170369E-2</v>
      </c>
    </row>
    <row r="1340" spans="1:18" x14ac:dyDescent="0.2">
      <c r="A1340" s="1">
        <v>187444</v>
      </c>
      <c r="B1340" s="1" t="s">
        <v>1409</v>
      </c>
      <c r="C1340" s="1" t="s">
        <v>66</v>
      </c>
      <c r="D1340" s="1">
        <v>0.90080000000000005</v>
      </c>
      <c r="E1340" s="1">
        <v>6614</v>
      </c>
      <c r="F1340" s="1">
        <v>25344</v>
      </c>
      <c r="G1340" s="1">
        <v>0.43959999999999999</v>
      </c>
      <c r="H1340" s="1">
        <v>0.73939999999999995</v>
      </c>
      <c r="I1340" s="1">
        <v>0.46529999999999999</v>
      </c>
      <c r="J1340" s="1">
        <v>57780</v>
      </c>
      <c r="K1340" s="1">
        <v>22334</v>
      </c>
      <c r="L1340" s="1">
        <v>13396</v>
      </c>
      <c r="M1340" s="1">
        <v>18</v>
      </c>
      <c r="N1340" s="1" t="s">
        <v>28</v>
      </c>
      <c r="O1340" s="1" t="s">
        <v>21</v>
      </c>
      <c r="P1340" s="1" t="s">
        <v>39</v>
      </c>
      <c r="Q1340" s="1" t="s">
        <v>23</v>
      </c>
      <c r="R1340">
        <v>6.0031820914560163E-2</v>
      </c>
    </row>
    <row r="1341" spans="1:18" x14ac:dyDescent="0.2">
      <c r="A1341" s="1">
        <v>484473</v>
      </c>
      <c r="B1341" s="1" t="s">
        <v>1410</v>
      </c>
      <c r="C1341" s="1" t="s">
        <v>27</v>
      </c>
      <c r="D1341" s="1">
        <v>0.61260000000000003</v>
      </c>
      <c r="E1341" s="1">
        <v>4627</v>
      </c>
      <c r="F1341" s="1">
        <v>16579</v>
      </c>
      <c r="G1341" s="1">
        <v>0.8468</v>
      </c>
      <c r="H1341" s="1">
        <v>0.94820000000000004</v>
      </c>
      <c r="I1341" s="1">
        <v>0.21809999999999999</v>
      </c>
      <c r="J1341" s="1">
        <v>71588</v>
      </c>
      <c r="K1341" s="1">
        <v>15000</v>
      </c>
      <c r="L1341" s="1">
        <v>5838</v>
      </c>
      <c r="M1341" s="1">
        <v>61</v>
      </c>
      <c r="N1341" s="1" t="s">
        <v>28</v>
      </c>
      <c r="O1341" s="1" t="s">
        <v>29</v>
      </c>
      <c r="P1341" s="1" t="s">
        <v>30</v>
      </c>
      <c r="Q1341" s="1" t="s">
        <v>23</v>
      </c>
      <c r="R1341">
        <v>6.0004928868100937E-2</v>
      </c>
    </row>
    <row r="1342" spans="1:18" x14ac:dyDescent="0.2">
      <c r="A1342" s="1">
        <v>240338</v>
      </c>
      <c r="B1342" s="1" t="s">
        <v>1411</v>
      </c>
      <c r="C1342" s="1" t="s">
        <v>50</v>
      </c>
      <c r="D1342" s="1">
        <v>0.78159999999999996</v>
      </c>
      <c r="E1342" s="1">
        <v>943</v>
      </c>
      <c r="F1342" s="1">
        <v>36110</v>
      </c>
      <c r="G1342" s="1">
        <v>0.63570000000000004</v>
      </c>
      <c r="H1342" s="1">
        <v>0.72509999999999997</v>
      </c>
      <c r="I1342" s="1">
        <v>0.28599999999999998</v>
      </c>
      <c r="J1342" s="1">
        <v>54664</v>
      </c>
      <c r="K1342" s="1">
        <v>26000</v>
      </c>
      <c r="L1342" s="1">
        <v>7508</v>
      </c>
      <c r="M1342" s="1">
        <v>11</v>
      </c>
      <c r="N1342" s="1" t="s">
        <v>20</v>
      </c>
      <c r="O1342" s="1" t="s">
        <v>29</v>
      </c>
      <c r="P1342" s="1" t="s">
        <v>22</v>
      </c>
      <c r="Q1342" s="1" t="s">
        <v>23</v>
      </c>
      <c r="R1342">
        <v>5.9650696579614304E-2</v>
      </c>
    </row>
    <row r="1343" spans="1:18" x14ac:dyDescent="0.2">
      <c r="A1343" s="1">
        <v>230728</v>
      </c>
      <c r="B1343" s="1" t="s">
        <v>1412</v>
      </c>
      <c r="C1343" s="1" t="s">
        <v>286</v>
      </c>
      <c r="D1343" s="1">
        <v>0.92469999999999997</v>
      </c>
      <c r="E1343" s="1">
        <v>20272</v>
      </c>
      <c r="F1343" s="1">
        <v>24802</v>
      </c>
      <c r="G1343" s="1">
        <v>0.59130000000000005</v>
      </c>
      <c r="H1343" s="1">
        <v>0.70840000000000003</v>
      </c>
      <c r="I1343" s="1">
        <v>0.25779999999999997</v>
      </c>
      <c r="J1343" s="1">
        <v>54022</v>
      </c>
      <c r="K1343" s="1">
        <v>14340</v>
      </c>
      <c r="L1343" s="1">
        <v>11173</v>
      </c>
      <c r="M1343" s="1">
        <v>19</v>
      </c>
      <c r="N1343" s="1" t="s">
        <v>28</v>
      </c>
      <c r="O1343" s="1" t="s">
        <v>29</v>
      </c>
      <c r="P1343" s="1" t="s">
        <v>22</v>
      </c>
      <c r="Q1343" s="1" t="s">
        <v>23</v>
      </c>
      <c r="R1343">
        <v>5.8108059861765482E-2</v>
      </c>
    </row>
    <row r="1344" spans="1:18" x14ac:dyDescent="0.2">
      <c r="A1344" s="1">
        <v>117751</v>
      </c>
      <c r="B1344" s="1" t="s">
        <v>1413</v>
      </c>
      <c r="C1344" s="1" t="s">
        <v>33</v>
      </c>
      <c r="D1344" s="1">
        <v>0.84019999999999995</v>
      </c>
      <c r="E1344" s="1">
        <v>1622</v>
      </c>
      <c r="F1344" s="1">
        <v>39020</v>
      </c>
      <c r="G1344" s="1">
        <v>0.67730000000000001</v>
      </c>
      <c r="H1344" s="1">
        <v>0.84670000000000001</v>
      </c>
      <c r="I1344" s="1">
        <v>0.21240000000000001</v>
      </c>
      <c r="J1344" s="1">
        <v>57106</v>
      </c>
      <c r="K1344" s="1">
        <v>20500</v>
      </c>
      <c r="L1344" s="1">
        <v>8083</v>
      </c>
      <c r="M1344" s="1">
        <v>13</v>
      </c>
      <c r="N1344" s="1" t="s">
        <v>20</v>
      </c>
      <c r="O1344" s="1" t="s">
        <v>21</v>
      </c>
      <c r="P1344" s="1" t="s">
        <v>22</v>
      </c>
      <c r="Q1344" s="1" t="s">
        <v>23</v>
      </c>
      <c r="R1344">
        <v>5.799673148182205E-2</v>
      </c>
    </row>
    <row r="1345" spans="1:18" x14ac:dyDescent="0.2">
      <c r="A1345" s="1">
        <v>164465</v>
      </c>
      <c r="B1345" s="1" t="s">
        <v>1414</v>
      </c>
      <c r="C1345" s="1" t="s">
        <v>129</v>
      </c>
      <c r="D1345" s="1">
        <v>9.01E-2</v>
      </c>
      <c r="E1345" s="1">
        <v>1911</v>
      </c>
      <c r="F1345" s="1">
        <v>70480</v>
      </c>
      <c r="G1345" s="1">
        <v>0.93899999999999995</v>
      </c>
      <c r="H1345" s="1">
        <v>0.97340000000000004</v>
      </c>
      <c r="I1345" s="1">
        <v>0.19839999999999999</v>
      </c>
      <c r="J1345" s="1">
        <v>77644</v>
      </c>
      <c r="K1345" s="1">
        <v>13740</v>
      </c>
      <c r="L1345" s="1">
        <v>15606</v>
      </c>
      <c r="M1345" s="1">
        <v>6</v>
      </c>
      <c r="N1345" s="1" t="s">
        <v>20</v>
      </c>
      <c r="O1345" s="1" t="s">
        <v>29</v>
      </c>
      <c r="P1345" s="1" t="s">
        <v>39</v>
      </c>
      <c r="Q1345" s="1" t="s">
        <v>23</v>
      </c>
      <c r="R1345">
        <v>5.7416145080391945E-2</v>
      </c>
    </row>
    <row r="1346" spans="1:18" x14ac:dyDescent="0.2">
      <c r="A1346" s="1">
        <v>218061</v>
      </c>
      <c r="B1346" s="1" t="s">
        <v>1415</v>
      </c>
      <c r="C1346" s="1" t="s">
        <v>155</v>
      </c>
      <c r="D1346" s="1">
        <v>0.8639</v>
      </c>
      <c r="E1346" s="1">
        <v>2628</v>
      </c>
      <c r="F1346" s="1">
        <v>21544</v>
      </c>
      <c r="G1346" s="1">
        <v>0.43390000000000001</v>
      </c>
      <c r="H1346" s="1">
        <v>0.70020000000000004</v>
      </c>
      <c r="I1346" s="1">
        <v>0.37619999999999998</v>
      </c>
      <c r="J1346" s="1">
        <v>43888</v>
      </c>
      <c r="K1346" s="1">
        <v>27000</v>
      </c>
      <c r="L1346" s="1">
        <v>8506</v>
      </c>
      <c r="M1346" s="1">
        <v>13</v>
      </c>
      <c r="N1346" s="1" t="s">
        <v>28</v>
      </c>
      <c r="O1346" s="1" t="s">
        <v>42</v>
      </c>
      <c r="P1346" s="1" t="s">
        <v>30</v>
      </c>
      <c r="Q1346" s="1" t="s">
        <v>31</v>
      </c>
      <c r="R1346">
        <v>5.5979199586039585E-2</v>
      </c>
    </row>
    <row r="1347" spans="1:18" x14ac:dyDescent="0.2">
      <c r="A1347" s="1">
        <v>192271</v>
      </c>
      <c r="B1347" s="1" t="s">
        <v>1416</v>
      </c>
      <c r="C1347" s="1" t="s">
        <v>58</v>
      </c>
      <c r="D1347" s="1">
        <v>0.95899999999999996</v>
      </c>
      <c r="E1347" s="1">
        <v>1187</v>
      </c>
      <c r="F1347" s="1">
        <v>33504</v>
      </c>
      <c r="G1347" s="1">
        <v>0.50870000000000004</v>
      </c>
      <c r="H1347" s="1">
        <v>0.73329999999999995</v>
      </c>
      <c r="I1347" s="1">
        <v>0.37709999999999999</v>
      </c>
      <c r="J1347" s="1">
        <v>58956</v>
      </c>
      <c r="K1347" s="1">
        <v>24000</v>
      </c>
      <c r="L1347" s="1">
        <v>6448</v>
      </c>
      <c r="M1347" s="1">
        <v>20</v>
      </c>
      <c r="N1347" s="1" t="s">
        <v>142</v>
      </c>
      <c r="O1347" s="1" t="s">
        <v>29</v>
      </c>
      <c r="P1347" s="1" t="s">
        <v>39</v>
      </c>
      <c r="Q1347" s="1" t="s">
        <v>23</v>
      </c>
      <c r="R1347">
        <v>5.5604034978934958E-2</v>
      </c>
    </row>
    <row r="1348" spans="1:18" x14ac:dyDescent="0.2">
      <c r="A1348" s="1">
        <v>107141</v>
      </c>
      <c r="B1348" s="1" t="s">
        <v>1417</v>
      </c>
      <c r="C1348" s="1" t="s">
        <v>70</v>
      </c>
      <c r="D1348" s="1">
        <v>0.76139999999999997</v>
      </c>
      <c r="E1348" s="1">
        <v>1471</v>
      </c>
      <c r="F1348" s="1">
        <v>31756</v>
      </c>
      <c r="G1348" s="1">
        <v>0.71789999999999998</v>
      </c>
      <c r="H1348" s="1">
        <v>0.81479999999999997</v>
      </c>
      <c r="I1348" s="1">
        <v>0.23699999999999999</v>
      </c>
      <c r="J1348" s="1">
        <v>53907</v>
      </c>
      <c r="K1348" s="1">
        <v>21250</v>
      </c>
      <c r="L1348" s="1">
        <v>7468</v>
      </c>
      <c r="M1348" s="1">
        <v>15</v>
      </c>
      <c r="N1348" s="1" t="s">
        <v>20</v>
      </c>
      <c r="O1348" s="1" t="s">
        <v>42</v>
      </c>
      <c r="P1348" s="1" t="s">
        <v>30</v>
      </c>
      <c r="Q1348" s="1" t="s">
        <v>23</v>
      </c>
      <c r="R1348">
        <v>5.5438265191431801E-2</v>
      </c>
    </row>
    <row r="1349" spans="1:18" x14ac:dyDescent="0.2">
      <c r="A1349" s="1">
        <v>102377</v>
      </c>
      <c r="B1349" s="1" t="s">
        <v>1418</v>
      </c>
      <c r="C1349" s="1" t="s">
        <v>177</v>
      </c>
      <c r="D1349" s="1">
        <v>0.48680000000000001</v>
      </c>
      <c r="E1349" s="1">
        <v>2630</v>
      </c>
      <c r="F1349" s="1">
        <v>25386</v>
      </c>
      <c r="G1349" s="1">
        <v>0.54979999999999996</v>
      </c>
      <c r="H1349" s="1">
        <v>0.80679999999999996</v>
      </c>
      <c r="I1349" s="1">
        <v>0.57669999999999999</v>
      </c>
      <c r="J1349" s="1">
        <v>49641</v>
      </c>
      <c r="K1349" s="1">
        <v>27000</v>
      </c>
      <c r="L1349" s="1">
        <v>7397</v>
      </c>
      <c r="M1349" s="1">
        <v>14</v>
      </c>
      <c r="N1349" s="1" t="s">
        <v>20</v>
      </c>
      <c r="O1349" s="1" t="s">
        <v>42</v>
      </c>
      <c r="P1349" s="1" t="s">
        <v>30</v>
      </c>
      <c r="Q1349" s="1" t="s">
        <v>31</v>
      </c>
      <c r="R1349">
        <v>5.4713829322087904E-2</v>
      </c>
    </row>
    <row r="1350" spans="1:18" x14ac:dyDescent="0.2">
      <c r="A1350" s="1">
        <v>166124</v>
      </c>
      <c r="B1350" s="1" t="s">
        <v>1419</v>
      </c>
      <c r="C1350" s="1" t="s">
        <v>129</v>
      </c>
      <c r="D1350" s="1">
        <v>0.17610000000000001</v>
      </c>
      <c r="E1350" s="1">
        <v>3106</v>
      </c>
      <c r="F1350" s="1">
        <v>64500</v>
      </c>
      <c r="G1350" s="1">
        <v>0.87329999999999997</v>
      </c>
      <c r="H1350" s="1">
        <v>0.94779999999999998</v>
      </c>
      <c r="I1350" s="1">
        <v>0.14799999999999999</v>
      </c>
      <c r="J1350" s="1">
        <v>90543</v>
      </c>
      <c r="K1350" s="1">
        <v>27000</v>
      </c>
      <c r="L1350" s="1">
        <v>12363</v>
      </c>
      <c r="M1350" s="1">
        <v>9</v>
      </c>
      <c r="N1350" s="1" t="s">
        <v>20</v>
      </c>
      <c r="O1350" s="1" t="s">
        <v>29</v>
      </c>
      <c r="P1350" s="1" t="s">
        <v>39</v>
      </c>
      <c r="Q1350" s="1" t="s">
        <v>23</v>
      </c>
      <c r="R1350">
        <v>5.1807859381770682E-2</v>
      </c>
    </row>
    <row r="1351" spans="1:18" x14ac:dyDescent="0.2">
      <c r="A1351" s="1">
        <v>193900</v>
      </c>
      <c r="B1351" s="1" t="s">
        <v>1420</v>
      </c>
      <c r="C1351" s="1" t="s">
        <v>58</v>
      </c>
      <c r="D1351" s="1">
        <v>9.2299999999999993E-2</v>
      </c>
      <c r="E1351" s="1">
        <v>28663</v>
      </c>
      <c r="F1351" s="1">
        <v>62796</v>
      </c>
      <c r="G1351" s="1">
        <v>0.87570000000000003</v>
      </c>
      <c r="H1351" s="1">
        <v>0.9577</v>
      </c>
      <c r="I1351" s="1">
        <v>0.17879999999999999</v>
      </c>
      <c r="J1351" s="1">
        <v>82509</v>
      </c>
      <c r="K1351" s="1">
        <v>20500</v>
      </c>
      <c r="L1351" s="1">
        <v>18026</v>
      </c>
      <c r="M1351" s="1">
        <v>8</v>
      </c>
      <c r="N1351" s="1" t="s">
        <v>20</v>
      </c>
      <c r="O1351" s="1" t="s">
        <v>29</v>
      </c>
      <c r="P1351" s="1" t="s">
        <v>39</v>
      </c>
      <c r="Q1351" s="1" t="s">
        <v>23</v>
      </c>
      <c r="R1351">
        <v>5.0885653614376136E-2</v>
      </c>
    </row>
    <row r="1352" spans="1:18" x14ac:dyDescent="0.2">
      <c r="A1352" s="1">
        <v>168430</v>
      </c>
      <c r="B1352" s="1" t="s">
        <v>1421</v>
      </c>
      <c r="C1352" s="1" t="s">
        <v>129</v>
      </c>
      <c r="D1352" s="1">
        <v>0.87990000000000002</v>
      </c>
      <c r="E1352" s="1">
        <v>3930</v>
      </c>
      <c r="F1352" s="1">
        <v>17866</v>
      </c>
      <c r="G1352" s="1">
        <v>0.61450000000000005</v>
      </c>
      <c r="H1352" s="1">
        <v>0.78139999999999998</v>
      </c>
      <c r="I1352" s="1">
        <v>0.3</v>
      </c>
      <c r="J1352" s="1">
        <v>60624</v>
      </c>
      <c r="K1352" s="1">
        <v>19500</v>
      </c>
      <c r="L1352" s="1">
        <v>10308</v>
      </c>
      <c r="M1352" s="1">
        <v>16</v>
      </c>
      <c r="N1352" s="1" t="s">
        <v>28</v>
      </c>
      <c r="O1352" s="1" t="s">
        <v>29</v>
      </c>
      <c r="P1352" s="1" t="s">
        <v>39</v>
      </c>
      <c r="Q1352" s="1" t="s">
        <v>23</v>
      </c>
      <c r="R1352">
        <v>5.0060838841194277E-2</v>
      </c>
    </row>
    <row r="1353" spans="1:18" x14ac:dyDescent="0.2">
      <c r="A1353" s="1">
        <v>164492</v>
      </c>
      <c r="B1353" s="1" t="s">
        <v>1422</v>
      </c>
      <c r="C1353" s="1" t="s">
        <v>129</v>
      </c>
      <c r="D1353" s="1">
        <v>0.503</v>
      </c>
      <c r="E1353" s="1">
        <v>906</v>
      </c>
      <c r="F1353" s="1">
        <v>44571</v>
      </c>
      <c r="G1353" s="1">
        <v>0.46229999999999999</v>
      </c>
      <c r="H1353" s="1">
        <v>0.60319999999999996</v>
      </c>
      <c r="I1353" s="1">
        <v>0.34289999999999998</v>
      </c>
      <c r="J1353" s="1">
        <v>46651</v>
      </c>
      <c r="K1353" s="1">
        <v>25000</v>
      </c>
      <c r="L1353" s="1">
        <v>7264</v>
      </c>
      <c r="M1353" s="1">
        <v>12</v>
      </c>
      <c r="N1353" s="1" t="s">
        <v>20</v>
      </c>
      <c r="O1353" s="1" t="s">
        <v>42</v>
      </c>
      <c r="P1353" s="1" t="s">
        <v>39</v>
      </c>
      <c r="Q1353" s="1" t="s">
        <v>31</v>
      </c>
      <c r="R1353">
        <v>4.9095457276377097E-2</v>
      </c>
    </row>
    <row r="1354" spans="1:18" x14ac:dyDescent="0.2">
      <c r="A1354" s="1">
        <v>233301</v>
      </c>
      <c r="B1354" s="1" t="s">
        <v>1423</v>
      </c>
      <c r="C1354" s="1" t="s">
        <v>52</v>
      </c>
      <c r="D1354" s="1">
        <v>0.93710000000000004</v>
      </c>
      <c r="E1354" s="1">
        <v>658</v>
      </c>
      <c r="F1354" s="1">
        <v>30310</v>
      </c>
      <c r="G1354" s="1">
        <v>0.46389999999999998</v>
      </c>
      <c r="H1354" s="1">
        <v>0.745</v>
      </c>
      <c r="I1354" s="1">
        <v>0.45839999999999997</v>
      </c>
      <c r="J1354" s="1">
        <v>53409</v>
      </c>
      <c r="K1354" s="1">
        <v>26950</v>
      </c>
      <c r="L1354" s="1">
        <v>8701</v>
      </c>
      <c r="M1354" s="1">
        <v>8</v>
      </c>
      <c r="N1354" s="1" t="s">
        <v>20</v>
      </c>
      <c r="O1354" s="1" t="s">
        <v>29</v>
      </c>
      <c r="P1354" s="1" t="s">
        <v>30</v>
      </c>
      <c r="Q1354" s="1" t="s">
        <v>23</v>
      </c>
      <c r="R1354">
        <v>4.8948803731072688E-2</v>
      </c>
    </row>
    <row r="1355" spans="1:18" x14ac:dyDescent="0.2">
      <c r="A1355" s="1">
        <v>105589</v>
      </c>
      <c r="B1355" s="1" t="s">
        <v>1424</v>
      </c>
      <c r="C1355" s="1" t="s">
        <v>216</v>
      </c>
      <c r="D1355" s="1">
        <v>0.94510000000000005</v>
      </c>
      <c r="E1355" s="1">
        <v>219</v>
      </c>
      <c r="F1355" s="1">
        <v>35685</v>
      </c>
      <c r="G1355" s="1">
        <v>0.55559999999999998</v>
      </c>
      <c r="H1355" s="1">
        <v>0.73909999999999998</v>
      </c>
      <c r="I1355" s="1">
        <v>0.4163</v>
      </c>
      <c r="J1355" s="1">
        <v>42359</v>
      </c>
      <c r="K1355" s="1">
        <v>16300</v>
      </c>
      <c r="L1355" s="1">
        <v>4764</v>
      </c>
      <c r="M1355" s="1">
        <v>8</v>
      </c>
      <c r="N1355" s="1" t="s">
        <v>20</v>
      </c>
      <c r="O1355" s="1" t="s">
        <v>29</v>
      </c>
      <c r="P1355" s="1" t="s">
        <v>22</v>
      </c>
      <c r="Q1355" s="1" t="s">
        <v>31</v>
      </c>
      <c r="R1355">
        <v>4.874962694004259E-2</v>
      </c>
    </row>
    <row r="1356" spans="1:18" x14ac:dyDescent="0.2">
      <c r="A1356" s="1">
        <v>134079</v>
      </c>
      <c r="B1356" s="1" t="s">
        <v>1425</v>
      </c>
      <c r="C1356" s="1" t="s">
        <v>27</v>
      </c>
      <c r="D1356" s="1">
        <v>0.64419999999999999</v>
      </c>
      <c r="E1356" s="1">
        <v>2656</v>
      </c>
      <c r="F1356" s="1">
        <v>44040</v>
      </c>
      <c r="G1356" s="1">
        <v>0.70550000000000002</v>
      </c>
      <c r="H1356" s="1">
        <v>0.8</v>
      </c>
      <c r="I1356" s="1">
        <v>0.28100000000000003</v>
      </c>
      <c r="J1356" s="1">
        <v>55294</v>
      </c>
      <c r="K1356" s="1">
        <v>25000</v>
      </c>
      <c r="L1356" s="1">
        <v>9031</v>
      </c>
      <c r="M1356" s="1">
        <v>11</v>
      </c>
      <c r="N1356" s="1" t="s">
        <v>20</v>
      </c>
      <c r="O1356" s="1" t="s">
        <v>29</v>
      </c>
      <c r="P1356" s="1" t="s">
        <v>30</v>
      </c>
      <c r="Q1356" s="1" t="s">
        <v>23</v>
      </c>
      <c r="R1356">
        <v>4.8309611102664296E-2</v>
      </c>
    </row>
    <row r="1357" spans="1:18" x14ac:dyDescent="0.2">
      <c r="A1357" s="1">
        <v>139931</v>
      </c>
      <c r="B1357" s="1" t="s">
        <v>1426</v>
      </c>
      <c r="C1357" s="1" t="s">
        <v>126</v>
      </c>
      <c r="D1357" s="1">
        <v>0.87890000000000001</v>
      </c>
      <c r="E1357" s="1">
        <v>21790</v>
      </c>
      <c r="F1357" s="1">
        <v>17734</v>
      </c>
      <c r="G1357" s="1">
        <v>0.54900000000000004</v>
      </c>
      <c r="H1357" s="1">
        <v>0.77829999999999999</v>
      </c>
      <c r="I1357" s="1">
        <v>0.36249999999999999</v>
      </c>
      <c r="J1357" s="1">
        <v>53236</v>
      </c>
      <c r="K1357" s="1">
        <v>23250</v>
      </c>
      <c r="L1357" s="1">
        <v>9310</v>
      </c>
      <c r="M1357" s="1">
        <v>25</v>
      </c>
      <c r="N1357" s="1" t="s">
        <v>28</v>
      </c>
      <c r="O1357" s="1" t="s">
        <v>42</v>
      </c>
      <c r="P1357" s="1" t="s">
        <v>30</v>
      </c>
      <c r="Q1357" s="1" t="s">
        <v>23</v>
      </c>
      <c r="R1357">
        <v>4.7994716040650642E-2</v>
      </c>
    </row>
    <row r="1358" spans="1:18" x14ac:dyDescent="0.2">
      <c r="A1358" s="1">
        <v>436818</v>
      </c>
      <c r="B1358" s="1" t="s">
        <v>1427</v>
      </c>
      <c r="C1358" s="1" t="s">
        <v>147</v>
      </c>
      <c r="D1358" s="1">
        <v>0.86660000000000004</v>
      </c>
      <c r="E1358" s="1">
        <v>733</v>
      </c>
      <c r="F1358" s="1">
        <v>40808</v>
      </c>
      <c r="G1358" s="1">
        <v>0.52729999999999999</v>
      </c>
      <c r="H1358" s="1">
        <v>0.77780000000000005</v>
      </c>
      <c r="I1358" s="1">
        <v>0.51580000000000004</v>
      </c>
      <c r="J1358" s="1">
        <v>73997</v>
      </c>
      <c r="K1358" s="1">
        <v>21500</v>
      </c>
      <c r="L1358" s="1">
        <v>17573</v>
      </c>
      <c r="M1358" s="1">
        <v>20</v>
      </c>
      <c r="N1358" s="1" t="s">
        <v>28</v>
      </c>
      <c r="O1358" s="1" t="s">
        <v>29</v>
      </c>
      <c r="P1358" s="1" t="s">
        <v>39</v>
      </c>
      <c r="Q1358" s="1" t="s">
        <v>23</v>
      </c>
      <c r="R1358">
        <v>4.7129449429402781E-2</v>
      </c>
    </row>
    <row r="1359" spans="1:18" x14ac:dyDescent="0.2">
      <c r="A1359" s="1">
        <v>198303</v>
      </c>
      <c r="B1359" s="1" t="s">
        <v>1428</v>
      </c>
      <c r="C1359" s="1" t="s">
        <v>86</v>
      </c>
      <c r="D1359" s="1">
        <v>0.68789999999999996</v>
      </c>
      <c r="E1359" s="1">
        <v>603</v>
      </c>
      <c r="F1359" s="1">
        <v>27910</v>
      </c>
      <c r="G1359" s="1">
        <v>0.29949999999999999</v>
      </c>
      <c r="H1359" s="1">
        <v>0.70809999999999995</v>
      </c>
      <c r="I1359" s="1">
        <v>0.56579999999999997</v>
      </c>
      <c r="J1359" s="1">
        <v>38412</v>
      </c>
      <c r="K1359" s="1">
        <v>29491</v>
      </c>
      <c r="L1359" s="1">
        <v>7034</v>
      </c>
      <c r="M1359" s="1">
        <v>15</v>
      </c>
      <c r="N1359" s="1" t="s">
        <v>20</v>
      </c>
      <c r="O1359" s="1" t="s">
        <v>42</v>
      </c>
      <c r="P1359" s="1" t="s">
        <v>30</v>
      </c>
      <c r="Q1359" s="1" t="s">
        <v>31</v>
      </c>
      <c r="R1359">
        <v>4.6448635817584072E-2</v>
      </c>
    </row>
    <row r="1360" spans="1:18" x14ac:dyDescent="0.2">
      <c r="A1360" s="1">
        <v>154712</v>
      </c>
      <c r="B1360" s="1" t="s">
        <v>1429</v>
      </c>
      <c r="C1360" s="1" t="s">
        <v>56</v>
      </c>
      <c r="D1360" s="1">
        <v>0.98119999999999996</v>
      </c>
      <c r="E1360" s="1">
        <v>2272</v>
      </c>
      <c r="F1360" s="1">
        <v>36350</v>
      </c>
      <c r="G1360" s="1">
        <v>0.61580000000000001</v>
      </c>
      <c r="H1360" s="1">
        <v>0.83230000000000004</v>
      </c>
      <c r="I1360" s="1">
        <v>0.18779999999999999</v>
      </c>
      <c r="J1360" s="1">
        <v>53175</v>
      </c>
      <c r="K1360" s="1">
        <v>24599</v>
      </c>
      <c r="L1360" s="1">
        <v>8331</v>
      </c>
      <c r="M1360" s="1">
        <v>16</v>
      </c>
      <c r="N1360" s="1" t="s">
        <v>20</v>
      </c>
      <c r="O1360" s="1" t="s">
        <v>42</v>
      </c>
      <c r="P1360" s="1" t="s">
        <v>22</v>
      </c>
      <c r="Q1360" s="1" t="s">
        <v>23</v>
      </c>
      <c r="R1360">
        <v>4.5366336311868816E-2</v>
      </c>
    </row>
    <row r="1361" spans="1:18" x14ac:dyDescent="0.2">
      <c r="A1361" s="1">
        <v>190372</v>
      </c>
      <c r="B1361" s="1" t="s">
        <v>1430</v>
      </c>
      <c r="C1361" s="1" t="s">
        <v>58</v>
      </c>
      <c r="D1361" s="1">
        <v>0.20710000000000001</v>
      </c>
      <c r="E1361" s="1">
        <v>842</v>
      </c>
      <c r="F1361" s="1">
        <v>46820</v>
      </c>
      <c r="G1361" s="1">
        <v>0.81110000000000004</v>
      </c>
      <c r="H1361" s="1">
        <v>0.9194</v>
      </c>
      <c r="I1361" s="1">
        <v>0.27860000000000001</v>
      </c>
      <c r="J1361" s="1">
        <v>83847</v>
      </c>
      <c r="K1361" s="1">
        <v>15000</v>
      </c>
      <c r="L1361" s="1">
        <v>14408</v>
      </c>
      <c r="M1361" s="1">
        <v>8</v>
      </c>
      <c r="N1361" s="1" t="s">
        <v>20</v>
      </c>
      <c r="O1361" s="1" t="s">
        <v>29</v>
      </c>
      <c r="P1361" s="1" t="s">
        <v>39</v>
      </c>
      <c r="Q1361" s="1" t="s">
        <v>23</v>
      </c>
      <c r="R1361">
        <v>4.4063577023156886E-2</v>
      </c>
    </row>
    <row r="1362" spans="1:18" x14ac:dyDescent="0.2">
      <c r="A1362" s="1">
        <v>225414</v>
      </c>
      <c r="B1362" s="1" t="s">
        <v>1431</v>
      </c>
      <c r="C1362" s="1" t="s">
        <v>36</v>
      </c>
      <c r="D1362" s="1">
        <v>0.9052</v>
      </c>
      <c r="E1362" s="1">
        <v>6078</v>
      </c>
      <c r="F1362" s="1">
        <v>21114</v>
      </c>
      <c r="G1362" s="1">
        <v>0.51629999999999998</v>
      </c>
      <c r="H1362" s="1">
        <v>0.74439999999999995</v>
      </c>
      <c r="I1362" s="1">
        <v>0.45240000000000002</v>
      </c>
      <c r="J1362" s="1">
        <v>59004</v>
      </c>
      <c r="K1362" s="1">
        <v>17831</v>
      </c>
      <c r="L1362" s="1">
        <v>10108</v>
      </c>
      <c r="M1362" s="1">
        <v>15</v>
      </c>
      <c r="N1362" s="1" t="s">
        <v>28</v>
      </c>
      <c r="O1362" s="1" t="s">
        <v>29</v>
      </c>
      <c r="P1362" s="1" t="s">
        <v>30</v>
      </c>
      <c r="Q1362" s="1" t="s">
        <v>23</v>
      </c>
      <c r="R1362">
        <v>4.0533074940407143E-2</v>
      </c>
    </row>
    <row r="1363" spans="1:18" x14ac:dyDescent="0.2">
      <c r="A1363" s="1">
        <v>125763</v>
      </c>
      <c r="B1363" s="1" t="s">
        <v>1432</v>
      </c>
      <c r="C1363" s="1" t="s">
        <v>33</v>
      </c>
      <c r="D1363" s="1">
        <v>0.80789999999999995</v>
      </c>
      <c r="E1363" s="1">
        <v>764</v>
      </c>
      <c r="F1363" s="1">
        <v>51350</v>
      </c>
      <c r="G1363" s="1">
        <v>0.59960000000000002</v>
      </c>
      <c r="H1363" s="1">
        <v>0.66210000000000002</v>
      </c>
      <c r="I1363" s="1">
        <v>0.33910000000000001</v>
      </c>
      <c r="J1363" s="1">
        <v>59492</v>
      </c>
      <c r="K1363" s="1">
        <v>24937</v>
      </c>
      <c r="L1363" s="1">
        <v>9094</v>
      </c>
      <c r="M1363" s="1">
        <v>8</v>
      </c>
      <c r="N1363" s="1" t="s">
        <v>20</v>
      </c>
      <c r="O1363" s="1" t="s">
        <v>21</v>
      </c>
      <c r="P1363" s="1" t="s">
        <v>22</v>
      </c>
      <c r="Q1363" s="1" t="s">
        <v>23</v>
      </c>
      <c r="R1363">
        <v>4.032426856742144E-2</v>
      </c>
    </row>
    <row r="1364" spans="1:18" x14ac:dyDescent="0.2">
      <c r="A1364" s="1">
        <v>160612</v>
      </c>
      <c r="B1364" s="1" t="s">
        <v>1433</v>
      </c>
      <c r="C1364" s="1" t="s">
        <v>46</v>
      </c>
      <c r="D1364" s="1">
        <v>0.99309999999999998</v>
      </c>
      <c r="E1364" s="1">
        <v>9514</v>
      </c>
      <c r="F1364" s="1">
        <v>20851</v>
      </c>
      <c r="G1364" s="1">
        <v>0.4541</v>
      </c>
      <c r="H1364" s="1">
        <v>0.72529999999999994</v>
      </c>
      <c r="I1364" s="1">
        <v>0.33260000000000001</v>
      </c>
      <c r="J1364" s="1">
        <v>46482</v>
      </c>
      <c r="K1364" s="1">
        <v>22113</v>
      </c>
      <c r="L1364" s="1">
        <v>7315</v>
      </c>
      <c r="M1364" s="1">
        <v>20</v>
      </c>
      <c r="N1364" s="1" t="s">
        <v>28</v>
      </c>
      <c r="O1364" s="1" t="s">
        <v>29</v>
      </c>
      <c r="P1364" s="1" t="s">
        <v>30</v>
      </c>
      <c r="Q1364" s="1" t="s">
        <v>31</v>
      </c>
      <c r="R1364">
        <v>3.9772218783270863E-2</v>
      </c>
    </row>
    <row r="1365" spans="1:18" x14ac:dyDescent="0.2">
      <c r="A1365" s="1">
        <v>204857</v>
      </c>
      <c r="B1365" s="1" t="s">
        <v>1434</v>
      </c>
      <c r="C1365" s="1" t="s">
        <v>19</v>
      </c>
      <c r="D1365" s="1">
        <v>0.84989999999999999</v>
      </c>
      <c r="E1365" s="1">
        <v>19633</v>
      </c>
      <c r="F1365" s="1">
        <v>24838</v>
      </c>
      <c r="G1365" s="1">
        <v>0.65449999999999997</v>
      </c>
      <c r="H1365" s="1">
        <v>0.83889999999999998</v>
      </c>
      <c r="I1365" s="1">
        <v>0.21210000000000001</v>
      </c>
      <c r="J1365" s="1">
        <v>52581</v>
      </c>
      <c r="K1365" s="1">
        <v>21056</v>
      </c>
      <c r="L1365" s="1">
        <v>9814</v>
      </c>
      <c r="M1365" s="1">
        <v>18</v>
      </c>
      <c r="N1365" s="1" t="s">
        <v>28</v>
      </c>
      <c r="O1365" s="1" t="s">
        <v>42</v>
      </c>
      <c r="P1365" s="1" t="s">
        <v>22</v>
      </c>
      <c r="Q1365" s="1" t="s">
        <v>23</v>
      </c>
      <c r="R1365">
        <v>3.7880504971223083E-2</v>
      </c>
    </row>
    <row r="1366" spans="1:18" x14ac:dyDescent="0.2">
      <c r="A1366" s="1">
        <v>219639</v>
      </c>
      <c r="B1366" s="1" t="s">
        <v>1435</v>
      </c>
      <c r="C1366" s="1" t="s">
        <v>163</v>
      </c>
      <c r="D1366" s="1">
        <v>0.82020000000000004</v>
      </c>
      <c r="E1366" s="1">
        <v>770</v>
      </c>
      <c r="F1366" s="1">
        <v>13796</v>
      </c>
      <c r="G1366" s="1">
        <v>0.39800000000000002</v>
      </c>
      <c r="H1366" s="1">
        <v>0.52629999999999999</v>
      </c>
      <c r="I1366" s="1">
        <v>0.45429999999999998</v>
      </c>
      <c r="J1366" s="1">
        <v>72529</v>
      </c>
      <c r="K1366" s="1">
        <v>29500</v>
      </c>
      <c r="L1366" s="1">
        <v>10403</v>
      </c>
      <c r="M1366" s="1">
        <v>6</v>
      </c>
      <c r="N1366" s="1" t="s">
        <v>20</v>
      </c>
      <c r="O1366" s="1" t="s">
        <v>29</v>
      </c>
      <c r="P1366" s="1" t="s">
        <v>30</v>
      </c>
      <c r="Q1366" s="1" t="s">
        <v>23</v>
      </c>
      <c r="R1366">
        <v>3.7456030837525578E-2</v>
      </c>
    </row>
    <row r="1367" spans="1:18" x14ac:dyDescent="0.2">
      <c r="A1367" s="1">
        <v>224554</v>
      </c>
      <c r="B1367" s="1" t="s">
        <v>1436</v>
      </c>
      <c r="C1367" s="1" t="s">
        <v>36</v>
      </c>
      <c r="D1367" s="1">
        <v>0.9224</v>
      </c>
      <c r="E1367" s="1">
        <v>9912</v>
      </c>
      <c r="F1367" s="1">
        <v>22326</v>
      </c>
      <c r="G1367" s="1">
        <v>0.42809999999999998</v>
      </c>
      <c r="H1367" s="1">
        <v>0.57230000000000003</v>
      </c>
      <c r="I1367" s="1">
        <v>0.4047</v>
      </c>
      <c r="J1367" s="1">
        <v>50296</v>
      </c>
      <c r="K1367" s="1">
        <v>20500</v>
      </c>
      <c r="L1367" s="1">
        <v>8866</v>
      </c>
      <c r="M1367" s="1">
        <v>17</v>
      </c>
      <c r="N1367" s="1" t="s">
        <v>28</v>
      </c>
      <c r="O1367" s="1" t="s">
        <v>42</v>
      </c>
      <c r="P1367" s="1" t="s">
        <v>30</v>
      </c>
      <c r="Q1367" s="1" t="s">
        <v>23</v>
      </c>
      <c r="R1367">
        <v>3.6952647196390132E-2</v>
      </c>
    </row>
    <row r="1368" spans="1:18" x14ac:dyDescent="0.2">
      <c r="A1368" s="1">
        <v>139658</v>
      </c>
      <c r="B1368" s="1" t="s">
        <v>1437</v>
      </c>
      <c r="C1368" s="1" t="s">
        <v>126</v>
      </c>
      <c r="D1368" s="1">
        <v>0.1065</v>
      </c>
      <c r="E1368" s="1">
        <v>7298</v>
      </c>
      <c r="F1368" s="1">
        <v>64280</v>
      </c>
      <c r="G1368" s="1">
        <v>0.91090000000000004</v>
      </c>
      <c r="H1368" s="1">
        <v>0.95699999999999996</v>
      </c>
      <c r="I1368" s="1">
        <v>0.18210000000000001</v>
      </c>
      <c r="J1368" s="1">
        <v>80137</v>
      </c>
      <c r="K1368" s="1">
        <v>18250</v>
      </c>
      <c r="L1368" s="1">
        <v>16636</v>
      </c>
      <c r="M1368" s="1">
        <v>10</v>
      </c>
      <c r="N1368" s="1" t="s">
        <v>20</v>
      </c>
      <c r="O1368" s="1" t="s">
        <v>29</v>
      </c>
      <c r="P1368" s="1" t="s">
        <v>30</v>
      </c>
      <c r="Q1368" s="1" t="s">
        <v>23</v>
      </c>
      <c r="R1368">
        <v>3.6627906554373202E-2</v>
      </c>
    </row>
    <row r="1369" spans="1:18" x14ac:dyDescent="0.2">
      <c r="A1369" s="1">
        <v>164076</v>
      </c>
      <c r="B1369" s="1" t="s">
        <v>1438</v>
      </c>
      <c r="C1369" s="1" t="s">
        <v>61</v>
      </c>
      <c r="D1369" s="1">
        <v>0.81969999999999998</v>
      </c>
      <c r="E1369" s="1">
        <v>16136</v>
      </c>
      <c r="F1369" s="1">
        <v>29820</v>
      </c>
      <c r="G1369" s="1">
        <v>0.6946</v>
      </c>
      <c r="H1369" s="1">
        <v>0.82769999999999999</v>
      </c>
      <c r="I1369" s="1">
        <v>0.3579</v>
      </c>
      <c r="J1369" s="1">
        <v>64390</v>
      </c>
      <c r="K1369" s="1">
        <v>18718</v>
      </c>
      <c r="L1369" s="1">
        <v>9975</v>
      </c>
      <c r="M1369" s="1">
        <v>14</v>
      </c>
      <c r="N1369" s="1" t="s">
        <v>28</v>
      </c>
      <c r="O1369" s="1" t="s">
        <v>29</v>
      </c>
      <c r="P1369" s="1" t="s">
        <v>30</v>
      </c>
      <c r="Q1369" s="1" t="s">
        <v>23</v>
      </c>
      <c r="R1369">
        <v>3.6010544568416902E-2</v>
      </c>
    </row>
    <row r="1370" spans="1:18" x14ac:dyDescent="0.2">
      <c r="A1370" s="1">
        <v>384254</v>
      </c>
      <c r="B1370" s="1" t="s">
        <v>1439</v>
      </c>
      <c r="C1370" s="1" t="s">
        <v>27</v>
      </c>
      <c r="D1370" s="1">
        <v>0.43469999999999998</v>
      </c>
      <c r="E1370" s="1">
        <v>506</v>
      </c>
      <c r="F1370" s="1">
        <v>51680</v>
      </c>
      <c r="G1370" s="1">
        <v>0.60229999999999995</v>
      </c>
      <c r="H1370" s="1">
        <v>0.84919999999999995</v>
      </c>
      <c r="I1370" s="1">
        <v>0.23530000000000001</v>
      </c>
      <c r="J1370" s="1">
        <v>29420</v>
      </c>
      <c r="K1370" s="1">
        <v>25000</v>
      </c>
      <c r="L1370" s="1">
        <v>6234</v>
      </c>
      <c r="M1370" s="1">
        <v>12</v>
      </c>
      <c r="N1370" s="1" t="s">
        <v>20</v>
      </c>
      <c r="O1370" s="1" t="s">
        <v>21</v>
      </c>
      <c r="P1370" s="1" t="s">
        <v>30</v>
      </c>
      <c r="Q1370" s="1" t="s">
        <v>31</v>
      </c>
      <c r="R1370">
        <v>3.4605240089460865E-2</v>
      </c>
    </row>
    <row r="1371" spans="1:18" x14ac:dyDescent="0.2">
      <c r="A1371" s="1">
        <v>150668</v>
      </c>
      <c r="B1371" s="1" t="s">
        <v>1440</v>
      </c>
      <c r="C1371" s="1" t="s">
        <v>102</v>
      </c>
      <c r="D1371" s="1">
        <v>0.8407</v>
      </c>
      <c r="E1371" s="1">
        <v>773</v>
      </c>
      <c r="F1371" s="1">
        <v>38890</v>
      </c>
      <c r="G1371" s="1">
        <v>0.65</v>
      </c>
      <c r="H1371" s="1">
        <v>0.80130000000000001</v>
      </c>
      <c r="I1371" s="1">
        <v>0.35830000000000001</v>
      </c>
      <c r="J1371" s="1">
        <v>51943</v>
      </c>
      <c r="K1371" s="1">
        <v>22974</v>
      </c>
      <c r="L1371" s="1">
        <v>6513</v>
      </c>
      <c r="M1371" s="1">
        <v>9</v>
      </c>
      <c r="N1371" s="1" t="s">
        <v>20</v>
      </c>
      <c r="O1371" s="1" t="s">
        <v>29</v>
      </c>
      <c r="P1371" s="1" t="s">
        <v>22</v>
      </c>
      <c r="Q1371" s="1" t="s">
        <v>23</v>
      </c>
      <c r="R1371">
        <v>3.4322910700933962E-2</v>
      </c>
    </row>
    <row r="1372" spans="1:18" x14ac:dyDescent="0.2">
      <c r="A1372" s="1">
        <v>230959</v>
      </c>
      <c r="B1372" s="1" t="s">
        <v>1441</v>
      </c>
      <c r="C1372" s="1" t="s">
        <v>451</v>
      </c>
      <c r="D1372" s="1">
        <v>0.1075</v>
      </c>
      <c r="E1372" s="1">
        <v>2738</v>
      </c>
      <c r="F1372" s="1">
        <v>67600</v>
      </c>
      <c r="G1372" s="1">
        <v>0.91400000000000003</v>
      </c>
      <c r="H1372" s="1">
        <v>0.93659999999999999</v>
      </c>
      <c r="I1372" s="1">
        <v>0.15890000000000001</v>
      </c>
      <c r="J1372" s="1">
        <v>76310</v>
      </c>
      <c r="K1372" s="1">
        <v>13857</v>
      </c>
      <c r="L1372" s="1">
        <v>13875</v>
      </c>
      <c r="M1372" s="1">
        <v>8</v>
      </c>
      <c r="N1372" s="1" t="s">
        <v>20</v>
      </c>
      <c r="O1372" s="1" t="s">
        <v>42</v>
      </c>
      <c r="P1372" s="1" t="s">
        <v>39</v>
      </c>
      <c r="Q1372" s="1" t="s">
        <v>23</v>
      </c>
      <c r="R1372">
        <v>3.3273561022369447E-2</v>
      </c>
    </row>
    <row r="1373" spans="1:18" x14ac:dyDescent="0.2">
      <c r="A1373" s="1">
        <v>149231</v>
      </c>
      <c r="B1373" s="1" t="s">
        <v>1442</v>
      </c>
      <c r="C1373" s="1" t="s">
        <v>25</v>
      </c>
      <c r="D1373" s="1">
        <v>0.97499999999999998</v>
      </c>
      <c r="E1373" s="1">
        <v>8750</v>
      </c>
      <c r="F1373" s="1">
        <v>12922</v>
      </c>
      <c r="G1373" s="1">
        <v>0.56969999999999998</v>
      </c>
      <c r="H1373" s="1">
        <v>0.75700000000000001</v>
      </c>
      <c r="I1373" s="1">
        <v>0.3266</v>
      </c>
      <c r="J1373" s="1">
        <v>56346</v>
      </c>
      <c r="K1373" s="1">
        <v>20500</v>
      </c>
      <c r="L1373" s="1">
        <v>9158</v>
      </c>
      <c r="M1373" s="1">
        <v>15</v>
      </c>
      <c r="N1373" s="1" t="s">
        <v>28</v>
      </c>
      <c r="O1373" s="1" t="s">
        <v>21</v>
      </c>
      <c r="P1373" s="1" t="s">
        <v>22</v>
      </c>
      <c r="Q1373" s="1" t="s">
        <v>23</v>
      </c>
      <c r="R1373">
        <v>3.1422939904996783E-2</v>
      </c>
    </row>
    <row r="1374" spans="1:18" x14ac:dyDescent="0.2">
      <c r="A1374" s="1">
        <v>233718</v>
      </c>
      <c r="B1374" s="1" t="s">
        <v>1443</v>
      </c>
      <c r="C1374" s="1" t="s">
        <v>52</v>
      </c>
      <c r="D1374" s="1">
        <v>0.75539999999999996</v>
      </c>
      <c r="E1374" s="1">
        <v>443</v>
      </c>
      <c r="F1374" s="1">
        <v>26160</v>
      </c>
      <c r="G1374" s="1">
        <v>0.51819999999999999</v>
      </c>
      <c r="H1374" s="1">
        <v>0.69340000000000002</v>
      </c>
      <c r="I1374" s="1">
        <v>0.31030000000000002</v>
      </c>
      <c r="J1374" s="1">
        <v>51943</v>
      </c>
      <c r="K1374" s="1">
        <v>27000</v>
      </c>
      <c r="L1374" s="1">
        <v>6914</v>
      </c>
      <c r="M1374" s="1">
        <v>9</v>
      </c>
      <c r="N1374" s="1" t="s">
        <v>20</v>
      </c>
      <c r="O1374" s="1" t="s">
        <v>42</v>
      </c>
      <c r="P1374" s="1" t="s">
        <v>30</v>
      </c>
      <c r="Q1374" s="1" t="s">
        <v>23</v>
      </c>
      <c r="R1374">
        <v>2.9643864501497696E-2</v>
      </c>
    </row>
    <row r="1375" spans="1:18" x14ac:dyDescent="0.2">
      <c r="A1375" s="1">
        <v>190150</v>
      </c>
      <c r="B1375" s="1" t="s">
        <v>1444</v>
      </c>
      <c r="C1375" s="1" t="s">
        <v>58</v>
      </c>
      <c r="D1375" s="1">
        <v>3.9899999999999998E-2</v>
      </c>
      <c r="E1375" s="1">
        <v>8973</v>
      </c>
      <c r="F1375" s="1">
        <v>71845</v>
      </c>
      <c r="G1375" s="1">
        <v>0.96099999999999997</v>
      </c>
      <c r="H1375" s="1">
        <v>0.98</v>
      </c>
      <c r="I1375" s="1">
        <v>0.2271</v>
      </c>
      <c r="J1375" s="1">
        <v>102491</v>
      </c>
      <c r="K1375" s="1">
        <v>21500</v>
      </c>
      <c r="L1375" s="1">
        <v>21516</v>
      </c>
      <c r="M1375" s="1">
        <v>6</v>
      </c>
      <c r="N1375" s="1" t="s">
        <v>20</v>
      </c>
      <c r="O1375" s="1" t="s">
        <v>29</v>
      </c>
      <c r="P1375" s="1" t="s">
        <v>39</v>
      </c>
      <c r="Q1375" s="1" t="s">
        <v>23</v>
      </c>
      <c r="R1375">
        <v>2.8618230587947546E-2</v>
      </c>
    </row>
    <row r="1376" spans="1:18" x14ac:dyDescent="0.2">
      <c r="A1376" s="1">
        <v>176965</v>
      </c>
      <c r="B1376" s="1" t="s">
        <v>1445</v>
      </c>
      <c r="C1376" s="1" t="s">
        <v>77</v>
      </c>
      <c r="D1376" s="1">
        <v>0.63800000000000001</v>
      </c>
      <c r="E1376" s="1">
        <v>5648</v>
      </c>
      <c r="F1376" s="1">
        <v>18600</v>
      </c>
      <c r="G1376" s="1">
        <v>0.54079999999999995</v>
      </c>
      <c r="H1376" s="1">
        <v>0.73629999999999995</v>
      </c>
      <c r="I1376" s="1">
        <v>0.26779999999999998</v>
      </c>
      <c r="J1376" s="1">
        <v>49560</v>
      </c>
      <c r="K1376" s="1">
        <v>21000</v>
      </c>
      <c r="L1376" s="1">
        <v>9188</v>
      </c>
      <c r="M1376" s="1">
        <v>18</v>
      </c>
      <c r="N1376" s="1" t="s">
        <v>28</v>
      </c>
      <c r="O1376" s="1" t="s">
        <v>42</v>
      </c>
      <c r="P1376" s="1" t="s">
        <v>22</v>
      </c>
      <c r="Q1376" s="1" t="s">
        <v>31</v>
      </c>
      <c r="R1376">
        <v>2.701840907784625E-2</v>
      </c>
    </row>
    <row r="1377" spans="1:18" x14ac:dyDescent="0.2">
      <c r="A1377" s="1">
        <v>140234</v>
      </c>
      <c r="B1377" s="1" t="s">
        <v>1446</v>
      </c>
      <c r="C1377" s="1" t="s">
        <v>126</v>
      </c>
      <c r="D1377" s="1">
        <v>0.62090000000000001</v>
      </c>
      <c r="E1377" s="1">
        <v>636</v>
      </c>
      <c r="F1377" s="1">
        <v>35400</v>
      </c>
      <c r="G1377" s="1">
        <v>0.46920000000000001</v>
      </c>
      <c r="H1377" s="1">
        <v>0.67210000000000003</v>
      </c>
      <c r="I1377" s="1">
        <v>0.43130000000000002</v>
      </c>
      <c r="J1377" s="1">
        <v>51745</v>
      </c>
      <c r="K1377" s="1">
        <v>25730</v>
      </c>
      <c r="L1377" s="1">
        <v>6863</v>
      </c>
      <c r="M1377" s="1">
        <v>13</v>
      </c>
      <c r="N1377" s="1" t="s">
        <v>20</v>
      </c>
      <c r="O1377" s="1" t="s">
        <v>42</v>
      </c>
      <c r="P1377" s="1" t="s">
        <v>30</v>
      </c>
      <c r="Q1377" s="1" t="s">
        <v>23</v>
      </c>
      <c r="R1377">
        <v>2.6887248266026953E-2</v>
      </c>
    </row>
    <row r="1378" spans="1:18" x14ac:dyDescent="0.2">
      <c r="A1378" s="1">
        <v>176789</v>
      </c>
      <c r="B1378" s="1" t="s">
        <v>1447</v>
      </c>
      <c r="C1378" s="1" t="s">
        <v>77</v>
      </c>
      <c r="D1378" s="1">
        <v>0.71740000000000004</v>
      </c>
      <c r="E1378" s="1">
        <v>154</v>
      </c>
      <c r="F1378" s="1">
        <v>14094</v>
      </c>
      <c r="G1378" s="1">
        <v>0.52170000000000005</v>
      </c>
      <c r="H1378" s="1">
        <v>0.54549999999999998</v>
      </c>
      <c r="I1378" s="1">
        <v>0.31309999999999999</v>
      </c>
      <c r="J1378" s="1">
        <v>45421</v>
      </c>
      <c r="K1378" s="1">
        <v>20839</v>
      </c>
      <c r="L1378" s="1">
        <v>4019</v>
      </c>
      <c r="M1378" s="1">
        <v>7</v>
      </c>
      <c r="N1378" s="1" t="s">
        <v>20</v>
      </c>
      <c r="O1378" s="1" t="s">
        <v>29</v>
      </c>
      <c r="P1378" s="1" t="s">
        <v>22</v>
      </c>
      <c r="Q1378" s="1" t="s">
        <v>31</v>
      </c>
      <c r="R1378">
        <v>2.6444699824184625E-2</v>
      </c>
    </row>
    <row r="1379" spans="1:18" x14ac:dyDescent="0.2">
      <c r="A1379" s="1">
        <v>194091</v>
      </c>
      <c r="B1379" s="1" t="s">
        <v>1448</v>
      </c>
      <c r="C1379" s="1" t="s">
        <v>58</v>
      </c>
      <c r="D1379" s="1">
        <v>0.81020000000000003</v>
      </c>
      <c r="E1379" s="1">
        <v>3440</v>
      </c>
      <c r="F1379" s="1">
        <v>46560</v>
      </c>
      <c r="G1379" s="1">
        <v>0.5877</v>
      </c>
      <c r="H1379" s="1">
        <v>0.77990000000000004</v>
      </c>
      <c r="I1379" s="1">
        <v>0.45100000000000001</v>
      </c>
      <c r="J1379" s="1">
        <v>70080</v>
      </c>
      <c r="K1379" s="1">
        <v>23334</v>
      </c>
      <c r="L1379" s="1">
        <v>13524</v>
      </c>
      <c r="M1379" s="1">
        <v>12</v>
      </c>
      <c r="N1379" s="1" t="s">
        <v>20</v>
      </c>
      <c r="O1379" s="1" t="s">
        <v>42</v>
      </c>
      <c r="P1379" s="1" t="s">
        <v>39</v>
      </c>
      <c r="Q1379" s="1" t="s">
        <v>23</v>
      </c>
      <c r="R1379">
        <v>2.5360636786385227E-2</v>
      </c>
    </row>
    <row r="1380" spans="1:18" x14ac:dyDescent="0.2">
      <c r="A1380" s="1">
        <v>217925</v>
      </c>
      <c r="B1380" s="1" t="s">
        <v>1449</v>
      </c>
      <c r="C1380" s="1" t="s">
        <v>155</v>
      </c>
      <c r="D1380" s="1">
        <v>0.94469999999999998</v>
      </c>
      <c r="E1380" s="1">
        <v>716</v>
      </c>
      <c r="F1380" s="1">
        <v>27900</v>
      </c>
      <c r="G1380" s="1">
        <v>0.46789999999999998</v>
      </c>
      <c r="H1380" s="1">
        <v>0.53269999999999995</v>
      </c>
      <c r="I1380" s="1">
        <v>0.3417</v>
      </c>
      <c r="J1380" s="1">
        <v>38951</v>
      </c>
      <c r="K1380" s="1">
        <v>20000</v>
      </c>
      <c r="L1380" s="1">
        <v>6410</v>
      </c>
      <c r="M1380" s="1">
        <v>13</v>
      </c>
      <c r="N1380" s="1" t="s">
        <v>20</v>
      </c>
      <c r="O1380" s="1" t="s">
        <v>29</v>
      </c>
      <c r="P1380" s="1" t="s">
        <v>30</v>
      </c>
      <c r="Q1380" s="1" t="s">
        <v>31</v>
      </c>
      <c r="R1380">
        <v>2.473989323737702E-2</v>
      </c>
    </row>
    <row r="1381" spans="1:18" x14ac:dyDescent="0.2">
      <c r="A1381" s="1">
        <v>219833</v>
      </c>
      <c r="B1381" s="1" t="s">
        <v>1450</v>
      </c>
      <c r="C1381" s="1" t="s">
        <v>163</v>
      </c>
      <c r="D1381" s="1">
        <v>0.86699999999999999</v>
      </c>
      <c r="E1381" s="1">
        <v>905</v>
      </c>
      <c r="F1381" s="1">
        <v>38420</v>
      </c>
      <c r="G1381" s="1">
        <v>0.54710000000000003</v>
      </c>
      <c r="H1381" s="1">
        <v>0.74870000000000003</v>
      </c>
      <c r="I1381" s="1">
        <v>0.30980000000000002</v>
      </c>
      <c r="J1381" s="1">
        <v>57478</v>
      </c>
      <c r="K1381" s="1">
        <v>27000</v>
      </c>
      <c r="L1381" s="1">
        <v>8036</v>
      </c>
      <c r="M1381" s="1">
        <v>9</v>
      </c>
      <c r="N1381" s="1" t="s">
        <v>20</v>
      </c>
      <c r="O1381" s="1" t="s">
        <v>29</v>
      </c>
      <c r="P1381" s="1" t="s">
        <v>30</v>
      </c>
      <c r="Q1381" s="1" t="s">
        <v>23</v>
      </c>
      <c r="R1381">
        <v>2.4676205592765288E-2</v>
      </c>
    </row>
    <row r="1382" spans="1:18" x14ac:dyDescent="0.2">
      <c r="A1382" s="1">
        <v>232025</v>
      </c>
      <c r="B1382" s="1" t="s">
        <v>1451</v>
      </c>
      <c r="C1382" s="1" t="s">
        <v>52</v>
      </c>
      <c r="D1382" s="1">
        <v>0.83650000000000002</v>
      </c>
      <c r="E1382" s="1">
        <v>1078</v>
      </c>
      <c r="F1382" s="1">
        <v>39000</v>
      </c>
      <c r="G1382" s="1">
        <v>0.56340000000000001</v>
      </c>
      <c r="H1382" s="1">
        <v>0.66269999999999996</v>
      </c>
      <c r="I1382" s="1">
        <v>0.38479999999999998</v>
      </c>
      <c r="J1382" s="1">
        <v>47385</v>
      </c>
      <c r="K1382" s="1">
        <v>26332</v>
      </c>
      <c r="L1382" s="1">
        <v>7819</v>
      </c>
      <c r="M1382" s="1">
        <v>12</v>
      </c>
      <c r="N1382" s="1" t="s">
        <v>20</v>
      </c>
      <c r="O1382" s="1" t="s">
        <v>42</v>
      </c>
      <c r="P1382" s="1" t="s">
        <v>30</v>
      </c>
      <c r="Q1382" s="1" t="s">
        <v>31</v>
      </c>
      <c r="R1382">
        <v>2.3589715646169629E-2</v>
      </c>
    </row>
    <row r="1383" spans="1:18" x14ac:dyDescent="0.2">
      <c r="A1383" s="1">
        <v>168528</v>
      </c>
      <c r="B1383" s="1" t="s">
        <v>1452</v>
      </c>
      <c r="C1383" s="1" t="s">
        <v>109</v>
      </c>
      <c r="D1383" s="1">
        <v>0.72529999999999994</v>
      </c>
      <c r="E1383" s="1">
        <v>1604</v>
      </c>
      <c r="F1383" s="1">
        <v>41684</v>
      </c>
      <c r="G1383" s="1">
        <v>0.48420000000000002</v>
      </c>
      <c r="H1383" s="1">
        <v>0.6542</v>
      </c>
      <c r="I1383" s="1">
        <v>0.30809999999999998</v>
      </c>
      <c r="J1383" s="1">
        <v>55504</v>
      </c>
      <c r="K1383" s="1">
        <v>27000</v>
      </c>
      <c r="L1383" s="1">
        <v>6614</v>
      </c>
      <c r="M1383" s="1">
        <v>16</v>
      </c>
      <c r="N1383" s="1" t="s">
        <v>20</v>
      </c>
      <c r="O1383" s="1" t="s">
        <v>42</v>
      </c>
      <c r="P1383" s="1" t="s">
        <v>22</v>
      </c>
      <c r="Q1383" s="1" t="s">
        <v>23</v>
      </c>
      <c r="R1383">
        <v>2.0536499864280189E-2</v>
      </c>
    </row>
    <row r="1384" spans="1:18" x14ac:dyDescent="0.2">
      <c r="A1384" s="1">
        <v>490805</v>
      </c>
      <c r="B1384" s="1" t="s">
        <v>1453</v>
      </c>
      <c r="C1384" s="1" t="s">
        <v>102</v>
      </c>
      <c r="D1384" s="1">
        <v>0.72360000000000002</v>
      </c>
      <c r="E1384" s="1">
        <v>5671</v>
      </c>
      <c r="F1384" s="1">
        <v>16094</v>
      </c>
      <c r="G1384" s="1">
        <v>0.42909999999999998</v>
      </c>
      <c r="H1384" s="1">
        <v>0.65700000000000003</v>
      </c>
      <c r="I1384" s="1">
        <v>0.28060000000000002</v>
      </c>
      <c r="J1384" s="1">
        <v>48318</v>
      </c>
      <c r="K1384" s="1">
        <v>21229</v>
      </c>
      <c r="L1384" s="1">
        <v>9864</v>
      </c>
      <c r="M1384" s="1">
        <v>17</v>
      </c>
      <c r="N1384" s="1" t="s">
        <v>28</v>
      </c>
      <c r="O1384" s="1" t="s">
        <v>21</v>
      </c>
      <c r="P1384" s="1" t="s">
        <v>22</v>
      </c>
      <c r="Q1384" s="1" t="s">
        <v>31</v>
      </c>
      <c r="R1384">
        <v>2.0097859905120141E-2</v>
      </c>
    </row>
    <row r="1385" spans="1:18" x14ac:dyDescent="0.2">
      <c r="A1385" s="1">
        <v>459949</v>
      </c>
      <c r="B1385" s="1" t="s">
        <v>1454</v>
      </c>
      <c r="C1385" s="1" t="s">
        <v>36</v>
      </c>
      <c r="D1385" s="1">
        <v>0.92800000000000005</v>
      </c>
      <c r="E1385" s="1">
        <v>6599</v>
      </c>
      <c r="F1385" s="1">
        <v>23255</v>
      </c>
      <c r="G1385" s="1">
        <v>0.4017</v>
      </c>
      <c r="H1385" s="1">
        <v>0.65669999999999995</v>
      </c>
      <c r="I1385" s="1">
        <v>0.50839999999999996</v>
      </c>
      <c r="J1385" s="1">
        <v>54338</v>
      </c>
      <c r="K1385" s="1">
        <v>18401</v>
      </c>
      <c r="L1385" s="1">
        <v>8625</v>
      </c>
      <c r="M1385" s="1">
        <v>18</v>
      </c>
      <c r="N1385" s="1" t="s">
        <v>28</v>
      </c>
      <c r="O1385" s="1" t="s">
        <v>29</v>
      </c>
      <c r="P1385" s="1" t="s">
        <v>30</v>
      </c>
      <c r="Q1385" s="1" t="s">
        <v>23</v>
      </c>
      <c r="R1385">
        <v>1.9658787647607534E-2</v>
      </c>
    </row>
    <row r="1386" spans="1:18" x14ac:dyDescent="0.2">
      <c r="A1386" s="1">
        <v>228468</v>
      </c>
      <c r="B1386" s="1" t="s">
        <v>1455</v>
      </c>
      <c r="C1386" s="1" t="s">
        <v>36</v>
      </c>
      <c r="D1386" s="1">
        <v>0.78359999999999996</v>
      </c>
      <c r="E1386" s="1">
        <v>570</v>
      </c>
      <c r="F1386" s="1">
        <v>25380</v>
      </c>
      <c r="G1386" s="1">
        <v>0.52339999999999998</v>
      </c>
      <c r="H1386" s="1">
        <v>0.72670000000000001</v>
      </c>
      <c r="I1386" s="1">
        <v>0.42109999999999997</v>
      </c>
      <c r="J1386" s="1">
        <v>52946</v>
      </c>
      <c r="K1386" s="1">
        <v>26998</v>
      </c>
      <c r="L1386" s="1">
        <v>6313</v>
      </c>
      <c r="M1386" s="1">
        <v>12</v>
      </c>
      <c r="N1386" s="1" t="s">
        <v>20</v>
      </c>
      <c r="O1386" s="1" t="s">
        <v>42</v>
      </c>
      <c r="P1386" s="1" t="s">
        <v>30</v>
      </c>
      <c r="Q1386" s="1" t="s">
        <v>23</v>
      </c>
      <c r="R1386">
        <v>1.9487303733777939E-2</v>
      </c>
    </row>
    <row r="1387" spans="1:18" x14ac:dyDescent="0.2">
      <c r="A1387" s="1">
        <v>421878</v>
      </c>
      <c r="B1387" s="1" t="s">
        <v>1456</v>
      </c>
      <c r="C1387" s="1" t="s">
        <v>66</v>
      </c>
      <c r="D1387" s="1">
        <v>0.69630000000000003</v>
      </c>
      <c r="E1387" s="1">
        <v>495</v>
      </c>
      <c r="F1387" s="1">
        <v>18383</v>
      </c>
      <c r="G1387" s="1">
        <v>0.3412</v>
      </c>
      <c r="H1387" s="1">
        <v>0.5484</v>
      </c>
      <c r="I1387" s="1">
        <v>0.3861</v>
      </c>
      <c r="J1387" s="1">
        <v>35008</v>
      </c>
      <c r="K1387" s="1">
        <v>24751</v>
      </c>
      <c r="L1387" s="1">
        <v>7038</v>
      </c>
      <c r="M1387" s="1">
        <v>15</v>
      </c>
      <c r="N1387" s="1" t="s">
        <v>142</v>
      </c>
      <c r="O1387" s="1" t="s">
        <v>29</v>
      </c>
      <c r="P1387" s="1" t="s">
        <v>39</v>
      </c>
      <c r="Q1387" s="1" t="s">
        <v>31</v>
      </c>
      <c r="R1387">
        <v>1.9293215597049995E-2</v>
      </c>
    </row>
    <row r="1388" spans="1:18" x14ac:dyDescent="0.2">
      <c r="A1388" s="1">
        <v>131520</v>
      </c>
      <c r="B1388" s="1" t="s">
        <v>1457</v>
      </c>
      <c r="C1388" s="1" t="s">
        <v>84</v>
      </c>
      <c r="D1388" s="1">
        <v>0.41339999999999999</v>
      </c>
      <c r="E1388" s="1">
        <v>10108</v>
      </c>
      <c r="F1388" s="1">
        <v>35810</v>
      </c>
      <c r="G1388" s="1">
        <v>0.6996</v>
      </c>
      <c r="H1388" s="1">
        <v>0.90880000000000005</v>
      </c>
      <c r="I1388" s="1">
        <v>0.4</v>
      </c>
      <c r="J1388" s="1">
        <v>63066</v>
      </c>
      <c r="K1388" s="1">
        <v>24500</v>
      </c>
      <c r="L1388" s="1">
        <v>11580</v>
      </c>
      <c r="M1388" s="1">
        <v>13</v>
      </c>
      <c r="N1388" s="1" t="s">
        <v>20</v>
      </c>
      <c r="O1388" s="1" t="s">
        <v>29</v>
      </c>
      <c r="P1388" s="1" t="s">
        <v>30</v>
      </c>
      <c r="Q1388" s="1" t="s">
        <v>23</v>
      </c>
      <c r="R1388">
        <v>1.8969723463093557E-2</v>
      </c>
    </row>
    <row r="1389" spans="1:18" x14ac:dyDescent="0.2">
      <c r="A1389" s="1">
        <v>101435</v>
      </c>
      <c r="B1389" s="1" t="s">
        <v>1458</v>
      </c>
      <c r="C1389" s="1" t="s">
        <v>177</v>
      </c>
      <c r="D1389" s="1">
        <v>0.69489999999999996</v>
      </c>
      <c r="E1389" s="1">
        <v>879</v>
      </c>
      <c r="F1389" s="1">
        <v>29070</v>
      </c>
      <c r="G1389" s="1">
        <v>0.4798</v>
      </c>
      <c r="H1389" s="1">
        <v>0.66990000000000005</v>
      </c>
      <c r="I1389" s="1">
        <v>0.4007</v>
      </c>
      <c r="J1389" s="1">
        <v>49601</v>
      </c>
      <c r="K1389" s="1">
        <v>27000</v>
      </c>
      <c r="L1389" s="1">
        <v>7725</v>
      </c>
      <c r="M1389" s="1">
        <v>15</v>
      </c>
      <c r="N1389" s="1" t="s">
        <v>20</v>
      </c>
      <c r="O1389" s="1" t="s">
        <v>29</v>
      </c>
      <c r="P1389" s="1" t="s">
        <v>30</v>
      </c>
      <c r="Q1389" s="1" t="s">
        <v>31</v>
      </c>
      <c r="R1389">
        <v>1.7034918731615889E-2</v>
      </c>
    </row>
    <row r="1390" spans="1:18" x14ac:dyDescent="0.2">
      <c r="A1390" s="1">
        <v>233611</v>
      </c>
      <c r="B1390" s="1" t="s">
        <v>1459</v>
      </c>
      <c r="C1390" s="1" t="s">
        <v>52</v>
      </c>
      <c r="D1390" s="1">
        <v>0.96419999999999995</v>
      </c>
      <c r="E1390" s="1">
        <v>936</v>
      </c>
      <c r="F1390" s="1">
        <v>21280</v>
      </c>
      <c r="G1390" s="1">
        <v>0.3347</v>
      </c>
      <c r="H1390" s="1">
        <v>0.74009999999999998</v>
      </c>
      <c r="I1390" s="1">
        <v>0.45190000000000002</v>
      </c>
      <c r="J1390" s="1">
        <v>50002</v>
      </c>
      <c r="K1390" s="1">
        <v>24224</v>
      </c>
      <c r="L1390" s="1">
        <v>6553</v>
      </c>
      <c r="M1390" s="1">
        <v>14</v>
      </c>
      <c r="N1390" s="1" t="s">
        <v>20</v>
      </c>
      <c r="O1390" s="1" t="s">
        <v>42</v>
      </c>
      <c r="P1390" s="1" t="s">
        <v>30</v>
      </c>
      <c r="Q1390" s="1" t="s">
        <v>23</v>
      </c>
      <c r="R1390">
        <v>1.7018859392760377E-2</v>
      </c>
    </row>
    <row r="1391" spans="1:18" x14ac:dyDescent="0.2">
      <c r="A1391" s="1">
        <v>215770</v>
      </c>
      <c r="B1391" s="1" t="s">
        <v>1460</v>
      </c>
      <c r="C1391" s="1" t="s">
        <v>98</v>
      </c>
      <c r="D1391" s="1">
        <v>0.88829999999999998</v>
      </c>
      <c r="E1391" s="1">
        <v>4948</v>
      </c>
      <c r="F1391" s="1">
        <v>53260</v>
      </c>
      <c r="G1391" s="1">
        <v>0.78839999999999999</v>
      </c>
      <c r="H1391" s="1">
        <v>0.88680000000000003</v>
      </c>
      <c r="I1391" s="1">
        <v>0.19800000000000001</v>
      </c>
      <c r="J1391" s="1">
        <v>86881</v>
      </c>
      <c r="K1391" s="1">
        <v>25500</v>
      </c>
      <c r="L1391" s="1">
        <v>11284</v>
      </c>
      <c r="M1391" s="1">
        <v>11</v>
      </c>
      <c r="N1391" s="1" t="s">
        <v>20</v>
      </c>
      <c r="O1391" s="1" t="s">
        <v>29</v>
      </c>
      <c r="P1391" s="1" t="s">
        <v>39</v>
      </c>
      <c r="Q1391" s="1" t="s">
        <v>23</v>
      </c>
      <c r="R1391">
        <v>1.7005060476469658E-2</v>
      </c>
    </row>
    <row r="1392" spans="1:18" x14ac:dyDescent="0.2">
      <c r="A1392" s="1">
        <v>239318</v>
      </c>
      <c r="B1392" s="1" t="s">
        <v>1461</v>
      </c>
      <c r="C1392" s="1" t="s">
        <v>50</v>
      </c>
      <c r="D1392" s="1">
        <v>0.58930000000000005</v>
      </c>
      <c r="E1392" s="1">
        <v>2654</v>
      </c>
      <c r="F1392" s="1">
        <v>50480</v>
      </c>
      <c r="G1392" s="1">
        <v>0.67110000000000003</v>
      </c>
      <c r="H1392" s="1">
        <v>0.83779999999999999</v>
      </c>
      <c r="I1392" s="1">
        <v>0.2417</v>
      </c>
      <c r="J1392" s="1">
        <v>89070</v>
      </c>
      <c r="K1392" s="1">
        <v>27000</v>
      </c>
      <c r="L1392" s="1">
        <v>10194</v>
      </c>
      <c r="M1392" s="1">
        <v>12</v>
      </c>
      <c r="N1392" s="1" t="s">
        <v>20</v>
      </c>
      <c r="O1392" s="1" t="s">
        <v>29</v>
      </c>
      <c r="P1392" s="1" t="s">
        <v>22</v>
      </c>
      <c r="Q1392" s="1" t="s">
        <v>23</v>
      </c>
      <c r="R1392">
        <v>1.6763669385734037E-2</v>
      </c>
    </row>
    <row r="1393" spans="1:18" x14ac:dyDescent="0.2">
      <c r="A1393" s="1">
        <v>198464</v>
      </c>
      <c r="B1393" s="1" t="s">
        <v>1462</v>
      </c>
      <c r="C1393" s="1" t="s">
        <v>86</v>
      </c>
      <c r="D1393" s="1">
        <v>0.8921</v>
      </c>
      <c r="E1393" s="1">
        <v>19896</v>
      </c>
      <c r="F1393" s="1">
        <v>23638</v>
      </c>
      <c r="G1393" s="1">
        <v>0.62619999999999998</v>
      </c>
      <c r="H1393" s="1">
        <v>0.82720000000000005</v>
      </c>
      <c r="I1393" s="1">
        <v>0.318</v>
      </c>
      <c r="J1393" s="1">
        <v>55146</v>
      </c>
      <c r="K1393" s="1">
        <v>22750</v>
      </c>
      <c r="L1393" s="1">
        <v>9595</v>
      </c>
      <c r="M1393" s="1">
        <v>17</v>
      </c>
      <c r="N1393" s="1" t="s">
        <v>28</v>
      </c>
      <c r="O1393" s="1" t="s">
        <v>29</v>
      </c>
      <c r="P1393" s="1" t="s">
        <v>30</v>
      </c>
      <c r="Q1393" s="1" t="s">
        <v>23</v>
      </c>
      <c r="R1393">
        <v>1.5855309735678502E-2</v>
      </c>
    </row>
    <row r="1394" spans="1:18" x14ac:dyDescent="0.2">
      <c r="A1394" s="1">
        <v>433660</v>
      </c>
      <c r="B1394" s="1" t="s">
        <v>1463</v>
      </c>
      <c r="C1394" s="1" t="s">
        <v>27</v>
      </c>
      <c r="D1394" s="1">
        <v>0.63439999999999996</v>
      </c>
      <c r="E1394" s="1">
        <v>13874</v>
      </c>
      <c r="F1394" s="1">
        <v>25162</v>
      </c>
      <c r="G1394" s="1">
        <v>0.57399999999999995</v>
      </c>
      <c r="H1394" s="1">
        <v>0.83220000000000005</v>
      </c>
      <c r="I1394" s="1">
        <v>0.27879999999999999</v>
      </c>
      <c r="J1394" s="1">
        <v>54560</v>
      </c>
      <c r="K1394" s="1">
        <v>17622</v>
      </c>
      <c r="L1394" s="1">
        <v>9789</v>
      </c>
      <c r="M1394" s="1">
        <v>20</v>
      </c>
      <c r="N1394" s="1" t="s">
        <v>28</v>
      </c>
      <c r="O1394" s="1" t="s">
        <v>21</v>
      </c>
      <c r="P1394" s="1" t="s">
        <v>30</v>
      </c>
      <c r="Q1394" s="1" t="s">
        <v>23</v>
      </c>
      <c r="R1394">
        <v>1.5394354609414851E-2</v>
      </c>
    </row>
    <row r="1395" spans="1:18" x14ac:dyDescent="0.2">
      <c r="A1395" s="1">
        <v>228529</v>
      </c>
      <c r="B1395" s="1" t="s">
        <v>1464</v>
      </c>
      <c r="C1395" s="1" t="s">
        <v>36</v>
      </c>
      <c r="D1395" s="1">
        <v>0.89549999999999996</v>
      </c>
      <c r="E1395" s="1">
        <v>12673</v>
      </c>
      <c r="F1395" s="1">
        <v>18142</v>
      </c>
      <c r="G1395" s="1">
        <v>0.48209999999999997</v>
      </c>
      <c r="H1395" s="1">
        <v>0.69850000000000001</v>
      </c>
      <c r="I1395" s="1">
        <v>0.34399999999999997</v>
      </c>
      <c r="J1395" s="1">
        <v>53040</v>
      </c>
      <c r="K1395" s="1">
        <v>19606</v>
      </c>
      <c r="L1395" s="1">
        <v>8339</v>
      </c>
      <c r="M1395" s="1">
        <v>20</v>
      </c>
      <c r="N1395" s="1" t="s">
        <v>28</v>
      </c>
      <c r="O1395" s="1" t="s">
        <v>42</v>
      </c>
      <c r="P1395" s="1" t="s">
        <v>30</v>
      </c>
      <c r="Q1395" s="1" t="s">
        <v>23</v>
      </c>
      <c r="R1395">
        <v>1.5253227610742104E-2</v>
      </c>
    </row>
    <row r="1396" spans="1:18" x14ac:dyDescent="0.2">
      <c r="A1396" s="1">
        <v>198561</v>
      </c>
      <c r="B1396" s="1" t="s">
        <v>1465</v>
      </c>
      <c r="C1396" s="1" t="s">
        <v>86</v>
      </c>
      <c r="D1396" s="1">
        <v>0.77210000000000001</v>
      </c>
      <c r="E1396" s="1">
        <v>1856</v>
      </c>
      <c r="F1396" s="1">
        <v>34760</v>
      </c>
      <c r="G1396" s="1">
        <v>0.55389999999999995</v>
      </c>
      <c r="H1396" s="1">
        <v>0.55330000000000001</v>
      </c>
      <c r="I1396" s="1">
        <v>0.37069999999999997</v>
      </c>
      <c r="J1396" s="1">
        <v>48039</v>
      </c>
      <c r="K1396" s="1">
        <v>24222</v>
      </c>
      <c r="L1396" s="1">
        <v>7375</v>
      </c>
      <c r="M1396" s="1">
        <v>12</v>
      </c>
      <c r="N1396" s="1" t="s">
        <v>20</v>
      </c>
      <c r="O1396" s="1" t="s">
        <v>42</v>
      </c>
      <c r="P1396" s="1" t="s">
        <v>30</v>
      </c>
      <c r="Q1396" s="1" t="s">
        <v>31</v>
      </c>
      <c r="R1396">
        <v>1.4489472334432651E-2</v>
      </c>
    </row>
    <row r="1397" spans="1:18" x14ac:dyDescent="0.2">
      <c r="A1397" s="1">
        <v>219046</v>
      </c>
      <c r="B1397" s="1" t="s">
        <v>1466</v>
      </c>
      <c r="C1397" s="1" t="s">
        <v>41</v>
      </c>
      <c r="D1397" s="1">
        <v>0.96330000000000005</v>
      </c>
      <c r="E1397" s="1">
        <v>1928</v>
      </c>
      <c r="F1397" s="1">
        <v>11866</v>
      </c>
      <c r="G1397" s="1">
        <v>0.42630000000000001</v>
      </c>
      <c r="H1397" s="1">
        <v>0.71650000000000003</v>
      </c>
      <c r="I1397" s="1">
        <v>0.2001</v>
      </c>
      <c r="J1397" s="1">
        <v>46674</v>
      </c>
      <c r="K1397" s="1">
        <v>26000</v>
      </c>
      <c r="L1397" s="1">
        <v>8430</v>
      </c>
      <c r="M1397" s="1">
        <v>17</v>
      </c>
      <c r="N1397" s="1" t="s">
        <v>28</v>
      </c>
      <c r="O1397" s="1" t="s">
        <v>42</v>
      </c>
      <c r="P1397" s="1" t="s">
        <v>22</v>
      </c>
      <c r="Q1397" s="1" t="s">
        <v>31</v>
      </c>
      <c r="R1397">
        <v>1.0313077470020082E-2</v>
      </c>
    </row>
    <row r="1398" spans="1:18" x14ac:dyDescent="0.2">
      <c r="A1398" s="1">
        <v>110486</v>
      </c>
      <c r="B1398" s="1" t="s">
        <v>1467</v>
      </c>
      <c r="C1398" s="1" t="s">
        <v>33</v>
      </c>
      <c r="D1398" s="1">
        <v>0.9385</v>
      </c>
      <c r="E1398" s="1">
        <v>8577</v>
      </c>
      <c r="F1398" s="1">
        <v>20690</v>
      </c>
      <c r="G1398" s="1">
        <v>0.498</v>
      </c>
      <c r="H1398" s="1">
        <v>0.7883</v>
      </c>
      <c r="I1398" s="1">
        <v>0.60650000000000004</v>
      </c>
      <c r="J1398" s="1">
        <v>59009</v>
      </c>
      <c r="K1398" s="1">
        <v>16600</v>
      </c>
      <c r="L1398" s="1">
        <v>11613</v>
      </c>
      <c r="M1398" s="1">
        <v>20</v>
      </c>
      <c r="N1398" s="1" t="s">
        <v>28</v>
      </c>
      <c r="O1398" s="1" t="s">
        <v>29</v>
      </c>
      <c r="P1398" s="1" t="s">
        <v>22</v>
      </c>
      <c r="Q1398" s="1" t="s">
        <v>23</v>
      </c>
      <c r="R1398">
        <v>1.0086846326823773E-2</v>
      </c>
    </row>
    <row r="1399" spans="1:18" x14ac:dyDescent="0.2">
      <c r="A1399" s="1">
        <v>155025</v>
      </c>
      <c r="B1399" s="1" t="s">
        <v>1468</v>
      </c>
      <c r="C1399" s="1" t="s">
        <v>56</v>
      </c>
      <c r="D1399" s="1">
        <v>0.97709999999999997</v>
      </c>
      <c r="E1399" s="1">
        <v>2239</v>
      </c>
      <c r="F1399" s="1">
        <v>15419</v>
      </c>
      <c r="G1399" s="1">
        <v>0.56100000000000005</v>
      </c>
      <c r="H1399" s="1">
        <v>0.76849999999999996</v>
      </c>
      <c r="I1399" s="1">
        <v>0.34489999999999998</v>
      </c>
      <c r="J1399" s="1">
        <v>47601</v>
      </c>
      <c r="K1399" s="1">
        <v>19500</v>
      </c>
      <c r="L1399" s="1">
        <v>6918</v>
      </c>
      <c r="M1399" s="1">
        <v>16</v>
      </c>
      <c r="N1399" s="1" t="s">
        <v>28</v>
      </c>
      <c r="O1399" s="1" t="s">
        <v>42</v>
      </c>
      <c r="P1399" s="1" t="s">
        <v>22</v>
      </c>
      <c r="Q1399" s="1" t="s">
        <v>31</v>
      </c>
      <c r="R1399">
        <v>6.8130603140117429E-3</v>
      </c>
    </row>
    <row r="1400" spans="1:18" x14ac:dyDescent="0.2">
      <c r="A1400" s="1">
        <v>154688</v>
      </c>
      <c r="B1400" s="1" t="s">
        <v>1469</v>
      </c>
      <c r="C1400" s="1" t="s">
        <v>56</v>
      </c>
      <c r="D1400" s="1">
        <v>0.94189999999999996</v>
      </c>
      <c r="E1400" s="1">
        <v>1100</v>
      </c>
      <c r="F1400" s="1">
        <v>35300</v>
      </c>
      <c r="G1400" s="1">
        <v>0.57789999999999997</v>
      </c>
      <c r="H1400" s="1">
        <v>0.65800000000000003</v>
      </c>
      <c r="I1400" s="1">
        <v>0.25740000000000002</v>
      </c>
      <c r="J1400" s="1">
        <v>63855</v>
      </c>
      <c r="K1400" s="1">
        <v>25000</v>
      </c>
      <c r="L1400" s="1">
        <v>6570</v>
      </c>
      <c r="M1400" s="1">
        <v>13</v>
      </c>
      <c r="N1400" s="1" t="s">
        <v>20</v>
      </c>
      <c r="O1400" s="1" t="s">
        <v>42</v>
      </c>
      <c r="P1400" s="1" t="s">
        <v>22</v>
      </c>
      <c r="Q1400" s="1" t="s">
        <v>23</v>
      </c>
      <c r="R1400">
        <v>4.3700635442603941E-3</v>
      </c>
    </row>
    <row r="1401" spans="1:18" x14ac:dyDescent="0.2">
      <c r="A1401" s="1">
        <v>215053</v>
      </c>
      <c r="B1401" s="1" t="s">
        <v>1470</v>
      </c>
      <c r="C1401" s="1" t="s">
        <v>98</v>
      </c>
      <c r="D1401" s="1">
        <v>0.99239999999999995</v>
      </c>
      <c r="E1401" s="1">
        <v>400</v>
      </c>
      <c r="F1401" s="1">
        <v>32150</v>
      </c>
      <c r="G1401" s="1">
        <v>0.68520000000000003</v>
      </c>
      <c r="H1401" s="1">
        <v>0.85109999999999997</v>
      </c>
      <c r="I1401" s="1">
        <v>0.47370000000000001</v>
      </c>
      <c r="J1401" s="1">
        <v>33301</v>
      </c>
      <c r="K1401" s="1">
        <v>27000</v>
      </c>
      <c r="L1401" s="1">
        <v>4574</v>
      </c>
      <c r="M1401" s="1">
        <v>10</v>
      </c>
      <c r="N1401" s="1" t="s">
        <v>20</v>
      </c>
      <c r="O1401" s="1" t="s">
        <v>29</v>
      </c>
      <c r="P1401" s="1" t="s">
        <v>39</v>
      </c>
      <c r="Q1401" s="1" t="s">
        <v>31</v>
      </c>
      <c r="R1401">
        <v>3.9412471918588432E-3</v>
      </c>
    </row>
    <row r="1402" spans="1:18" x14ac:dyDescent="0.2">
      <c r="A1402" s="1">
        <v>139366</v>
      </c>
      <c r="B1402" s="1" t="s">
        <v>1471</v>
      </c>
      <c r="C1402" s="1" t="s">
        <v>126</v>
      </c>
      <c r="D1402" s="1">
        <v>0.99119999999999997</v>
      </c>
      <c r="E1402" s="1">
        <v>5625</v>
      </c>
      <c r="F1402" s="1">
        <v>17610</v>
      </c>
      <c r="G1402" s="1">
        <v>0.41760000000000003</v>
      </c>
      <c r="H1402" s="1">
        <v>0.6966</v>
      </c>
      <c r="I1402" s="1">
        <v>0.44640000000000002</v>
      </c>
      <c r="J1402" s="1">
        <v>44544</v>
      </c>
      <c r="K1402" s="1">
        <v>26000</v>
      </c>
      <c r="L1402" s="1">
        <v>8802</v>
      </c>
      <c r="M1402" s="1">
        <v>16</v>
      </c>
      <c r="N1402" s="1" t="s">
        <v>28</v>
      </c>
      <c r="O1402" s="1" t="s">
        <v>29</v>
      </c>
      <c r="P1402" s="1" t="s">
        <v>30</v>
      </c>
      <c r="Q1402" s="1" t="s">
        <v>31</v>
      </c>
      <c r="R1402">
        <v>3.2555558526310424E-3</v>
      </c>
    </row>
    <row r="1403" spans="1:18" x14ac:dyDescent="0.2">
      <c r="A1403" s="1">
        <v>199582</v>
      </c>
      <c r="B1403" s="1" t="s">
        <v>1472</v>
      </c>
      <c r="C1403" s="1" t="s">
        <v>86</v>
      </c>
      <c r="D1403" s="1">
        <v>0.33800000000000002</v>
      </c>
      <c r="E1403" s="1">
        <v>172</v>
      </c>
      <c r="F1403" s="1">
        <v>16896</v>
      </c>
      <c r="G1403" s="1">
        <v>0.25</v>
      </c>
      <c r="H1403" s="1">
        <v>0</v>
      </c>
      <c r="I1403" s="1">
        <v>0.50539999999999996</v>
      </c>
      <c r="J1403" s="1">
        <v>35730</v>
      </c>
      <c r="K1403" s="1">
        <v>29669</v>
      </c>
      <c r="L1403" s="1">
        <v>6609</v>
      </c>
      <c r="M1403" s="1">
        <v>10</v>
      </c>
      <c r="N1403" s="1" t="s">
        <v>20</v>
      </c>
      <c r="O1403" s="1" t="s">
        <v>29</v>
      </c>
      <c r="P1403" s="1" t="s">
        <v>30</v>
      </c>
      <c r="Q1403" s="1" t="s">
        <v>31</v>
      </c>
      <c r="R1403">
        <v>2.2852100486444593E-3</v>
      </c>
    </row>
    <row r="1404" spans="1:18" x14ac:dyDescent="0.2">
      <c r="A1404" s="1">
        <v>180692</v>
      </c>
      <c r="B1404" s="1" t="s">
        <v>1473</v>
      </c>
      <c r="C1404" s="1" t="s">
        <v>95</v>
      </c>
      <c r="D1404" s="1">
        <v>0.99780000000000002</v>
      </c>
      <c r="E1404" s="1">
        <v>1198</v>
      </c>
      <c r="F1404" s="1">
        <v>20130</v>
      </c>
      <c r="G1404" s="1">
        <v>0.51249999999999996</v>
      </c>
      <c r="H1404" s="1">
        <v>0.78569999999999995</v>
      </c>
      <c r="I1404" s="1">
        <v>0.35210000000000002</v>
      </c>
      <c r="J1404" s="1">
        <v>43229</v>
      </c>
      <c r="K1404" s="1">
        <v>21000</v>
      </c>
      <c r="L1404" s="1">
        <v>7879</v>
      </c>
      <c r="M1404" s="1">
        <v>16</v>
      </c>
      <c r="N1404" s="1" t="s">
        <v>28</v>
      </c>
      <c r="O1404" s="1" t="s">
        <v>42</v>
      </c>
      <c r="P1404" s="1" t="s">
        <v>22</v>
      </c>
      <c r="Q1404" s="1" t="s">
        <v>31</v>
      </c>
      <c r="R1404">
        <v>1.4547195985518124E-3</v>
      </c>
    </row>
    <row r="1405" spans="1:18" x14ac:dyDescent="0.2">
      <c r="A1405" s="1">
        <v>195809</v>
      </c>
      <c r="B1405" s="1" t="s">
        <v>1474</v>
      </c>
      <c r="C1405" s="1" t="s">
        <v>58</v>
      </c>
      <c r="D1405" s="1">
        <v>0.83430000000000004</v>
      </c>
      <c r="E1405" s="1">
        <v>9477</v>
      </c>
      <c r="F1405" s="1">
        <v>53020</v>
      </c>
      <c r="G1405" s="1">
        <v>0.66090000000000004</v>
      </c>
      <c r="H1405" s="1">
        <v>0.78700000000000003</v>
      </c>
      <c r="I1405" s="1">
        <v>0.2419</v>
      </c>
      <c r="J1405" s="1">
        <v>69571</v>
      </c>
      <c r="K1405" s="1">
        <v>25000</v>
      </c>
      <c r="L1405" s="1">
        <v>13500</v>
      </c>
      <c r="M1405" s="1">
        <v>16</v>
      </c>
      <c r="N1405" s="1" t="s">
        <v>20</v>
      </c>
      <c r="O1405" s="1" t="s">
        <v>29</v>
      </c>
      <c r="P1405" s="1" t="s">
        <v>39</v>
      </c>
      <c r="Q1405" s="1" t="s">
        <v>23</v>
      </c>
      <c r="R1405">
        <v>1.1833087753518878E-3</v>
      </c>
    </row>
    <row r="1406" spans="1:18" x14ac:dyDescent="0.2">
      <c r="A1406" s="1">
        <v>130590</v>
      </c>
      <c r="B1406" s="1" t="s">
        <v>1475</v>
      </c>
      <c r="C1406" s="1" t="s">
        <v>147</v>
      </c>
      <c r="D1406" s="1">
        <v>0.29249999999999998</v>
      </c>
      <c r="E1406" s="1">
        <v>2146</v>
      </c>
      <c r="F1406" s="1">
        <v>70770</v>
      </c>
      <c r="G1406" s="1">
        <v>0.8377</v>
      </c>
      <c r="H1406" s="1">
        <v>0.89949999999999997</v>
      </c>
      <c r="I1406" s="1">
        <v>0.13769999999999999</v>
      </c>
      <c r="J1406" s="1">
        <v>90779</v>
      </c>
      <c r="K1406" s="1">
        <v>23000</v>
      </c>
      <c r="L1406" s="1">
        <v>11642</v>
      </c>
      <c r="M1406" s="1">
        <v>9</v>
      </c>
      <c r="N1406" s="1" t="s">
        <v>20</v>
      </c>
      <c r="O1406" s="1" t="s">
        <v>29</v>
      </c>
      <c r="P1406" s="1" t="s">
        <v>39</v>
      </c>
      <c r="Q1406" s="1" t="s">
        <v>23</v>
      </c>
      <c r="R1406">
        <v>3.2096769488265675E-4</v>
      </c>
    </row>
    <row r="1407" spans="1:18" x14ac:dyDescent="0.2">
      <c r="A1407" s="1">
        <v>233541</v>
      </c>
      <c r="B1407" s="1" t="s">
        <v>1476</v>
      </c>
      <c r="C1407" s="1" t="s">
        <v>52</v>
      </c>
      <c r="D1407" s="1">
        <v>0.76949999999999996</v>
      </c>
      <c r="E1407" s="1">
        <v>2116</v>
      </c>
      <c r="F1407" s="1">
        <v>36950</v>
      </c>
      <c r="G1407" s="1">
        <v>0.66820000000000002</v>
      </c>
      <c r="H1407" s="1">
        <v>0.81740000000000002</v>
      </c>
      <c r="I1407" s="1">
        <v>0.18920000000000001</v>
      </c>
      <c r="J1407" s="1">
        <v>58433</v>
      </c>
      <c r="K1407" s="1">
        <v>25000</v>
      </c>
      <c r="L1407" s="1">
        <v>8154</v>
      </c>
      <c r="M1407" s="1">
        <v>12</v>
      </c>
      <c r="N1407" s="1" t="s">
        <v>20</v>
      </c>
      <c r="O1407" s="1" t="s">
        <v>29</v>
      </c>
      <c r="P1407" s="1" t="s">
        <v>30</v>
      </c>
      <c r="Q1407" s="1" t="s">
        <v>23</v>
      </c>
      <c r="R1407">
        <v>2.9337546838681394E-4</v>
      </c>
    </row>
    <row r="1408" spans="1:18" x14ac:dyDescent="0.2">
      <c r="A1408" s="1">
        <v>162654</v>
      </c>
      <c r="B1408" s="1" t="s">
        <v>1477</v>
      </c>
      <c r="C1408" s="1" t="s">
        <v>61</v>
      </c>
      <c r="D1408" s="1">
        <v>0.77710000000000001</v>
      </c>
      <c r="E1408" s="1">
        <v>964</v>
      </c>
      <c r="F1408" s="1">
        <v>53350</v>
      </c>
      <c r="G1408" s="1">
        <v>0.57340000000000002</v>
      </c>
      <c r="H1408" s="1">
        <v>0.78600000000000003</v>
      </c>
      <c r="I1408" s="1">
        <v>0.35210000000000002</v>
      </c>
      <c r="J1408" s="1">
        <v>53023</v>
      </c>
      <c r="K1408" s="1">
        <v>26000</v>
      </c>
      <c r="L1408" s="1">
        <v>8359</v>
      </c>
      <c r="M1408" s="1">
        <v>9</v>
      </c>
      <c r="N1408" s="1" t="s">
        <v>20</v>
      </c>
      <c r="O1408" s="1" t="s">
        <v>29</v>
      </c>
      <c r="P1408" s="1" t="s">
        <v>30</v>
      </c>
      <c r="Q1408" s="1" t="s">
        <v>23</v>
      </c>
      <c r="R1408">
        <v>2.7832183321774284E-4</v>
      </c>
    </row>
  </sheetData>
  <sortState xmlns:xlrd2="http://schemas.microsoft.com/office/spreadsheetml/2017/richdata2" ref="A2:R1408">
    <sortCondition descending="1" ref="R2:R140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8EFF6-DB63-46F3-BAC5-3E52DAF2F3D6}">
  <dimension ref="A1:R1408"/>
  <sheetViews>
    <sheetView workbookViewId="0">
      <selection activeCell="J4" sqref="J4"/>
    </sheetView>
  </sheetViews>
  <sheetFormatPr baseColWidth="10" defaultColWidth="8.83203125" defaultRowHeight="16" x14ac:dyDescent="0.2"/>
  <sheetData>
    <row r="1" spans="1:18" ht="17" thickBot="1" x14ac:dyDescent="0.25">
      <c r="A1" s="38" t="s">
        <v>1478</v>
      </c>
      <c r="B1" s="39"/>
      <c r="C1" s="40"/>
    </row>
    <row r="3" spans="1:18" x14ac:dyDescent="0.2">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row>
    <row r="4" spans="1:18" x14ac:dyDescent="0.2">
      <c r="A4" s="1">
        <v>204909</v>
      </c>
      <c r="B4" s="1" t="s">
        <v>18</v>
      </c>
      <c r="C4" s="1" t="s">
        <v>19</v>
      </c>
      <c r="D4" s="1">
        <v>0.55600000000000005</v>
      </c>
      <c r="E4" s="1">
        <v>1516</v>
      </c>
      <c r="F4" s="1">
        <v>53888</v>
      </c>
      <c r="G4" s="1">
        <v>0.5857</v>
      </c>
      <c r="H4" s="1">
        <v>0.84740000000000004</v>
      </c>
      <c r="I4" s="1">
        <v>0.28170000000000001</v>
      </c>
      <c r="J4" s="1">
        <v>55624</v>
      </c>
      <c r="K4" s="1">
        <v>27000</v>
      </c>
      <c r="L4" s="1">
        <v>8792</v>
      </c>
      <c r="M4" s="1">
        <v>12</v>
      </c>
      <c r="N4" s="1" t="s">
        <v>20</v>
      </c>
      <c r="O4" s="1" t="s">
        <v>21</v>
      </c>
      <c r="P4" s="1" t="s">
        <v>22</v>
      </c>
      <c r="Q4" s="1" t="s">
        <v>23</v>
      </c>
      <c r="R4">
        <v>0.99928593124380694</v>
      </c>
    </row>
    <row r="5" spans="1:18" x14ac:dyDescent="0.2">
      <c r="A5" s="1">
        <v>149781</v>
      </c>
      <c r="B5" s="1" t="s">
        <v>24</v>
      </c>
      <c r="C5" s="1" t="s">
        <v>25</v>
      </c>
      <c r="D5" s="1">
        <v>0.874</v>
      </c>
      <c r="E5" s="1">
        <v>2121</v>
      </c>
      <c r="F5" s="1">
        <v>45546</v>
      </c>
      <c r="G5" s="1">
        <v>0.84750000000000003</v>
      </c>
      <c r="H5" s="1">
        <v>0.92589999999999995</v>
      </c>
      <c r="I5" s="1">
        <v>0.21709999999999999</v>
      </c>
      <c r="J5" s="1">
        <v>63756</v>
      </c>
      <c r="K5" s="1">
        <v>23250</v>
      </c>
      <c r="L5" s="1">
        <v>10473</v>
      </c>
      <c r="M5" s="1">
        <v>10</v>
      </c>
      <c r="N5" s="1" t="s">
        <v>20</v>
      </c>
      <c r="O5" s="1" t="s">
        <v>21</v>
      </c>
      <c r="P5" s="1" t="s">
        <v>22</v>
      </c>
      <c r="Q5" s="1" t="s">
        <v>23</v>
      </c>
      <c r="R5">
        <v>0.99843374728249568</v>
      </c>
    </row>
    <row r="6" spans="1:18" x14ac:dyDescent="0.2">
      <c r="A6" s="1">
        <v>133650</v>
      </c>
      <c r="B6" s="1" t="s">
        <v>26</v>
      </c>
      <c r="C6" s="1" t="s">
        <v>27</v>
      </c>
      <c r="D6" s="1">
        <v>0.2056</v>
      </c>
      <c r="E6" s="1">
        <v>7582</v>
      </c>
      <c r="F6" s="1">
        <v>17725</v>
      </c>
      <c r="G6" s="1">
        <v>0.53349999999999997</v>
      </c>
      <c r="H6" s="1">
        <v>0.89180000000000004</v>
      </c>
      <c r="I6" s="1">
        <v>0.54310000000000003</v>
      </c>
      <c r="J6" s="1">
        <v>44349</v>
      </c>
      <c r="K6" s="1">
        <v>23548</v>
      </c>
      <c r="L6" s="1">
        <v>9244</v>
      </c>
      <c r="M6" s="1">
        <v>14</v>
      </c>
      <c r="N6" s="1" t="s">
        <v>28</v>
      </c>
      <c r="O6" s="1" t="s">
        <v>29</v>
      </c>
      <c r="P6" s="1" t="s">
        <v>30</v>
      </c>
      <c r="Q6" s="1" t="s">
        <v>31</v>
      </c>
      <c r="R6">
        <v>0.99778265104882258</v>
      </c>
    </row>
    <row r="7" spans="1:18" x14ac:dyDescent="0.2">
      <c r="A7" s="1">
        <v>112260</v>
      </c>
      <c r="B7" s="1" t="s">
        <v>32</v>
      </c>
      <c r="C7" s="1" t="s">
        <v>33</v>
      </c>
      <c r="D7" s="1">
        <v>9.5899999999999999E-2</v>
      </c>
      <c r="E7" s="1">
        <v>1388</v>
      </c>
      <c r="F7" s="1">
        <v>67980</v>
      </c>
      <c r="G7" s="1">
        <v>0.91359999999999997</v>
      </c>
      <c r="H7" s="1">
        <v>0.98129999999999995</v>
      </c>
      <c r="I7" s="1">
        <v>0.18099999999999999</v>
      </c>
      <c r="J7" s="1">
        <v>104736</v>
      </c>
      <c r="K7" s="1">
        <v>13500</v>
      </c>
      <c r="L7" s="1">
        <v>16701</v>
      </c>
      <c r="M7" s="1">
        <v>8</v>
      </c>
      <c r="N7" s="1" t="s">
        <v>20</v>
      </c>
      <c r="O7" s="1" t="s">
        <v>21</v>
      </c>
      <c r="P7" s="1" t="s">
        <v>22</v>
      </c>
      <c r="Q7" s="1" t="s">
        <v>23</v>
      </c>
      <c r="R7">
        <v>0.99563423466699719</v>
      </c>
    </row>
    <row r="8" spans="1:18" x14ac:dyDescent="0.2">
      <c r="A8" s="1">
        <v>148584</v>
      </c>
      <c r="B8" s="1" t="s">
        <v>34</v>
      </c>
      <c r="C8" s="1" t="s">
        <v>25</v>
      </c>
      <c r="D8" s="1">
        <v>0.65290000000000004</v>
      </c>
      <c r="E8" s="1">
        <v>1223</v>
      </c>
      <c r="F8" s="1">
        <v>38110</v>
      </c>
      <c r="G8" s="1">
        <v>0.66820000000000002</v>
      </c>
      <c r="H8" s="1">
        <v>0.78759999999999997</v>
      </c>
      <c r="I8" s="1">
        <v>0.39340000000000003</v>
      </c>
      <c r="J8" s="1">
        <v>63926</v>
      </c>
      <c r="K8" s="1">
        <v>21079</v>
      </c>
      <c r="L8" s="1">
        <v>8272</v>
      </c>
      <c r="M8" s="1">
        <v>15</v>
      </c>
      <c r="N8" s="1" t="s">
        <v>20</v>
      </c>
      <c r="O8" s="1" t="s">
        <v>21</v>
      </c>
      <c r="P8" s="1" t="s">
        <v>22</v>
      </c>
      <c r="Q8" s="1" t="s">
        <v>23</v>
      </c>
      <c r="R8">
        <v>0.99546230447945039</v>
      </c>
    </row>
    <row r="9" spans="1:18" x14ac:dyDescent="0.2">
      <c r="A9" s="1">
        <v>228796</v>
      </c>
      <c r="B9" s="1" t="s">
        <v>35</v>
      </c>
      <c r="C9" s="1" t="s">
        <v>36</v>
      </c>
      <c r="D9" s="1">
        <v>0.99919999999999998</v>
      </c>
      <c r="E9" s="1">
        <v>21005</v>
      </c>
      <c r="F9" s="1">
        <v>25502</v>
      </c>
      <c r="G9" s="1">
        <v>0.50170000000000003</v>
      </c>
      <c r="H9" s="1">
        <v>0.78939999999999999</v>
      </c>
      <c r="I9" s="1">
        <v>0.61609999999999998</v>
      </c>
      <c r="J9" s="1">
        <v>50923</v>
      </c>
      <c r="K9" s="1">
        <v>18000</v>
      </c>
      <c r="L9" s="1">
        <v>10239</v>
      </c>
      <c r="M9" s="1">
        <v>21</v>
      </c>
      <c r="N9" s="1" t="s">
        <v>28</v>
      </c>
      <c r="O9" s="1" t="s">
        <v>29</v>
      </c>
      <c r="P9" s="1" t="s">
        <v>30</v>
      </c>
      <c r="Q9" s="1" t="s">
        <v>23</v>
      </c>
      <c r="R9">
        <v>0.99435960770593712</v>
      </c>
    </row>
    <row r="10" spans="1:18" x14ac:dyDescent="0.2">
      <c r="A10" s="1">
        <v>183071</v>
      </c>
      <c r="B10" s="1" t="s">
        <v>37</v>
      </c>
      <c r="C10" s="1" t="s">
        <v>38</v>
      </c>
      <c r="D10" s="1">
        <v>0.80869999999999997</v>
      </c>
      <c r="E10" s="1">
        <v>443</v>
      </c>
      <c r="F10" s="1">
        <v>36418</v>
      </c>
      <c r="G10" s="1">
        <v>0.5</v>
      </c>
      <c r="H10" s="1">
        <v>0.85289999999999999</v>
      </c>
      <c r="I10" s="1">
        <v>0.28820000000000001</v>
      </c>
      <c r="J10" s="1">
        <v>66479</v>
      </c>
      <c r="K10" s="1">
        <v>26814</v>
      </c>
      <c r="L10" s="1">
        <v>9178</v>
      </c>
      <c r="M10" s="1">
        <v>8</v>
      </c>
      <c r="N10" s="1" t="s">
        <v>28</v>
      </c>
      <c r="O10" s="1" t="s">
        <v>29</v>
      </c>
      <c r="P10" s="1" t="s">
        <v>39</v>
      </c>
      <c r="Q10" s="1" t="s">
        <v>23</v>
      </c>
      <c r="R10">
        <v>0.99392429056762222</v>
      </c>
    </row>
    <row r="11" spans="1:18" x14ac:dyDescent="0.2">
      <c r="A11" s="1">
        <v>219082</v>
      </c>
      <c r="B11" s="1" t="s">
        <v>40</v>
      </c>
      <c r="C11" s="1" t="s">
        <v>41</v>
      </c>
      <c r="D11" s="1">
        <v>0.88049999999999995</v>
      </c>
      <c r="E11" s="1">
        <v>2071</v>
      </c>
      <c r="F11" s="1">
        <v>12756</v>
      </c>
      <c r="G11" s="1">
        <v>0.51300000000000001</v>
      </c>
      <c r="H11" s="1">
        <v>0.75460000000000005</v>
      </c>
      <c r="I11" s="1">
        <v>0.1681</v>
      </c>
      <c r="J11" s="1">
        <v>50970</v>
      </c>
      <c r="K11" s="1">
        <v>23500</v>
      </c>
      <c r="L11" s="1">
        <v>9954</v>
      </c>
      <c r="M11" s="1">
        <v>18</v>
      </c>
      <c r="N11" s="1" t="s">
        <v>28</v>
      </c>
      <c r="O11" s="1" t="s">
        <v>42</v>
      </c>
      <c r="P11" s="1" t="s">
        <v>22</v>
      </c>
      <c r="Q11" s="1" t="s">
        <v>23</v>
      </c>
      <c r="R11">
        <v>0.99388575929765688</v>
      </c>
    </row>
    <row r="12" spans="1:18" x14ac:dyDescent="0.2">
      <c r="A12" s="1">
        <v>201821</v>
      </c>
      <c r="B12" s="1" t="s">
        <v>43</v>
      </c>
      <c r="C12" s="1" t="s">
        <v>19</v>
      </c>
      <c r="D12" s="1">
        <v>0.58940000000000003</v>
      </c>
      <c r="E12" s="1">
        <v>713</v>
      </c>
      <c r="F12" s="1">
        <v>16836</v>
      </c>
      <c r="G12" s="1">
        <v>0.55710000000000004</v>
      </c>
      <c r="H12" s="1">
        <v>0.69120000000000004</v>
      </c>
      <c r="I12" s="1">
        <v>0.34899999999999998</v>
      </c>
      <c r="J12" s="1">
        <v>68303</v>
      </c>
      <c r="K12" s="1">
        <v>24250</v>
      </c>
      <c r="L12" s="1">
        <v>7243</v>
      </c>
      <c r="M12" s="1">
        <v>11</v>
      </c>
      <c r="N12" s="1" t="s">
        <v>20</v>
      </c>
      <c r="O12" s="1" t="s">
        <v>29</v>
      </c>
      <c r="P12" s="1" t="s">
        <v>22</v>
      </c>
      <c r="Q12" s="1" t="s">
        <v>23</v>
      </c>
      <c r="R12">
        <v>0.99339418777136357</v>
      </c>
    </row>
    <row r="13" spans="1:18" x14ac:dyDescent="0.2">
      <c r="A13" s="1">
        <v>123554</v>
      </c>
      <c r="B13" s="1" t="s">
        <v>44</v>
      </c>
      <c r="C13" s="1" t="s">
        <v>33</v>
      </c>
      <c r="D13" s="1">
        <v>0.86529999999999996</v>
      </c>
      <c r="E13" s="1">
        <v>1947</v>
      </c>
      <c r="F13" s="1">
        <v>57803</v>
      </c>
      <c r="G13" s="1">
        <v>0.70299999999999996</v>
      </c>
      <c r="H13" s="1">
        <v>0.85370000000000001</v>
      </c>
      <c r="I13" s="1">
        <v>0.2671</v>
      </c>
      <c r="J13" s="1">
        <v>78812</v>
      </c>
      <c r="K13" s="1">
        <v>23691</v>
      </c>
      <c r="L13" s="1">
        <v>11429</v>
      </c>
      <c r="M13" s="1">
        <v>10</v>
      </c>
      <c r="N13" s="1" t="s">
        <v>20</v>
      </c>
      <c r="O13" s="1" t="s">
        <v>21</v>
      </c>
      <c r="P13" s="1" t="s">
        <v>22</v>
      </c>
      <c r="Q13" s="1" t="s">
        <v>23</v>
      </c>
      <c r="R13">
        <v>0.99249576273080875</v>
      </c>
    </row>
    <row r="14" spans="1:18" x14ac:dyDescent="0.2">
      <c r="A14" s="1">
        <v>159647</v>
      </c>
      <c r="B14" s="1" t="s">
        <v>45</v>
      </c>
      <c r="C14" s="1" t="s">
        <v>46</v>
      </c>
      <c r="D14" s="1">
        <v>0.86399999999999999</v>
      </c>
      <c r="E14" s="1">
        <v>8312</v>
      </c>
      <c r="F14" s="1">
        <v>16866</v>
      </c>
      <c r="G14" s="1">
        <v>0.63819999999999999</v>
      </c>
      <c r="H14" s="1">
        <v>0.82199999999999995</v>
      </c>
      <c r="I14" s="1">
        <v>0.21679999999999999</v>
      </c>
      <c r="J14" s="1">
        <v>52279</v>
      </c>
      <c r="K14" s="1">
        <v>22135</v>
      </c>
      <c r="L14" s="1">
        <v>9177</v>
      </c>
      <c r="M14" s="1">
        <v>21</v>
      </c>
      <c r="N14" s="1" t="s">
        <v>28</v>
      </c>
      <c r="O14" s="1" t="s">
        <v>42</v>
      </c>
      <c r="P14" s="1" t="s">
        <v>30</v>
      </c>
      <c r="Q14" s="1" t="s">
        <v>23</v>
      </c>
      <c r="R14">
        <v>0.99071721227613752</v>
      </c>
    </row>
    <row r="15" spans="1:18" x14ac:dyDescent="0.2">
      <c r="A15" s="1">
        <v>137351</v>
      </c>
      <c r="B15" s="1" t="s">
        <v>47</v>
      </c>
      <c r="C15" s="1" t="s">
        <v>27</v>
      </c>
      <c r="D15" s="1">
        <v>0.43190000000000001</v>
      </c>
      <c r="E15" s="1">
        <v>37207</v>
      </c>
      <c r="F15" s="1">
        <v>17324</v>
      </c>
      <c r="G15" s="1">
        <v>0.76759999999999995</v>
      </c>
      <c r="H15" s="1">
        <v>0.91279999999999994</v>
      </c>
      <c r="I15" s="1">
        <v>0.29360000000000003</v>
      </c>
      <c r="J15" s="1">
        <v>57743</v>
      </c>
      <c r="K15" s="1">
        <v>17988</v>
      </c>
      <c r="L15" s="1">
        <v>11342</v>
      </c>
      <c r="M15" s="1">
        <v>22</v>
      </c>
      <c r="N15" s="1" t="s">
        <v>28</v>
      </c>
      <c r="O15" s="1" t="s">
        <v>29</v>
      </c>
      <c r="P15" s="1" t="s">
        <v>30</v>
      </c>
      <c r="Q15" s="1" t="s">
        <v>23</v>
      </c>
      <c r="R15">
        <v>0.99062521911498003</v>
      </c>
    </row>
    <row r="16" spans="1:18" x14ac:dyDescent="0.2">
      <c r="A16" s="1">
        <v>143084</v>
      </c>
      <c r="B16" s="1" t="s">
        <v>48</v>
      </c>
      <c r="C16" s="1" t="s">
        <v>25</v>
      </c>
      <c r="D16" s="1">
        <v>0.62680000000000002</v>
      </c>
      <c r="E16" s="1">
        <v>2490</v>
      </c>
      <c r="F16" s="1">
        <v>51598</v>
      </c>
      <c r="G16" s="1">
        <v>0.72860000000000003</v>
      </c>
      <c r="H16" s="1">
        <v>0.82110000000000005</v>
      </c>
      <c r="I16" s="1">
        <v>0.24</v>
      </c>
      <c r="J16" s="1">
        <v>62971</v>
      </c>
      <c r="K16" s="1">
        <v>27000</v>
      </c>
      <c r="L16" s="1">
        <v>8300</v>
      </c>
      <c r="M16" s="1">
        <v>12</v>
      </c>
      <c r="N16" s="1" t="s">
        <v>20</v>
      </c>
      <c r="O16" s="1" t="s">
        <v>29</v>
      </c>
      <c r="P16" s="1" t="s">
        <v>22</v>
      </c>
      <c r="Q16" s="1" t="s">
        <v>23</v>
      </c>
      <c r="R16">
        <v>0.99054790654150537</v>
      </c>
    </row>
    <row r="17" spans="1:18" x14ac:dyDescent="0.2">
      <c r="A17" s="1">
        <v>239080</v>
      </c>
      <c r="B17" s="1" t="s">
        <v>49</v>
      </c>
      <c r="C17" s="1" t="s">
        <v>50</v>
      </c>
      <c r="D17" s="1">
        <v>0.74980000000000002</v>
      </c>
      <c r="E17" s="1">
        <v>1010</v>
      </c>
      <c r="F17" s="1">
        <v>35178</v>
      </c>
      <c r="G17" s="1">
        <v>0.44159999999999999</v>
      </c>
      <c r="H17" s="1">
        <v>0.67459999999999998</v>
      </c>
      <c r="I17" s="1">
        <v>0.32590000000000002</v>
      </c>
      <c r="J17" s="1">
        <v>53501</v>
      </c>
      <c r="K17" s="1">
        <v>25000</v>
      </c>
      <c r="L17" s="1">
        <v>8154</v>
      </c>
      <c r="M17" s="1">
        <v>11</v>
      </c>
      <c r="N17" s="1" t="s">
        <v>20</v>
      </c>
      <c r="O17" s="1" t="s">
        <v>29</v>
      </c>
      <c r="P17" s="1" t="s">
        <v>22</v>
      </c>
      <c r="Q17" s="1" t="s">
        <v>23</v>
      </c>
      <c r="R17">
        <v>0.98897416662548776</v>
      </c>
    </row>
    <row r="18" spans="1:18" x14ac:dyDescent="0.2">
      <c r="A18" s="1">
        <v>232089</v>
      </c>
      <c r="B18" s="1" t="s">
        <v>51</v>
      </c>
      <c r="C18" s="1" t="s">
        <v>52</v>
      </c>
      <c r="D18" s="1">
        <v>0.88980000000000004</v>
      </c>
      <c r="E18" s="1">
        <v>699</v>
      </c>
      <c r="F18" s="1">
        <v>28520</v>
      </c>
      <c r="G18" s="1">
        <v>0.31900000000000001</v>
      </c>
      <c r="H18" s="1">
        <v>0.64139999999999997</v>
      </c>
      <c r="I18" s="1">
        <v>0.54269999999999996</v>
      </c>
      <c r="J18" s="1">
        <v>44296</v>
      </c>
      <c r="K18" s="1">
        <v>27000</v>
      </c>
      <c r="L18" s="1">
        <v>5763</v>
      </c>
      <c r="M18" s="1">
        <v>11</v>
      </c>
      <c r="N18" s="1" t="s">
        <v>20</v>
      </c>
      <c r="O18" s="1" t="s">
        <v>42</v>
      </c>
      <c r="P18" s="1" t="s">
        <v>30</v>
      </c>
      <c r="Q18" s="1" t="s">
        <v>31</v>
      </c>
      <c r="R18">
        <v>0.988630337158795</v>
      </c>
    </row>
    <row r="19" spans="1:18" x14ac:dyDescent="0.2">
      <c r="A19" s="1">
        <v>174154</v>
      </c>
      <c r="B19" s="1" t="s">
        <v>53</v>
      </c>
      <c r="C19" s="1" t="s">
        <v>54</v>
      </c>
      <c r="D19" s="1">
        <v>0.9375</v>
      </c>
      <c r="E19" s="1">
        <v>740</v>
      </c>
      <c r="F19" s="1">
        <v>13450</v>
      </c>
      <c r="G19" s="1">
        <v>0.4667</v>
      </c>
      <c r="H19" s="1">
        <v>0.69569999999999999</v>
      </c>
      <c r="I19" s="1">
        <v>0.56679999999999997</v>
      </c>
      <c r="J19" s="1">
        <v>36909</v>
      </c>
      <c r="K19" s="1">
        <v>21500</v>
      </c>
      <c r="L19" s="1">
        <v>7450</v>
      </c>
      <c r="M19" s="1">
        <v>15</v>
      </c>
      <c r="N19" s="1" t="s">
        <v>20</v>
      </c>
      <c r="O19" s="1" t="s">
        <v>29</v>
      </c>
      <c r="P19" s="1" t="s">
        <v>22</v>
      </c>
      <c r="Q19" s="1" t="s">
        <v>31</v>
      </c>
      <c r="R19">
        <v>0.98805973720010432</v>
      </c>
    </row>
    <row r="20" spans="1:18" x14ac:dyDescent="0.2">
      <c r="A20" s="1">
        <v>154855</v>
      </c>
      <c r="B20" s="1" t="s">
        <v>55</v>
      </c>
      <c r="C20" s="1" t="s">
        <v>56</v>
      </c>
      <c r="D20" s="1">
        <v>0.52710000000000001</v>
      </c>
      <c r="E20" s="1">
        <v>380</v>
      </c>
      <c r="F20" s="1">
        <v>21000</v>
      </c>
      <c r="G20" s="1">
        <v>0.2697</v>
      </c>
      <c r="H20" s="1">
        <v>0.45</v>
      </c>
      <c r="I20" s="1">
        <v>0.52400000000000002</v>
      </c>
      <c r="J20" s="1">
        <v>44468</v>
      </c>
      <c r="K20" s="1">
        <v>27000</v>
      </c>
      <c r="L20" s="1">
        <v>4534</v>
      </c>
      <c r="M20" s="1">
        <v>15</v>
      </c>
      <c r="N20" s="1" t="s">
        <v>20</v>
      </c>
      <c r="O20" s="1" t="s">
        <v>42</v>
      </c>
      <c r="P20" s="1" t="s">
        <v>22</v>
      </c>
      <c r="Q20" s="1" t="s">
        <v>31</v>
      </c>
      <c r="R20">
        <v>0.98775216355912854</v>
      </c>
    </row>
    <row r="21" spans="1:18" x14ac:dyDescent="0.2">
      <c r="A21" s="1">
        <v>196130</v>
      </c>
      <c r="B21" s="1" t="s">
        <v>57</v>
      </c>
      <c r="C21" s="1" t="s">
        <v>58</v>
      </c>
      <c r="D21" s="1">
        <v>0.72950000000000004</v>
      </c>
      <c r="E21" s="1">
        <v>5097</v>
      </c>
      <c r="F21" s="1">
        <v>19653</v>
      </c>
      <c r="G21" s="1">
        <v>0.33310000000000001</v>
      </c>
      <c r="H21" s="1">
        <v>0.57720000000000005</v>
      </c>
      <c r="I21" s="1">
        <v>0.55600000000000005</v>
      </c>
      <c r="J21" s="1">
        <v>52334</v>
      </c>
      <c r="K21" s="1">
        <v>21028</v>
      </c>
      <c r="L21" s="1">
        <v>9132</v>
      </c>
      <c r="M21" s="1">
        <v>14</v>
      </c>
      <c r="N21" s="1" t="s">
        <v>28</v>
      </c>
      <c r="O21" s="1" t="s">
        <v>29</v>
      </c>
      <c r="P21" s="1" t="s">
        <v>39</v>
      </c>
      <c r="Q21" s="1" t="s">
        <v>23</v>
      </c>
      <c r="R21">
        <v>0.98741870444501445</v>
      </c>
    </row>
    <row r="22" spans="1:18" x14ac:dyDescent="0.2">
      <c r="A22" s="1">
        <v>136330</v>
      </c>
      <c r="B22" s="1" t="s">
        <v>59</v>
      </c>
      <c r="C22" s="1" t="s">
        <v>27</v>
      </c>
      <c r="D22" s="1">
        <v>0.81989999999999996</v>
      </c>
      <c r="E22" s="1">
        <v>2603</v>
      </c>
      <c r="F22" s="1">
        <v>40650</v>
      </c>
      <c r="G22" s="1">
        <v>0.5534</v>
      </c>
      <c r="H22" s="1">
        <v>0.67959999999999998</v>
      </c>
      <c r="I22" s="1">
        <v>0.2296</v>
      </c>
      <c r="J22" s="1">
        <v>49232</v>
      </c>
      <c r="K22" s="1">
        <v>22500</v>
      </c>
      <c r="L22" s="1">
        <v>9265</v>
      </c>
      <c r="M22" s="1">
        <v>13</v>
      </c>
      <c r="N22" s="1" t="s">
        <v>20</v>
      </c>
      <c r="O22" s="1" t="s">
        <v>29</v>
      </c>
      <c r="P22" s="1" t="s">
        <v>30</v>
      </c>
      <c r="Q22" s="1" t="s">
        <v>31</v>
      </c>
      <c r="R22">
        <v>0.98620940574754612</v>
      </c>
    </row>
    <row r="23" spans="1:18" x14ac:dyDescent="0.2">
      <c r="A23" s="1">
        <v>164270</v>
      </c>
      <c r="B23" s="1" t="s">
        <v>60</v>
      </c>
      <c r="C23" s="1" t="s">
        <v>61</v>
      </c>
      <c r="D23" s="1">
        <v>0.77929999999999999</v>
      </c>
      <c r="E23" s="1">
        <v>1617</v>
      </c>
      <c r="F23" s="1">
        <v>52081</v>
      </c>
      <c r="G23" s="1">
        <v>0.63290000000000002</v>
      </c>
      <c r="H23" s="1">
        <v>0.76019999999999999</v>
      </c>
      <c r="I23" s="1">
        <v>0.36099999999999999</v>
      </c>
      <c r="J23" s="1">
        <v>60663</v>
      </c>
      <c r="K23" s="1">
        <v>25000</v>
      </c>
      <c r="L23" s="1">
        <v>8473</v>
      </c>
      <c r="M23" s="1">
        <v>13</v>
      </c>
      <c r="N23" s="1" t="s">
        <v>20</v>
      </c>
      <c r="O23" s="1" t="s">
        <v>42</v>
      </c>
      <c r="P23" s="1" t="s">
        <v>30</v>
      </c>
      <c r="Q23" s="1" t="s">
        <v>23</v>
      </c>
      <c r="R23">
        <v>0.9857079773718882</v>
      </c>
    </row>
    <row r="24" spans="1:18" x14ac:dyDescent="0.2">
      <c r="A24" s="1">
        <v>201964</v>
      </c>
      <c r="B24" s="1" t="s">
        <v>62</v>
      </c>
      <c r="C24" s="1" t="s">
        <v>19</v>
      </c>
      <c r="D24" s="1">
        <v>0.37969999999999998</v>
      </c>
      <c r="E24" s="1">
        <v>862</v>
      </c>
      <c r="F24" s="1">
        <v>24600</v>
      </c>
      <c r="G24" s="1">
        <v>0.33939999999999998</v>
      </c>
      <c r="H24" s="1">
        <v>0.62370000000000003</v>
      </c>
      <c r="I24" s="1">
        <v>0.33660000000000001</v>
      </c>
      <c r="J24" s="1">
        <v>39813</v>
      </c>
      <c r="K24" s="1">
        <v>29579</v>
      </c>
      <c r="L24" s="1">
        <v>4506</v>
      </c>
      <c r="M24" s="1">
        <v>14</v>
      </c>
      <c r="N24" s="1" t="s">
        <v>20</v>
      </c>
      <c r="O24" s="1" t="s">
        <v>42</v>
      </c>
      <c r="P24" s="1" t="s">
        <v>22</v>
      </c>
      <c r="Q24" s="1" t="s">
        <v>31</v>
      </c>
      <c r="R24">
        <v>0.98552425202772553</v>
      </c>
    </row>
    <row r="25" spans="1:18" x14ac:dyDescent="0.2">
      <c r="A25" s="1">
        <v>206695</v>
      </c>
      <c r="B25" s="1" t="s">
        <v>63</v>
      </c>
      <c r="C25" s="1" t="s">
        <v>19</v>
      </c>
      <c r="D25" s="1">
        <v>0.84450000000000003</v>
      </c>
      <c r="E25" s="1">
        <v>7961</v>
      </c>
      <c r="F25" s="1">
        <v>11473</v>
      </c>
      <c r="G25" s="1">
        <v>0.50480000000000003</v>
      </c>
      <c r="H25" s="1">
        <v>0.75729999999999997</v>
      </c>
      <c r="I25" s="1">
        <v>0.33779999999999999</v>
      </c>
      <c r="J25" s="1">
        <v>41544</v>
      </c>
      <c r="K25" s="1">
        <v>24000</v>
      </c>
      <c r="L25" s="1">
        <v>8731</v>
      </c>
      <c r="M25" s="1">
        <v>20</v>
      </c>
      <c r="N25" s="1" t="s">
        <v>28</v>
      </c>
      <c r="O25" s="1" t="s">
        <v>29</v>
      </c>
      <c r="P25" s="1" t="s">
        <v>22</v>
      </c>
      <c r="Q25" s="1" t="s">
        <v>31</v>
      </c>
      <c r="R25">
        <v>0.98515107283953141</v>
      </c>
    </row>
    <row r="26" spans="1:18" x14ac:dyDescent="0.2">
      <c r="A26" s="1">
        <v>110714</v>
      </c>
      <c r="B26" s="1" t="s">
        <v>64</v>
      </c>
      <c r="C26" s="1" t="s">
        <v>33</v>
      </c>
      <c r="D26" s="1">
        <v>0.65790000000000004</v>
      </c>
      <c r="E26" s="1">
        <v>17940</v>
      </c>
      <c r="F26" s="1">
        <v>50205</v>
      </c>
      <c r="G26" s="1">
        <v>0.75090000000000001</v>
      </c>
      <c r="H26" s="1">
        <v>0.87949999999999995</v>
      </c>
      <c r="I26" s="1">
        <v>0.31569999999999998</v>
      </c>
      <c r="J26" s="1">
        <v>68396</v>
      </c>
      <c r="K26" s="1">
        <v>16666</v>
      </c>
      <c r="L26" s="1">
        <v>17994</v>
      </c>
      <c r="M26" s="1">
        <v>22</v>
      </c>
      <c r="N26" s="1" t="s">
        <v>28</v>
      </c>
      <c r="O26" s="1" t="s">
        <v>29</v>
      </c>
      <c r="P26" s="1" t="s">
        <v>22</v>
      </c>
      <c r="Q26" s="1" t="s">
        <v>23</v>
      </c>
      <c r="R26">
        <v>0.98438588868485621</v>
      </c>
    </row>
    <row r="27" spans="1:18" x14ac:dyDescent="0.2">
      <c r="A27" s="1">
        <v>186584</v>
      </c>
      <c r="B27" s="1" t="s">
        <v>65</v>
      </c>
      <c r="C27" s="1" t="s">
        <v>66</v>
      </c>
      <c r="D27" s="1">
        <v>0.73260000000000003</v>
      </c>
      <c r="E27" s="1">
        <v>6036</v>
      </c>
      <c r="F27" s="1">
        <v>53170</v>
      </c>
      <c r="G27" s="1">
        <v>0.69489999999999996</v>
      </c>
      <c r="H27" s="1">
        <v>0.8145</v>
      </c>
      <c r="I27" s="1">
        <v>0.32490000000000002</v>
      </c>
      <c r="J27" s="1">
        <v>70196</v>
      </c>
      <c r="K27" s="1">
        <v>22750</v>
      </c>
      <c r="L27" s="1">
        <v>11807</v>
      </c>
      <c r="M27" s="1">
        <v>14</v>
      </c>
      <c r="N27" s="1" t="s">
        <v>20</v>
      </c>
      <c r="O27" s="1" t="s">
        <v>21</v>
      </c>
      <c r="P27" s="1" t="s">
        <v>39</v>
      </c>
      <c r="Q27" s="1" t="s">
        <v>23</v>
      </c>
      <c r="R27">
        <v>0.98423180754618644</v>
      </c>
    </row>
    <row r="28" spans="1:18" x14ac:dyDescent="0.2">
      <c r="A28" s="1">
        <v>229814</v>
      </c>
      <c r="B28" s="1" t="s">
        <v>67</v>
      </c>
      <c r="C28" s="1" t="s">
        <v>36</v>
      </c>
      <c r="D28" s="1">
        <v>0.98680000000000001</v>
      </c>
      <c r="E28" s="1">
        <v>6917</v>
      </c>
      <c r="F28" s="1">
        <v>10996</v>
      </c>
      <c r="G28" s="1">
        <v>0.5504</v>
      </c>
      <c r="H28" s="1">
        <v>0.69630000000000003</v>
      </c>
      <c r="I28" s="1">
        <v>0.41110000000000002</v>
      </c>
      <c r="J28" s="1">
        <v>50741</v>
      </c>
      <c r="K28" s="1">
        <v>19500</v>
      </c>
      <c r="L28" s="1">
        <v>8482</v>
      </c>
      <c r="M28" s="1">
        <v>14</v>
      </c>
      <c r="N28" s="1" t="s">
        <v>28</v>
      </c>
      <c r="O28" s="1" t="s">
        <v>42</v>
      </c>
      <c r="P28" s="1" t="s">
        <v>30</v>
      </c>
      <c r="Q28" s="1" t="s">
        <v>23</v>
      </c>
      <c r="R28">
        <v>0.98255617394024275</v>
      </c>
    </row>
    <row r="29" spans="1:18" x14ac:dyDescent="0.2">
      <c r="A29" s="1">
        <v>196079</v>
      </c>
      <c r="B29" s="1" t="s">
        <v>68</v>
      </c>
      <c r="C29" s="1" t="s">
        <v>58</v>
      </c>
      <c r="D29" s="1">
        <v>0.3861</v>
      </c>
      <c r="E29" s="1">
        <v>14655</v>
      </c>
      <c r="F29" s="1">
        <v>30447</v>
      </c>
      <c r="G29" s="1">
        <v>0.81620000000000004</v>
      </c>
      <c r="H29" s="1">
        <v>0.89380000000000004</v>
      </c>
      <c r="I29" s="1">
        <v>0.28120000000000001</v>
      </c>
      <c r="J29" s="1">
        <v>80596</v>
      </c>
      <c r="K29" s="1">
        <v>18500</v>
      </c>
      <c r="L29" s="1">
        <v>11086</v>
      </c>
      <c r="M29" s="1">
        <v>18</v>
      </c>
      <c r="N29" s="1" t="s">
        <v>28</v>
      </c>
      <c r="O29" s="1" t="s">
        <v>21</v>
      </c>
      <c r="P29" s="1" t="s">
        <v>39</v>
      </c>
      <c r="Q29" s="1" t="s">
        <v>23</v>
      </c>
      <c r="R29">
        <v>0.98224114487380043</v>
      </c>
    </row>
    <row r="30" spans="1:18" x14ac:dyDescent="0.2">
      <c r="A30" s="1">
        <v>106397</v>
      </c>
      <c r="B30" s="1" t="s">
        <v>69</v>
      </c>
      <c r="C30" s="1" t="s">
        <v>70</v>
      </c>
      <c r="D30" s="1">
        <v>0.74299999999999999</v>
      </c>
      <c r="E30" s="1">
        <v>28677</v>
      </c>
      <c r="F30" s="1">
        <v>29966</v>
      </c>
      <c r="G30" s="1">
        <v>0.70520000000000005</v>
      </c>
      <c r="H30" s="1">
        <v>0.86370000000000002</v>
      </c>
      <c r="I30" s="1">
        <v>0.1779</v>
      </c>
      <c r="J30" s="1">
        <v>58191</v>
      </c>
      <c r="K30" s="1">
        <v>21500</v>
      </c>
      <c r="L30" s="1">
        <v>10657</v>
      </c>
      <c r="M30" s="1">
        <v>20</v>
      </c>
      <c r="N30" s="1" t="s">
        <v>28</v>
      </c>
      <c r="O30" s="1" t="s">
        <v>29</v>
      </c>
      <c r="P30" s="1" t="s">
        <v>30</v>
      </c>
      <c r="Q30" s="1" t="s">
        <v>23</v>
      </c>
      <c r="R30">
        <v>0.98079168437685649</v>
      </c>
    </row>
    <row r="31" spans="1:18" x14ac:dyDescent="0.2">
      <c r="A31" s="1">
        <v>262129</v>
      </c>
      <c r="B31" s="1" t="s">
        <v>71</v>
      </c>
      <c r="C31" s="1" t="s">
        <v>27</v>
      </c>
      <c r="D31" s="1">
        <v>0.73199999999999998</v>
      </c>
      <c r="E31" s="1">
        <v>843</v>
      </c>
      <c r="F31" s="1">
        <v>29944</v>
      </c>
      <c r="G31" s="1">
        <v>0.66669999999999996</v>
      </c>
      <c r="H31" s="1">
        <v>0.75570000000000004</v>
      </c>
      <c r="I31" s="1">
        <v>0.33939999999999998</v>
      </c>
      <c r="J31" s="1">
        <v>48082</v>
      </c>
      <c r="K31" s="1">
        <v>17375</v>
      </c>
      <c r="L31" s="1">
        <v>10340</v>
      </c>
      <c r="M31" s="1">
        <v>8</v>
      </c>
      <c r="N31" s="1" t="s">
        <v>28</v>
      </c>
      <c r="O31" s="1" t="s">
        <v>29</v>
      </c>
      <c r="P31" s="1" t="s">
        <v>30</v>
      </c>
      <c r="Q31" s="1" t="s">
        <v>31</v>
      </c>
      <c r="R31">
        <v>0.97813958332751327</v>
      </c>
    </row>
    <row r="32" spans="1:18" x14ac:dyDescent="0.2">
      <c r="A32" s="1">
        <v>154721</v>
      </c>
      <c r="B32" s="1" t="s">
        <v>72</v>
      </c>
      <c r="C32" s="1" t="s">
        <v>56</v>
      </c>
      <c r="D32" s="1">
        <v>0.56000000000000005</v>
      </c>
      <c r="E32" s="1">
        <v>569</v>
      </c>
      <c r="F32" s="1">
        <v>33000</v>
      </c>
      <c r="G32" s="1">
        <v>0.3574</v>
      </c>
      <c r="H32" s="1">
        <v>0.42530000000000001</v>
      </c>
      <c r="I32" s="1">
        <v>0.4819</v>
      </c>
      <c r="J32" s="1">
        <v>49694</v>
      </c>
      <c r="K32" s="1">
        <v>23250</v>
      </c>
      <c r="L32" s="1">
        <v>4596</v>
      </c>
      <c r="M32" s="1">
        <v>12</v>
      </c>
      <c r="N32" s="1" t="s">
        <v>20</v>
      </c>
      <c r="O32" s="1" t="s">
        <v>42</v>
      </c>
      <c r="P32" s="1" t="s">
        <v>22</v>
      </c>
      <c r="Q32" s="1" t="s">
        <v>31</v>
      </c>
      <c r="R32">
        <v>0.97701016073775049</v>
      </c>
    </row>
    <row r="33" spans="1:18" x14ac:dyDescent="0.2">
      <c r="A33" s="1">
        <v>161235</v>
      </c>
      <c r="B33" s="1" t="s">
        <v>73</v>
      </c>
      <c r="C33" s="1" t="s">
        <v>74</v>
      </c>
      <c r="D33" s="1">
        <v>0.97919999999999996</v>
      </c>
      <c r="E33" s="1">
        <v>599</v>
      </c>
      <c r="F33" s="1">
        <v>14880</v>
      </c>
      <c r="G33" s="1">
        <v>0.39439999999999997</v>
      </c>
      <c r="H33" s="1">
        <v>0.89290000000000003</v>
      </c>
      <c r="I33" s="1">
        <v>0.14960000000000001</v>
      </c>
      <c r="J33" s="1">
        <v>51077</v>
      </c>
      <c r="K33" s="1">
        <v>20160</v>
      </c>
      <c r="L33" s="1">
        <v>8219</v>
      </c>
      <c r="M33" s="1">
        <v>21</v>
      </c>
      <c r="N33" s="1" t="s">
        <v>28</v>
      </c>
      <c r="O33" s="1" t="s">
        <v>42</v>
      </c>
      <c r="P33" s="1" t="s">
        <v>39</v>
      </c>
      <c r="Q33" s="1" t="s">
        <v>23</v>
      </c>
      <c r="R33">
        <v>0.97616665080409715</v>
      </c>
    </row>
    <row r="34" spans="1:18" x14ac:dyDescent="0.2">
      <c r="A34" s="1">
        <v>174251</v>
      </c>
      <c r="B34" s="1" t="s">
        <v>75</v>
      </c>
      <c r="C34" s="1" t="s">
        <v>54</v>
      </c>
      <c r="D34" s="1">
        <v>0.74929999999999997</v>
      </c>
      <c r="E34" s="1">
        <v>936</v>
      </c>
      <c r="F34" s="1">
        <v>16710</v>
      </c>
      <c r="G34" s="1">
        <v>0.625</v>
      </c>
      <c r="H34" s="1">
        <v>0.73899999999999999</v>
      </c>
      <c r="I34" s="1">
        <v>0.32550000000000001</v>
      </c>
      <c r="J34" s="1">
        <v>50919</v>
      </c>
      <c r="K34" s="1">
        <v>18995</v>
      </c>
      <c r="L34" s="1">
        <v>8211</v>
      </c>
      <c r="M34" s="1">
        <v>9</v>
      </c>
      <c r="N34" s="1" t="s">
        <v>28</v>
      </c>
      <c r="O34" s="1" t="s">
        <v>42</v>
      </c>
      <c r="P34" s="1" t="s">
        <v>22</v>
      </c>
      <c r="Q34" s="1" t="s">
        <v>23</v>
      </c>
      <c r="R34">
        <v>0.97613175484145553</v>
      </c>
    </row>
    <row r="35" spans="1:18" x14ac:dyDescent="0.2">
      <c r="A35" s="1">
        <v>497824</v>
      </c>
      <c r="B35" s="1" t="s">
        <v>76</v>
      </c>
      <c r="C35" s="1" t="s">
        <v>77</v>
      </c>
      <c r="D35" s="1">
        <v>0.49180000000000001</v>
      </c>
      <c r="E35" s="1">
        <v>240</v>
      </c>
      <c r="F35" s="1">
        <v>8175</v>
      </c>
      <c r="G35" s="1">
        <v>0.5</v>
      </c>
      <c r="H35" s="1">
        <v>0.66669999999999996</v>
      </c>
      <c r="I35" s="1">
        <v>0.44400000000000001</v>
      </c>
      <c r="J35" s="1">
        <v>46573</v>
      </c>
      <c r="K35" s="1">
        <v>24736</v>
      </c>
      <c r="L35" s="1">
        <v>5631</v>
      </c>
      <c r="M35" s="1">
        <v>8</v>
      </c>
      <c r="N35" s="1" t="s">
        <v>20</v>
      </c>
      <c r="O35" s="1" t="s">
        <v>29</v>
      </c>
      <c r="P35" s="1" t="s">
        <v>22</v>
      </c>
      <c r="Q35" s="1" t="s">
        <v>31</v>
      </c>
      <c r="R35">
        <v>0.97611424211040698</v>
      </c>
    </row>
    <row r="36" spans="1:18" x14ac:dyDescent="0.2">
      <c r="A36" s="1">
        <v>209056</v>
      </c>
      <c r="B36" s="1" t="s">
        <v>78</v>
      </c>
      <c r="C36" s="1" t="s">
        <v>79</v>
      </c>
      <c r="D36" s="1">
        <v>0.78490000000000004</v>
      </c>
      <c r="E36" s="1">
        <v>2120</v>
      </c>
      <c r="F36" s="1">
        <v>64828</v>
      </c>
      <c r="G36" s="1">
        <v>0.75360000000000005</v>
      </c>
      <c r="H36" s="1">
        <v>0.8881</v>
      </c>
      <c r="I36" s="1">
        <v>0.20280000000000001</v>
      </c>
      <c r="J36" s="1">
        <v>62205</v>
      </c>
      <c r="K36" s="1">
        <v>19500</v>
      </c>
      <c r="L36" s="1">
        <v>10908</v>
      </c>
      <c r="M36" s="1">
        <v>12</v>
      </c>
      <c r="N36" s="1" t="s">
        <v>20</v>
      </c>
      <c r="O36" s="1" t="s">
        <v>29</v>
      </c>
      <c r="P36" s="1" t="s">
        <v>22</v>
      </c>
      <c r="Q36" s="1" t="s">
        <v>23</v>
      </c>
      <c r="R36">
        <v>0.97346400449289494</v>
      </c>
    </row>
    <row r="37" spans="1:18" x14ac:dyDescent="0.2">
      <c r="A37" s="1">
        <v>153384</v>
      </c>
      <c r="B37" s="1" t="s">
        <v>80</v>
      </c>
      <c r="C37" s="1" t="s">
        <v>81</v>
      </c>
      <c r="D37" s="1">
        <v>0.14510000000000001</v>
      </c>
      <c r="E37" s="1">
        <v>1729</v>
      </c>
      <c r="F37" s="1">
        <v>68106</v>
      </c>
      <c r="G37" s="1">
        <v>0.88119999999999998</v>
      </c>
      <c r="H37" s="1">
        <v>0.92559999999999998</v>
      </c>
      <c r="I37" s="1">
        <v>0.17860000000000001</v>
      </c>
      <c r="J37" s="1">
        <v>62830</v>
      </c>
      <c r="K37" s="1">
        <v>17500</v>
      </c>
      <c r="L37" s="1">
        <v>12576</v>
      </c>
      <c r="M37" s="1">
        <v>9</v>
      </c>
      <c r="N37" s="1" t="s">
        <v>20</v>
      </c>
      <c r="O37" s="1" t="s">
        <v>42</v>
      </c>
      <c r="P37" s="1" t="s">
        <v>22</v>
      </c>
      <c r="Q37" s="1" t="s">
        <v>23</v>
      </c>
      <c r="R37">
        <v>0.97319656039621116</v>
      </c>
    </row>
    <row r="38" spans="1:18" x14ac:dyDescent="0.2">
      <c r="A38" s="1">
        <v>178679</v>
      </c>
      <c r="B38" s="1" t="s">
        <v>82</v>
      </c>
      <c r="C38" s="1" t="s">
        <v>77</v>
      </c>
      <c r="D38" s="1">
        <v>0.93610000000000004</v>
      </c>
      <c r="E38" s="1">
        <v>602</v>
      </c>
      <c r="F38" s="1">
        <v>16000</v>
      </c>
      <c r="G38" s="1">
        <v>0.63639999999999997</v>
      </c>
      <c r="H38" s="1">
        <v>0.83450000000000002</v>
      </c>
      <c r="I38" s="1">
        <v>0.42509999999999998</v>
      </c>
      <c r="J38" s="1">
        <v>41297</v>
      </c>
      <c r="K38" s="1">
        <v>16772</v>
      </c>
      <c r="L38" s="1">
        <v>5805</v>
      </c>
      <c r="M38" s="1">
        <v>17</v>
      </c>
      <c r="N38" s="1" t="s">
        <v>20</v>
      </c>
      <c r="O38" s="1" t="s">
        <v>29</v>
      </c>
      <c r="P38" s="1" t="s">
        <v>22</v>
      </c>
      <c r="Q38" s="1" t="s">
        <v>31</v>
      </c>
      <c r="R38">
        <v>0.97309986845030283</v>
      </c>
    </row>
    <row r="39" spans="1:18" x14ac:dyDescent="0.2">
      <c r="A39" s="1">
        <v>131283</v>
      </c>
      <c r="B39" s="1" t="s">
        <v>83</v>
      </c>
      <c r="C39" s="1" t="s">
        <v>84</v>
      </c>
      <c r="D39" s="1">
        <v>0.82779999999999998</v>
      </c>
      <c r="E39" s="1">
        <v>3154</v>
      </c>
      <c r="F39" s="1">
        <v>58378</v>
      </c>
      <c r="G39" s="1">
        <v>0.79469999999999996</v>
      </c>
      <c r="H39" s="1">
        <v>0.86509999999999998</v>
      </c>
      <c r="I39" s="1">
        <v>0.20319999999999999</v>
      </c>
      <c r="J39" s="1">
        <v>73250</v>
      </c>
      <c r="K39" s="1">
        <v>26000</v>
      </c>
      <c r="L39" s="1">
        <v>11252</v>
      </c>
      <c r="M39" s="1">
        <v>11</v>
      </c>
      <c r="N39" s="1" t="s">
        <v>20</v>
      </c>
      <c r="O39" s="1" t="s">
        <v>29</v>
      </c>
      <c r="P39" s="1" t="s">
        <v>30</v>
      </c>
      <c r="Q39" s="1" t="s">
        <v>23</v>
      </c>
      <c r="R39">
        <v>0.9729913888277204</v>
      </c>
    </row>
    <row r="40" spans="1:18" x14ac:dyDescent="0.2">
      <c r="A40" s="1">
        <v>199458</v>
      </c>
      <c r="B40" s="1" t="s">
        <v>85</v>
      </c>
      <c r="C40" s="1" t="s">
        <v>86</v>
      </c>
      <c r="D40" s="1">
        <v>0.62160000000000004</v>
      </c>
      <c r="E40" s="1">
        <v>132</v>
      </c>
      <c r="F40" s="1">
        <v>17280</v>
      </c>
      <c r="G40" s="1">
        <v>0.20749999999999999</v>
      </c>
      <c r="H40" s="1">
        <v>0.31580000000000003</v>
      </c>
      <c r="I40" s="1">
        <v>0.37640000000000001</v>
      </c>
      <c r="J40" s="1">
        <v>38342</v>
      </c>
      <c r="K40" s="1">
        <v>27000</v>
      </c>
      <c r="L40" s="1">
        <v>5406</v>
      </c>
      <c r="M40" s="1">
        <v>9</v>
      </c>
      <c r="N40" s="1" t="s">
        <v>20</v>
      </c>
      <c r="O40" s="1" t="s">
        <v>42</v>
      </c>
      <c r="P40" s="1" t="s">
        <v>30</v>
      </c>
      <c r="Q40" s="1" t="s">
        <v>31</v>
      </c>
      <c r="R40">
        <v>0.97236636796916998</v>
      </c>
    </row>
    <row r="41" spans="1:18" x14ac:dyDescent="0.2">
      <c r="A41" s="1">
        <v>232265</v>
      </c>
      <c r="B41" s="1" t="s">
        <v>87</v>
      </c>
      <c r="C41" s="1" t="s">
        <v>52</v>
      </c>
      <c r="D41" s="1">
        <v>0.62250000000000005</v>
      </c>
      <c r="E41" s="1">
        <v>3727</v>
      </c>
      <c r="F41" s="1">
        <v>30592</v>
      </c>
      <c r="G41" s="1">
        <v>0.5716</v>
      </c>
      <c r="H41" s="1">
        <v>0.85340000000000005</v>
      </c>
      <c r="I41" s="1">
        <v>0.39350000000000002</v>
      </c>
      <c r="J41" s="1">
        <v>59159</v>
      </c>
      <c r="K41" s="1">
        <v>25442</v>
      </c>
      <c r="L41" s="1">
        <v>8778</v>
      </c>
      <c r="M41" s="1">
        <v>15</v>
      </c>
      <c r="N41" s="1" t="s">
        <v>20</v>
      </c>
      <c r="O41" s="1" t="s">
        <v>21</v>
      </c>
      <c r="P41" s="1" t="s">
        <v>30</v>
      </c>
      <c r="Q41" s="1" t="s">
        <v>23</v>
      </c>
      <c r="R41">
        <v>0.97188978025855466</v>
      </c>
    </row>
    <row r="42" spans="1:18" x14ac:dyDescent="0.2">
      <c r="A42" s="1">
        <v>154493</v>
      </c>
      <c r="B42" s="1" t="s">
        <v>88</v>
      </c>
      <c r="C42" s="1" t="s">
        <v>81</v>
      </c>
      <c r="D42" s="1">
        <v>0.96460000000000001</v>
      </c>
      <c r="E42" s="1">
        <v>1994</v>
      </c>
      <c r="F42" s="1">
        <v>19475</v>
      </c>
      <c r="G42" s="1">
        <v>0.33889999999999998</v>
      </c>
      <c r="H42" s="1">
        <v>0.6774</v>
      </c>
      <c r="I42" s="1">
        <v>0.31790000000000002</v>
      </c>
      <c r="J42" s="1">
        <v>52766</v>
      </c>
      <c r="K42" s="1">
        <v>25000</v>
      </c>
      <c r="L42" s="1">
        <v>6035</v>
      </c>
      <c r="M42" s="1">
        <v>25</v>
      </c>
      <c r="N42" s="1" t="s">
        <v>20</v>
      </c>
      <c r="O42" s="1" t="s">
        <v>42</v>
      </c>
      <c r="P42" s="1" t="s">
        <v>22</v>
      </c>
      <c r="Q42" s="1" t="s">
        <v>23</v>
      </c>
      <c r="R42">
        <v>0.97184321210722069</v>
      </c>
    </row>
    <row r="43" spans="1:18" x14ac:dyDescent="0.2">
      <c r="A43" s="1">
        <v>161518</v>
      </c>
      <c r="B43" s="1" t="s">
        <v>89</v>
      </c>
      <c r="C43" s="1" t="s">
        <v>74</v>
      </c>
      <c r="D43" s="1">
        <v>0.83509999999999995</v>
      </c>
      <c r="E43" s="1">
        <v>964</v>
      </c>
      <c r="F43" s="1">
        <v>44420</v>
      </c>
      <c r="G43" s="1">
        <v>0.65739999999999998</v>
      </c>
      <c r="H43" s="1">
        <v>0.74570000000000003</v>
      </c>
      <c r="I43" s="1">
        <v>0.2361</v>
      </c>
      <c r="J43" s="1">
        <v>59045</v>
      </c>
      <c r="K43" s="1">
        <v>27000</v>
      </c>
      <c r="L43" s="1">
        <v>6294</v>
      </c>
      <c r="M43" s="1">
        <v>10</v>
      </c>
      <c r="N43" s="1" t="s">
        <v>20</v>
      </c>
      <c r="O43" s="1" t="s">
        <v>42</v>
      </c>
      <c r="P43" s="1" t="s">
        <v>39</v>
      </c>
      <c r="Q43" s="1" t="s">
        <v>23</v>
      </c>
      <c r="R43">
        <v>0.97032327867673784</v>
      </c>
    </row>
    <row r="44" spans="1:18" x14ac:dyDescent="0.2">
      <c r="A44" s="1">
        <v>155089</v>
      </c>
      <c r="B44" s="1" t="s">
        <v>90</v>
      </c>
      <c r="C44" s="1" t="s">
        <v>56</v>
      </c>
      <c r="D44" s="1">
        <v>0.55220000000000002</v>
      </c>
      <c r="E44" s="1">
        <v>1048</v>
      </c>
      <c r="F44" s="1">
        <v>34192</v>
      </c>
      <c r="G44" s="1">
        <v>0.4335</v>
      </c>
      <c r="H44" s="1">
        <v>0.65449999999999997</v>
      </c>
      <c r="I44" s="1">
        <v>0.30209999999999998</v>
      </c>
      <c r="J44" s="1">
        <v>52113</v>
      </c>
      <c r="K44" s="1">
        <v>25000</v>
      </c>
      <c r="L44" s="1">
        <v>7013</v>
      </c>
      <c r="M44" s="1">
        <v>12</v>
      </c>
      <c r="N44" s="1" t="s">
        <v>20</v>
      </c>
      <c r="O44" s="1" t="s">
        <v>29</v>
      </c>
      <c r="P44" s="1" t="s">
        <v>22</v>
      </c>
      <c r="Q44" s="1" t="s">
        <v>23</v>
      </c>
      <c r="R44">
        <v>0.97015725819066079</v>
      </c>
    </row>
    <row r="45" spans="1:18" x14ac:dyDescent="0.2">
      <c r="A45" s="1">
        <v>217536</v>
      </c>
      <c r="B45" s="1" t="s">
        <v>91</v>
      </c>
      <c r="C45" s="1" t="s">
        <v>92</v>
      </c>
      <c r="D45" s="1">
        <v>0.68169999999999997</v>
      </c>
      <c r="E45" s="1">
        <v>2121</v>
      </c>
      <c r="F45" s="1">
        <v>50100</v>
      </c>
      <c r="G45" s="1">
        <v>0.76880000000000004</v>
      </c>
      <c r="H45" s="1">
        <v>0.82789999999999997</v>
      </c>
      <c r="I45" s="1">
        <v>0.1507</v>
      </c>
      <c r="J45" s="1">
        <v>72975</v>
      </c>
      <c r="K45" s="1">
        <v>27000</v>
      </c>
      <c r="L45" s="1">
        <v>9135</v>
      </c>
      <c r="M45" s="1">
        <v>12</v>
      </c>
      <c r="N45" s="1" t="s">
        <v>20</v>
      </c>
      <c r="O45" s="1" t="s">
        <v>21</v>
      </c>
      <c r="P45" s="1" t="s">
        <v>39</v>
      </c>
      <c r="Q45" s="1" t="s">
        <v>23</v>
      </c>
      <c r="R45">
        <v>0.97010196656393988</v>
      </c>
    </row>
    <row r="46" spans="1:18" x14ac:dyDescent="0.2">
      <c r="A46" s="1">
        <v>144892</v>
      </c>
      <c r="B46" s="1" t="s">
        <v>93</v>
      </c>
      <c r="C46" s="1" t="s">
        <v>25</v>
      </c>
      <c r="D46" s="1">
        <v>0.65349999999999997</v>
      </c>
      <c r="E46" s="1">
        <v>4188</v>
      </c>
      <c r="F46" s="1">
        <v>16217</v>
      </c>
      <c r="G46" s="1">
        <v>0.47360000000000002</v>
      </c>
      <c r="H46" s="1">
        <v>0.71709999999999996</v>
      </c>
      <c r="I46" s="1">
        <v>0.29409999999999997</v>
      </c>
      <c r="J46" s="1">
        <v>51989</v>
      </c>
      <c r="K46" s="1">
        <v>21500</v>
      </c>
      <c r="L46" s="1">
        <v>9482</v>
      </c>
      <c r="M46" s="1">
        <v>14</v>
      </c>
      <c r="N46" s="1" t="s">
        <v>28</v>
      </c>
      <c r="O46" s="1" t="s">
        <v>42</v>
      </c>
      <c r="P46" s="1" t="s">
        <v>22</v>
      </c>
      <c r="Q46" s="1" t="s">
        <v>23</v>
      </c>
      <c r="R46">
        <v>0.97002913339348928</v>
      </c>
    </row>
    <row r="47" spans="1:18" x14ac:dyDescent="0.2">
      <c r="A47" s="1">
        <v>180258</v>
      </c>
      <c r="B47" s="1" t="s">
        <v>94</v>
      </c>
      <c r="C47" s="1" t="s">
        <v>95</v>
      </c>
      <c r="D47" s="1">
        <v>0.50280000000000002</v>
      </c>
      <c r="E47" s="1">
        <v>528</v>
      </c>
      <c r="F47" s="1">
        <v>30448</v>
      </c>
      <c r="G47" s="1">
        <v>0.27939999999999998</v>
      </c>
      <c r="H47" s="1">
        <v>0.72160000000000002</v>
      </c>
      <c r="I47" s="1">
        <v>0.32919999999999999</v>
      </c>
      <c r="J47" s="1">
        <v>48296</v>
      </c>
      <c r="K47" s="1">
        <v>18750</v>
      </c>
      <c r="L47" s="1">
        <v>6450</v>
      </c>
      <c r="M47" s="1">
        <v>9</v>
      </c>
      <c r="N47" s="1" t="s">
        <v>20</v>
      </c>
      <c r="O47" s="1" t="s">
        <v>29</v>
      </c>
      <c r="P47" s="1" t="s">
        <v>22</v>
      </c>
      <c r="Q47" s="1" t="s">
        <v>31</v>
      </c>
      <c r="R47">
        <v>0.96869159766249668</v>
      </c>
    </row>
    <row r="48" spans="1:18" x14ac:dyDescent="0.2">
      <c r="A48" s="1">
        <v>122436</v>
      </c>
      <c r="B48" s="1" t="s">
        <v>96</v>
      </c>
      <c r="C48" s="1" t="s">
        <v>33</v>
      </c>
      <c r="D48" s="1">
        <v>0.52380000000000004</v>
      </c>
      <c r="E48" s="1">
        <v>5671</v>
      </c>
      <c r="F48" s="1">
        <v>59486</v>
      </c>
      <c r="G48" s="1">
        <v>0.8367</v>
      </c>
      <c r="H48" s="1">
        <v>0.91400000000000003</v>
      </c>
      <c r="I48" s="1">
        <v>0.2092</v>
      </c>
      <c r="J48" s="1">
        <v>86522</v>
      </c>
      <c r="K48" s="1">
        <v>22940</v>
      </c>
      <c r="L48" s="1">
        <v>13201</v>
      </c>
      <c r="M48" s="1">
        <v>13</v>
      </c>
      <c r="N48" s="1" t="s">
        <v>20</v>
      </c>
      <c r="O48" s="1" t="s">
        <v>29</v>
      </c>
      <c r="P48" s="1" t="s">
        <v>22</v>
      </c>
      <c r="Q48" s="1" t="s">
        <v>23</v>
      </c>
      <c r="R48">
        <v>0.96860551943304274</v>
      </c>
    </row>
    <row r="49" spans="1:18" x14ac:dyDescent="0.2">
      <c r="A49" s="1">
        <v>216931</v>
      </c>
      <c r="B49" s="1" t="s">
        <v>97</v>
      </c>
      <c r="C49" s="1" t="s">
        <v>98</v>
      </c>
      <c r="D49" s="1">
        <v>0.90639999999999998</v>
      </c>
      <c r="E49" s="1">
        <v>1985</v>
      </c>
      <c r="F49" s="1">
        <v>43496</v>
      </c>
      <c r="G49" s="1">
        <v>0.63170000000000004</v>
      </c>
      <c r="H49" s="1">
        <v>0.7157</v>
      </c>
      <c r="I49" s="1">
        <v>0.34460000000000002</v>
      </c>
      <c r="J49" s="1">
        <v>63454</v>
      </c>
      <c r="K49" s="1">
        <v>26000</v>
      </c>
      <c r="L49" s="1">
        <v>9848</v>
      </c>
      <c r="M49" s="1">
        <v>13</v>
      </c>
      <c r="N49" s="1" t="s">
        <v>20</v>
      </c>
      <c r="O49" s="1" t="s">
        <v>29</v>
      </c>
      <c r="P49" s="1" t="s">
        <v>39</v>
      </c>
      <c r="Q49" s="1" t="s">
        <v>23</v>
      </c>
      <c r="R49">
        <v>0.96811086790800005</v>
      </c>
    </row>
    <row r="50" spans="1:18" x14ac:dyDescent="0.2">
      <c r="A50" s="1">
        <v>211556</v>
      </c>
      <c r="B50" s="1" t="s">
        <v>99</v>
      </c>
      <c r="C50" s="1" t="s">
        <v>98</v>
      </c>
      <c r="D50" s="1">
        <v>0.61960000000000004</v>
      </c>
      <c r="E50" s="1">
        <v>1232</v>
      </c>
      <c r="F50" s="1">
        <v>44626</v>
      </c>
      <c r="G50" s="1">
        <v>0.63060000000000005</v>
      </c>
      <c r="H50" s="1">
        <v>0.77810000000000001</v>
      </c>
      <c r="I50" s="1">
        <v>0.21829999999999999</v>
      </c>
      <c r="J50" s="1">
        <v>52410</v>
      </c>
      <c r="K50" s="1">
        <v>23250</v>
      </c>
      <c r="L50" s="1">
        <v>8160</v>
      </c>
      <c r="M50" s="1">
        <v>10</v>
      </c>
      <c r="N50" s="1" t="s">
        <v>20</v>
      </c>
      <c r="O50" s="1" t="s">
        <v>29</v>
      </c>
      <c r="P50" s="1" t="s">
        <v>39</v>
      </c>
      <c r="Q50" s="1" t="s">
        <v>23</v>
      </c>
      <c r="R50">
        <v>0.96699406284822287</v>
      </c>
    </row>
    <row r="51" spans="1:18" x14ac:dyDescent="0.2">
      <c r="A51" s="1">
        <v>204635</v>
      </c>
      <c r="B51" s="1" t="s">
        <v>100</v>
      </c>
      <c r="C51" s="1" t="s">
        <v>19</v>
      </c>
      <c r="D51" s="1">
        <v>0.74399999999999999</v>
      </c>
      <c r="E51" s="1">
        <v>2489</v>
      </c>
      <c r="F51" s="1">
        <v>39800</v>
      </c>
      <c r="G51" s="1">
        <v>0.75480000000000003</v>
      </c>
      <c r="H51" s="1">
        <v>0.84330000000000005</v>
      </c>
      <c r="I51" s="1">
        <v>0.20599999999999999</v>
      </c>
      <c r="J51" s="1">
        <v>80928</v>
      </c>
      <c r="K51" s="1">
        <v>27000</v>
      </c>
      <c r="L51" s="1">
        <v>9306</v>
      </c>
      <c r="M51" s="1">
        <v>13</v>
      </c>
      <c r="N51" s="1" t="s">
        <v>20</v>
      </c>
      <c r="O51" s="1" t="s">
        <v>42</v>
      </c>
      <c r="P51" s="1" t="s">
        <v>22</v>
      </c>
      <c r="Q51" s="1" t="s">
        <v>23</v>
      </c>
      <c r="R51">
        <v>0.96695971693387928</v>
      </c>
    </row>
    <row r="52" spans="1:18" x14ac:dyDescent="0.2">
      <c r="A52" s="1">
        <v>150941</v>
      </c>
      <c r="B52" s="1" t="s">
        <v>101</v>
      </c>
      <c r="C52" s="1" t="s">
        <v>102</v>
      </c>
      <c r="D52" s="1">
        <v>0.75639999999999996</v>
      </c>
      <c r="E52" s="1">
        <v>1082</v>
      </c>
      <c r="F52" s="1">
        <v>31870</v>
      </c>
      <c r="G52" s="1">
        <v>0.63600000000000001</v>
      </c>
      <c r="H52" s="1">
        <v>0.83809999999999996</v>
      </c>
      <c r="I52" s="1">
        <v>0.2737</v>
      </c>
      <c r="J52" s="1">
        <v>46672</v>
      </c>
      <c r="K52" s="1">
        <v>25576</v>
      </c>
      <c r="L52" s="1">
        <v>6692</v>
      </c>
      <c r="M52" s="1">
        <v>11</v>
      </c>
      <c r="N52" s="1" t="s">
        <v>20</v>
      </c>
      <c r="O52" s="1" t="s">
        <v>42</v>
      </c>
      <c r="P52" s="1" t="s">
        <v>22</v>
      </c>
      <c r="Q52" s="1" t="s">
        <v>31</v>
      </c>
      <c r="R52">
        <v>0.96690731271114427</v>
      </c>
    </row>
    <row r="53" spans="1:18" x14ac:dyDescent="0.2">
      <c r="A53" s="1">
        <v>157058</v>
      </c>
      <c r="B53" s="1" t="s">
        <v>103</v>
      </c>
      <c r="C53" s="1" t="s">
        <v>104</v>
      </c>
      <c r="D53" s="1">
        <v>0.96079999999999999</v>
      </c>
      <c r="E53" s="1">
        <v>1309</v>
      </c>
      <c r="F53" s="1">
        <v>13658</v>
      </c>
      <c r="G53" s="1">
        <v>0.31900000000000001</v>
      </c>
      <c r="H53" s="1">
        <v>0.63690000000000002</v>
      </c>
      <c r="I53" s="1">
        <v>0.58340000000000003</v>
      </c>
      <c r="J53" s="1">
        <v>36382</v>
      </c>
      <c r="K53" s="1">
        <v>25938</v>
      </c>
      <c r="L53" s="1">
        <v>7036</v>
      </c>
      <c r="M53" s="1">
        <v>10</v>
      </c>
      <c r="N53" s="1" t="s">
        <v>28</v>
      </c>
      <c r="O53" s="1" t="s">
        <v>42</v>
      </c>
      <c r="P53" s="1" t="s">
        <v>30</v>
      </c>
      <c r="Q53" s="1" t="s">
        <v>31</v>
      </c>
      <c r="R53">
        <v>0.96672616335500561</v>
      </c>
    </row>
    <row r="54" spans="1:18" x14ac:dyDescent="0.2">
      <c r="A54" s="1">
        <v>191621</v>
      </c>
      <c r="B54" s="1" t="s">
        <v>105</v>
      </c>
      <c r="C54" s="1" t="s">
        <v>58</v>
      </c>
      <c r="D54" s="1">
        <v>0.97199999999999998</v>
      </c>
      <c r="E54" s="1">
        <v>921</v>
      </c>
      <c r="F54" s="1">
        <v>33740</v>
      </c>
      <c r="G54" s="1">
        <v>0.56310000000000004</v>
      </c>
      <c r="H54" s="1">
        <v>0.63800000000000001</v>
      </c>
      <c r="I54" s="1">
        <v>0.4824</v>
      </c>
      <c r="J54" s="1">
        <v>48309</v>
      </c>
      <c r="K54" s="1">
        <v>24750</v>
      </c>
      <c r="L54" s="1">
        <v>6332</v>
      </c>
      <c r="M54" s="1">
        <v>15</v>
      </c>
      <c r="N54" s="1" t="s">
        <v>20</v>
      </c>
      <c r="O54" s="1" t="s">
        <v>21</v>
      </c>
      <c r="P54" s="1" t="s">
        <v>39</v>
      </c>
      <c r="Q54" s="1" t="s">
        <v>31</v>
      </c>
      <c r="R54">
        <v>0.96600214574546928</v>
      </c>
    </row>
    <row r="55" spans="1:18" x14ac:dyDescent="0.2">
      <c r="A55" s="1">
        <v>195164</v>
      </c>
      <c r="B55" s="1" t="s">
        <v>106</v>
      </c>
      <c r="C55" s="1" t="s">
        <v>58</v>
      </c>
      <c r="D55" s="1">
        <v>0.8165</v>
      </c>
      <c r="E55" s="1">
        <v>2012</v>
      </c>
      <c r="F55" s="1">
        <v>41735</v>
      </c>
      <c r="G55" s="1">
        <v>0.6673</v>
      </c>
      <c r="H55" s="1">
        <v>0.8589</v>
      </c>
      <c r="I55" s="1">
        <v>0.26750000000000002</v>
      </c>
      <c r="J55" s="1">
        <v>57214</v>
      </c>
      <c r="K55" s="1">
        <v>26000</v>
      </c>
      <c r="L55" s="1">
        <v>7778</v>
      </c>
      <c r="M55" s="1">
        <v>13</v>
      </c>
      <c r="N55" s="1" t="s">
        <v>20</v>
      </c>
      <c r="O55" s="1" t="s">
        <v>42</v>
      </c>
      <c r="P55" s="1" t="s">
        <v>39</v>
      </c>
      <c r="Q55" s="1" t="s">
        <v>23</v>
      </c>
      <c r="R55">
        <v>0.96598882026941424</v>
      </c>
    </row>
    <row r="56" spans="1:18" x14ac:dyDescent="0.2">
      <c r="A56" s="1">
        <v>163295</v>
      </c>
      <c r="B56" s="1" t="s">
        <v>107</v>
      </c>
      <c r="C56" s="1" t="s">
        <v>61</v>
      </c>
      <c r="D56" s="1">
        <v>0.76790000000000003</v>
      </c>
      <c r="E56" s="1">
        <v>1189</v>
      </c>
      <c r="F56" s="1">
        <v>56800</v>
      </c>
      <c r="G56" s="1">
        <v>0.72240000000000004</v>
      </c>
      <c r="H56" s="1">
        <v>0.83389999999999997</v>
      </c>
      <c r="I56" s="1">
        <v>0.2311</v>
      </c>
      <c r="J56" s="1">
        <v>45212</v>
      </c>
      <c r="K56" s="1">
        <v>26500</v>
      </c>
      <c r="L56" s="1">
        <v>9574</v>
      </c>
      <c r="M56" s="1">
        <v>9</v>
      </c>
      <c r="N56" s="1" t="s">
        <v>20</v>
      </c>
      <c r="O56" s="1" t="s">
        <v>29</v>
      </c>
      <c r="P56" s="1" t="s">
        <v>30</v>
      </c>
      <c r="Q56" s="1" t="s">
        <v>31</v>
      </c>
      <c r="R56">
        <v>0.96478895013205745</v>
      </c>
    </row>
    <row r="57" spans="1:18" x14ac:dyDescent="0.2">
      <c r="A57" s="1">
        <v>169327</v>
      </c>
      <c r="B57" s="1" t="s">
        <v>108</v>
      </c>
      <c r="C57" s="1" t="s">
        <v>109</v>
      </c>
      <c r="D57" s="1">
        <v>0.6754</v>
      </c>
      <c r="E57" s="1">
        <v>738</v>
      </c>
      <c r="F57" s="1">
        <v>26102</v>
      </c>
      <c r="G57" s="1">
        <v>0.41460000000000002</v>
      </c>
      <c r="H57" s="1">
        <v>0.65849999999999997</v>
      </c>
      <c r="I57" s="1">
        <v>0.29880000000000001</v>
      </c>
      <c r="J57" s="1">
        <v>54186</v>
      </c>
      <c r="K57" s="1">
        <v>19500</v>
      </c>
      <c r="L57" s="1">
        <v>4499</v>
      </c>
      <c r="M57" s="1">
        <v>18</v>
      </c>
      <c r="N57" s="1" t="s">
        <v>20</v>
      </c>
      <c r="O57" s="1" t="s">
        <v>21</v>
      </c>
      <c r="P57" s="1" t="s">
        <v>22</v>
      </c>
      <c r="Q57" s="1" t="s">
        <v>23</v>
      </c>
      <c r="R57">
        <v>0.96461267476636725</v>
      </c>
    </row>
    <row r="58" spans="1:18" x14ac:dyDescent="0.2">
      <c r="A58" s="1">
        <v>153250</v>
      </c>
      <c r="B58" s="1" t="s">
        <v>110</v>
      </c>
      <c r="C58" s="1" t="s">
        <v>81</v>
      </c>
      <c r="D58" s="1">
        <v>0.68469999999999998</v>
      </c>
      <c r="E58" s="1">
        <v>1597</v>
      </c>
      <c r="F58" s="1">
        <v>37050</v>
      </c>
      <c r="G58" s="1">
        <v>0.70140000000000002</v>
      </c>
      <c r="H58" s="1">
        <v>0.84650000000000003</v>
      </c>
      <c r="I58" s="1">
        <v>0.20180000000000001</v>
      </c>
      <c r="J58" s="1">
        <v>52559</v>
      </c>
      <c r="K58" s="1">
        <v>21500</v>
      </c>
      <c r="L58" s="1">
        <v>7251</v>
      </c>
      <c r="M58" s="1">
        <v>14</v>
      </c>
      <c r="N58" s="1" t="s">
        <v>20</v>
      </c>
      <c r="O58" s="1" t="s">
        <v>42</v>
      </c>
      <c r="P58" s="1" t="s">
        <v>22</v>
      </c>
      <c r="Q58" s="1" t="s">
        <v>23</v>
      </c>
      <c r="R58">
        <v>0.96364481885432451</v>
      </c>
    </row>
    <row r="59" spans="1:18" x14ac:dyDescent="0.2">
      <c r="A59" s="1">
        <v>233277</v>
      </c>
      <c r="B59" s="1" t="s">
        <v>111</v>
      </c>
      <c r="C59" s="1" t="s">
        <v>52</v>
      </c>
      <c r="D59" s="1">
        <v>0.89529999999999998</v>
      </c>
      <c r="E59" s="1">
        <v>6038</v>
      </c>
      <c r="F59" s="1">
        <v>25633</v>
      </c>
      <c r="G59" s="1">
        <v>0.48659999999999998</v>
      </c>
      <c r="H59" s="1">
        <v>0.75570000000000004</v>
      </c>
      <c r="I59" s="1">
        <v>0.37130000000000002</v>
      </c>
      <c r="J59" s="1">
        <v>53739</v>
      </c>
      <c r="K59" s="1">
        <v>24000</v>
      </c>
      <c r="L59" s="1">
        <v>9967</v>
      </c>
      <c r="M59" s="1">
        <v>14</v>
      </c>
      <c r="N59" s="1" t="s">
        <v>28</v>
      </c>
      <c r="O59" s="1" t="s">
        <v>42</v>
      </c>
      <c r="P59" s="1" t="s">
        <v>30</v>
      </c>
      <c r="Q59" s="1" t="s">
        <v>23</v>
      </c>
      <c r="R59">
        <v>0.9636080481984316</v>
      </c>
    </row>
    <row r="60" spans="1:18" x14ac:dyDescent="0.2">
      <c r="A60" s="1">
        <v>155681</v>
      </c>
      <c r="B60" s="1" t="s">
        <v>112</v>
      </c>
      <c r="C60" s="1" t="s">
        <v>56</v>
      </c>
      <c r="D60" s="1">
        <v>0.89419999999999999</v>
      </c>
      <c r="E60" s="1">
        <v>4210</v>
      </c>
      <c r="F60" s="1">
        <v>19744</v>
      </c>
      <c r="G60" s="1">
        <v>0.56589999999999996</v>
      </c>
      <c r="H60" s="1">
        <v>0.77190000000000003</v>
      </c>
      <c r="I60" s="1">
        <v>0.30459999999999998</v>
      </c>
      <c r="J60" s="1">
        <v>50579</v>
      </c>
      <c r="K60" s="1">
        <v>18969</v>
      </c>
      <c r="L60" s="1">
        <v>8130</v>
      </c>
      <c r="M60" s="1">
        <v>14</v>
      </c>
      <c r="N60" s="1" t="s">
        <v>28</v>
      </c>
      <c r="O60" s="1" t="s">
        <v>42</v>
      </c>
      <c r="P60" s="1" t="s">
        <v>22</v>
      </c>
      <c r="Q60" s="1" t="s">
        <v>23</v>
      </c>
      <c r="R60">
        <v>0.96251733321555</v>
      </c>
    </row>
    <row r="61" spans="1:18" x14ac:dyDescent="0.2">
      <c r="A61" s="1">
        <v>150756</v>
      </c>
      <c r="B61" s="1" t="s">
        <v>113</v>
      </c>
      <c r="C61" s="1" t="s">
        <v>102</v>
      </c>
      <c r="D61" s="1">
        <v>0.83699999999999997</v>
      </c>
      <c r="E61" s="1">
        <v>1031</v>
      </c>
      <c r="F61" s="1">
        <v>44638</v>
      </c>
      <c r="G61" s="1">
        <v>0.67130000000000001</v>
      </c>
      <c r="H61" s="1">
        <v>0.81820000000000004</v>
      </c>
      <c r="I61" s="1">
        <v>0.25829999999999997</v>
      </c>
      <c r="J61" s="1">
        <v>53957</v>
      </c>
      <c r="K61" s="1">
        <v>25250</v>
      </c>
      <c r="L61" s="1">
        <v>8708</v>
      </c>
      <c r="M61" s="1">
        <v>11</v>
      </c>
      <c r="N61" s="1" t="s">
        <v>20</v>
      </c>
      <c r="O61" s="1" t="s">
        <v>42</v>
      </c>
      <c r="P61" s="1" t="s">
        <v>22</v>
      </c>
      <c r="Q61" s="1" t="s">
        <v>23</v>
      </c>
      <c r="R61">
        <v>0.96121982942994966</v>
      </c>
    </row>
    <row r="62" spans="1:18" x14ac:dyDescent="0.2">
      <c r="A62" s="1">
        <v>173328</v>
      </c>
      <c r="B62" s="1" t="s">
        <v>114</v>
      </c>
      <c r="C62" s="1" t="s">
        <v>54</v>
      </c>
      <c r="D62" s="1">
        <v>0.78869999999999996</v>
      </c>
      <c r="E62" s="1">
        <v>3018</v>
      </c>
      <c r="F62" s="1">
        <v>25600</v>
      </c>
      <c r="G62" s="1">
        <v>0.45900000000000002</v>
      </c>
      <c r="H62" s="1">
        <v>0.67390000000000005</v>
      </c>
      <c r="I62" s="1">
        <v>0.35220000000000001</v>
      </c>
      <c r="J62" s="1">
        <v>59871</v>
      </c>
      <c r="K62" s="1">
        <v>17832</v>
      </c>
      <c r="L62" s="1">
        <v>7654</v>
      </c>
      <c r="M62" s="1">
        <v>16</v>
      </c>
      <c r="N62" s="1" t="s">
        <v>20</v>
      </c>
      <c r="O62" s="1" t="s">
        <v>29</v>
      </c>
      <c r="P62" s="1" t="s">
        <v>22</v>
      </c>
      <c r="Q62" s="1" t="s">
        <v>23</v>
      </c>
      <c r="R62">
        <v>0.95923869780768733</v>
      </c>
    </row>
    <row r="63" spans="1:18" x14ac:dyDescent="0.2">
      <c r="A63" s="1">
        <v>153162</v>
      </c>
      <c r="B63" s="1" t="s">
        <v>115</v>
      </c>
      <c r="C63" s="1" t="s">
        <v>81</v>
      </c>
      <c r="D63" s="1">
        <v>0.79900000000000004</v>
      </c>
      <c r="E63" s="1">
        <v>1086</v>
      </c>
      <c r="F63" s="1">
        <v>52660</v>
      </c>
      <c r="G63" s="1">
        <v>0.61819999999999997</v>
      </c>
      <c r="H63" s="1">
        <v>0.79530000000000001</v>
      </c>
      <c r="I63" s="1">
        <v>0.32069999999999999</v>
      </c>
      <c r="J63" s="1">
        <v>53460</v>
      </c>
      <c r="K63" s="1">
        <v>27000</v>
      </c>
      <c r="L63" s="1">
        <v>7926</v>
      </c>
      <c r="M63" s="1">
        <v>14</v>
      </c>
      <c r="N63" s="1" t="s">
        <v>20</v>
      </c>
      <c r="O63" s="1" t="s">
        <v>42</v>
      </c>
      <c r="P63" s="1" t="s">
        <v>22</v>
      </c>
      <c r="Q63" s="1" t="s">
        <v>23</v>
      </c>
      <c r="R63">
        <v>0.95852594968736837</v>
      </c>
    </row>
    <row r="64" spans="1:18" x14ac:dyDescent="0.2">
      <c r="A64" s="1">
        <v>214768</v>
      </c>
      <c r="B64" s="1" t="s">
        <v>116</v>
      </c>
      <c r="C64" s="1" t="s">
        <v>98</v>
      </c>
      <c r="D64" s="1">
        <v>0.96409999999999996</v>
      </c>
      <c r="E64" s="1">
        <v>501</v>
      </c>
      <c r="F64" s="1">
        <v>25392</v>
      </c>
      <c r="G64" s="1">
        <v>0.26150000000000001</v>
      </c>
      <c r="H64" s="1">
        <v>0.75139999999999996</v>
      </c>
      <c r="I64" s="1">
        <v>0.42749999999999999</v>
      </c>
      <c r="J64" s="1">
        <v>63435</v>
      </c>
      <c r="K64" s="1">
        <v>25000</v>
      </c>
      <c r="L64" s="1">
        <v>9943</v>
      </c>
      <c r="M64" s="1">
        <v>12</v>
      </c>
      <c r="N64" s="1" t="s">
        <v>28</v>
      </c>
      <c r="O64" s="1" t="s">
        <v>21</v>
      </c>
      <c r="P64" s="1" t="s">
        <v>39</v>
      </c>
      <c r="Q64" s="1" t="s">
        <v>23</v>
      </c>
      <c r="R64">
        <v>0.95834992428350985</v>
      </c>
    </row>
    <row r="65" spans="1:18" x14ac:dyDescent="0.2">
      <c r="A65" s="1">
        <v>186618</v>
      </c>
      <c r="B65" s="1" t="s">
        <v>117</v>
      </c>
      <c r="C65" s="1" t="s">
        <v>66</v>
      </c>
      <c r="D65" s="1">
        <v>0.71030000000000004</v>
      </c>
      <c r="E65" s="1">
        <v>557</v>
      </c>
      <c r="F65" s="1">
        <v>36741</v>
      </c>
      <c r="G65" s="1">
        <v>0.51100000000000001</v>
      </c>
      <c r="H65" s="1">
        <v>0.64710000000000001</v>
      </c>
      <c r="I65" s="1">
        <v>0.57909999999999995</v>
      </c>
      <c r="J65" s="1">
        <v>53038</v>
      </c>
      <c r="K65" s="1">
        <v>24934</v>
      </c>
      <c r="L65" s="1">
        <v>7875</v>
      </c>
      <c r="M65" s="1">
        <v>8</v>
      </c>
      <c r="N65" s="1" t="s">
        <v>20</v>
      </c>
      <c r="O65" s="1" t="s">
        <v>21</v>
      </c>
      <c r="P65" s="1" t="s">
        <v>39</v>
      </c>
      <c r="Q65" s="1" t="s">
        <v>23</v>
      </c>
      <c r="R65">
        <v>0.95730596809235269</v>
      </c>
    </row>
    <row r="66" spans="1:18" x14ac:dyDescent="0.2">
      <c r="A66" s="1">
        <v>228431</v>
      </c>
      <c r="B66" s="1" t="s">
        <v>118</v>
      </c>
      <c r="C66" s="1" t="s">
        <v>36</v>
      </c>
      <c r="D66" s="1">
        <v>0.93989999999999996</v>
      </c>
      <c r="E66" s="1">
        <v>8728</v>
      </c>
      <c r="F66" s="1">
        <v>23426</v>
      </c>
      <c r="G66" s="1">
        <v>0.5333</v>
      </c>
      <c r="H66" s="1">
        <v>0.71689999999999998</v>
      </c>
      <c r="I66" s="1">
        <v>0.38869999999999999</v>
      </c>
      <c r="J66" s="1">
        <v>49634</v>
      </c>
      <c r="K66" s="1">
        <v>23409</v>
      </c>
      <c r="L66" s="1">
        <v>8694</v>
      </c>
      <c r="M66" s="1">
        <v>16</v>
      </c>
      <c r="N66" s="1" t="s">
        <v>28</v>
      </c>
      <c r="O66" s="1" t="s">
        <v>42</v>
      </c>
      <c r="P66" s="1" t="s">
        <v>30</v>
      </c>
      <c r="Q66" s="1" t="s">
        <v>31</v>
      </c>
      <c r="R66">
        <v>0.9554198602187054</v>
      </c>
    </row>
    <row r="67" spans="1:18" x14ac:dyDescent="0.2">
      <c r="A67" s="1">
        <v>228343</v>
      </c>
      <c r="B67" s="1" t="s">
        <v>119</v>
      </c>
      <c r="C67" s="1" t="s">
        <v>36</v>
      </c>
      <c r="D67" s="1">
        <v>0.43049999999999999</v>
      </c>
      <c r="E67" s="1">
        <v>1440</v>
      </c>
      <c r="F67" s="1">
        <v>53813</v>
      </c>
      <c r="G67" s="1">
        <v>0.72789999999999999</v>
      </c>
      <c r="H67" s="1">
        <v>0.80600000000000005</v>
      </c>
      <c r="I67" s="1">
        <v>0.25330000000000003</v>
      </c>
      <c r="J67" s="1">
        <v>56878</v>
      </c>
      <c r="K67" s="1">
        <v>25000</v>
      </c>
      <c r="L67" s="1">
        <v>8920</v>
      </c>
      <c r="M67" s="1">
        <v>11</v>
      </c>
      <c r="N67" s="1" t="s">
        <v>20</v>
      </c>
      <c r="O67" s="1" t="s">
        <v>29</v>
      </c>
      <c r="P67" s="1" t="s">
        <v>30</v>
      </c>
      <c r="Q67" s="1" t="s">
        <v>23</v>
      </c>
      <c r="R67">
        <v>0.95479338786193535</v>
      </c>
    </row>
    <row r="68" spans="1:18" x14ac:dyDescent="0.2">
      <c r="A68" s="1">
        <v>213251</v>
      </c>
      <c r="B68" s="1" t="s">
        <v>120</v>
      </c>
      <c r="C68" s="1" t="s">
        <v>98</v>
      </c>
      <c r="D68" s="1">
        <v>0.78910000000000002</v>
      </c>
      <c r="E68" s="1">
        <v>1191</v>
      </c>
      <c r="F68" s="1">
        <v>58580</v>
      </c>
      <c r="G68" s="1">
        <v>0.73499999999999999</v>
      </c>
      <c r="H68" s="1">
        <v>0.83330000000000004</v>
      </c>
      <c r="I68" s="1">
        <v>0.29039999999999999</v>
      </c>
      <c r="J68" s="1">
        <v>56918</v>
      </c>
      <c r="K68" s="1">
        <v>27000</v>
      </c>
      <c r="L68" s="1">
        <v>9004</v>
      </c>
      <c r="M68" s="1">
        <v>11</v>
      </c>
      <c r="N68" s="1" t="s">
        <v>20</v>
      </c>
      <c r="O68" s="1" t="s">
        <v>42</v>
      </c>
      <c r="P68" s="1" t="s">
        <v>39</v>
      </c>
      <c r="Q68" s="1" t="s">
        <v>23</v>
      </c>
      <c r="R68">
        <v>0.95462564241895453</v>
      </c>
    </row>
    <row r="69" spans="1:18" x14ac:dyDescent="0.2">
      <c r="A69" s="1">
        <v>192749</v>
      </c>
      <c r="B69" s="1" t="s">
        <v>121</v>
      </c>
      <c r="C69" s="1" t="s">
        <v>58</v>
      </c>
      <c r="D69" s="1">
        <v>0.87339999999999995</v>
      </c>
      <c r="E69" s="1">
        <v>1362</v>
      </c>
      <c r="F69" s="1">
        <v>44604</v>
      </c>
      <c r="G69" s="1">
        <v>0.58420000000000005</v>
      </c>
      <c r="H69" s="1">
        <v>0.73870000000000002</v>
      </c>
      <c r="I69" s="1">
        <v>0.35139999999999999</v>
      </c>
      <c r="J69" s="1">
        <v>58832</v>
      </c>
      <c r="K69" s="1">
        <v>25000</v>
      </c>
      <c r="L69" s="1">
        <v>8614</v>
      </c>
      <c r="M69" s="1">
        <v>12</v>
      </c>
      <c r="N69" s="1" t="s">
        <v>20</v>
      </c>
      <c r="O69" s="1" t="s">
        <v>21</v>
      </c>
      <c r="P69" s="1" t="s">
        <v>39</v>
      </c>
      <c r="Q69" s="1" t="s">
        <v>23</v>
      </c>
      <c r="R69">
        <v>0.95401488158903958</v>
      </c>
    </row>
    <row r="70" spans="1:18" x14ac:dyDescent="0.2">
      <c r="A70" s="1">
        <v>152318</v>
      </c>
      <c r="B70" s="1" t="s">
        <v>122</v>
      </c>
      <c r="C70" s="1" t="s">
        <v>102</v>
      </c>
      <c r="D70" s="1">
        <v>0.76859999999999995</v>
      </c>
      <c r="E70" s="1">
        <v>2309</v>
      </c>
      <c r="F70" s="1">
        <v>58649</v>
      </c>
      <c r="G70" s="1">
        <v>0.78159999999999996</v>
      </c>
      <c r="H70" s="1">
        <v>0.91669999999999996</v>
      </c>
      <c r="I70" s="1">
        <v>0.1181</v>
      </c>
      <c r="J70" s="1">
        <v>101253</v>
      </c>
      <c r="K70" s="1">
        <v>25000</v>
      </c>
      <c r="L70" s="1">
        <v>11761</v>
      </c>
      <c r="M70" s="1">
        <v>12</v>
      </c>
      <c r="N70" s="1" t="s">
        <v>20</v>
      </c>
      <c r="O70" s="1" t="s">
        <v>29</v>
      </c>
      <c r="P70" s="1" t="s">
        <v>22</v>
      </c>
      <c r="Q70" s="1" t="s">
        <v>23</v>
      </c>
      <c r="R70">
        <v>0.95385086148708909</v>
      </c>
    </row>
    <row r="71" spans="1:18" x14ac:dyDescent="0.2">
      <c r="A71" s="1">
        <v>441937</v>
      </c>
      <c r="B71" s="1" t="s">
        <v>123</v>
      </c>
      <c r="C71" s="1" t="s">
        <v>33</v>
      </c>
      <c r="D71" s="1">
        <v>0.94810000000000005</v>
      </c>
      <c r="E71" s="1">
        <v>5013</v>
      </c>
      <c r="F71" s="1">
        <v>19759</v>
      </c>
      <c r="G71" s="1">
        <v>0.51319999999999999</v>
      </c>
      <c r="H71" s="1">
        <v>0.72430000000000005</v>
      </c>
      <c r="I71" s="1">
        <v>0.46600000000000003</v>
      </c>
      <c r="J71" s="1">
        <v>62152</v>
      </c>
      <c r="K71" s="1">
        <v>15000</v>
      </c>
      <c r="L71" s="1">
        <v>12682</v>
      </c>
      <c r="M71" s="1">
        <v>16</v>
      </c>
      <c r="N71" s="1" t="s">
        <v>28</v>
      </c>
      <c r="O71" s="1" t="s">
        <v>42</v>
      </c>
      <c r="P71" s="1" t="s">
        <v>22</v>
      </c>
      <c r="Q71" s="1" t="s">
        <v>23</v>
      </c>
      <c r="R71">
        <v>0.95330721077122171</v>
      </c>
    </row>
    <row r="72" spans="1:18" x14ac:dyDescent="0.2">
      <c r="A72" s="1">
        <v>193399</v>
      </c>
      <c r="B72" s="1" t="s">
        <v>124</v>
      </c>
      <c r="C72" s="1" t="s">
        <v>58</v>
      </c>
      <c r="D72" s="1">
        <v>0.85109999999999997</v>
      </c>
      <c r="E72" s="1">
        <v>2692</v>
      </c>
      <c r="F72" s="1">
        <v>44540</v>
      </c>
      <c r="G72" s="1">
        <v>0.56830000000000003</v>
      </c>
      <c r="H72" s="1">
        <v>0.73050000000000004</v>
      </c>
      <c r="I72" s="1">
        <v>0.46210000000000001</v>
      </c>
      <c r="J72" s="1">
        <v>65756</v>
      </c>
      <c r="K72" s="1">
        <v>25000</v>
      </c>
      <c r="L72" s="1">
        <v>10648</v>
      </c>
      <c r="M72" s="1">
        <v>12</v>
      </c>
      <c r="N72" s="1" t="s">
        <v>20</v>
      </c>
      <c r="O72" s="1" t="s">
        <v>29</v>
      </c>
      <c r="P72" s="1" t="s">
        <v>39</v>
      </c>
      <c r="Q72" s="1" t="s">
        <v>23</v>
      </c>
      <c r="R72">
        <v>0.95296591055710222</v>
      </c>
    </row>
    <row r="73" spans="1:18" x14ac:dyDescent="0.2">
      <c r="A73" s="1">
        <v>140553</v>
      </c>
      <c r="B73" s="1" t="s">
        <v>125</v>
      </c>
      <c r="C73" s="1" t="s">
        <v>126</v>
      </c>
      <c r="D73" s="1">
        <v>0.43959999999999999</v>
      </c>
      <c r="E73" s="1">
        <v>2844</v>
      </c>
      <c r="F73" s="1">
        <v>32893</v>
      </c>
      <c r="G73" s="1">
        <v>0.59440000000000004</v>
      </c>
      <c r="H73" s="1">
        <v>0.86909999999999998</v>
      </c>
      <c r="I73" s="1">
        <v>0.44669999999999999</v>
      </c>
      <c r="J73" s="1">
        <v>52889</v>
      </c>
      <c r="K73" s="1">
        <v>25000</v>
      </c>
      <c r="L73" s="1">
        <v>8703</v>
      </c>
      <c r="M73" s="1">
        <v>14</v>
      </c>
      <c r="N73" s="1" t="s">
        <v>20</v>
      </c>
      <c r="O73" s="1" t="s">
        <v>29</v>
      </c>
      <c r="P73" s="1" t="s">
        <v>30</v>
      </c>
      <c r="Q73" s="1" t="s">
        <v>23</v>
      </c>
      <c r="R73">
        <v>0.9515433636488575</v>
      </c>
    </row>
    <row r="74" spans="1:18" x14ac:dyDescent="0.2">
      <c r="A74" s="1">
        <v>179946</v>
      </c>
      <c r="B74" s="1" t="s">
        <v>127</v>
      </c>
      <c r="C74" s="1" t="s">
        <v>77</v>
      </c>
      <c r="D74" s="1">
        <v>0.79200000000000004</v>
      </c>
      <c r="E74" s="1">
        <v>638</v>
      </c>
      <c r="F74" s="1">
        <v>35214</v>
      </c>
      <c r="G74" s="1">
        <v>0.55489999999999995</v>
      </c>
      <c r="H74" s="1">
        <v>0.7097</v>
      </c>
      <c r="I74" s="1">
        <v>0.38279999999999997</v>
      </c>
      <c r="J74" s="1">
        <v>52199</v>
      </c>
      <c r="K74" s="1">
        <v>27000</v>
      </c>
      <c r="L74" s="1">
        <v>7642</v>
      </c>
      <c r="M74" s="1">
        <v>9</v>
      </c>
      <c r="N74" s="1" t="s">
        <v>20</v>
      </c>
      <c r="O74" s="1" t="s">
        <v>42</v>
      </c>
      <c r="P74" s="1" t="s">
        <v>22</v>
      </c>
      <c r="Q74" s="1" t="s">
        <v>23</v>
      </c>
      <c r="R74">
        <v>0.94955925673005892</v>
      </c>
    </row>
    <row r="75" spans="1:18" x14ac:dyDescent="0.2">
      <c r="A75" s="1">
        <v>166018</v>
      </c>
      <c r="B75" s="1" t="s">
        <v>128</v>
      </c>
      <c r="C75" s="1" t="s">
        <v>129</v>
      </c>
      <c r="D75" s="1">
        <v>0.75280000000000002</v>
      </c>
      <c r="E75" s="1">
        <v>839</v>
      </c>
      <c r="F75" s="1">
        <v>58896</v>
      </c>
      <c r="G75" s="1">
        <v>0.54259999999999997</v>
      </c>
      <c r="H75" s="1">
        <v>0.78380000000000005</v>
      </c>
      <c r="I75" s="1">
        <v>0.39329999999999998</v>
      </c>
      <c r="J75" s="1">
        <v>46938</v>
      </c>
      <c r="K75" s="1">
        <v>26893</v>
      </c>
      <c r="L75" s="1">
        <v>10085</v>
      </c>
      <c r="M75" s="1">
        <v>13</v>
      </c>
      <c r="N75" s="1" t="s">
        <v>20</v>
      </c>
      <c r="O75" s="1" t="s">
        <v>42</v>
      </c>
      <c r="P75" s="1" t="s">
        <v>39</v>
      </c>
      <c r="Q75" s="1" t="s">
        <v>31</v>
      </c>
      <c r="R75">
        <v>0.94841529470307451</v>
      </c>
    </row>
    <row r="76" spans="1:18" x14ac:dyDescent="0.2">
      <c r="A76" s="1">
        <v>446640</v>
      </c>
      <c r="B76" s="1" t="s">
        <v>130</v>
      </c>
      <c r="C76" s="1" t="s">
        <v>98</v>
      </c>
      <c r="D76" s="1">
        <v>0.87350000000000005</v>
      </c>
      <c r="E76" s="1">
        <v>615</v>
      </c>
      <c r="F76" s="1">
        <v>24400</v>
      </c>
      <c r="G76" s="1">
        <v>0.3387</v>
      </c>
      <c r="H76" s="1">
        <v>0.73880000000000001</v>
      </c>
      <c r="I76" s="1">
        <v>0.47349999999999998</v>
      </c>
      <c r="J76" s="1">
        <v>52374</v>
      </c>
      <c r="K76" s="1">
        <v>27000</v>
      </c>
      <c r="L76" s="1">
        <v>9125</v>
      </c>
      <c r="M76" s="1">
        <v>18</v>
      </c>
      <c r="N76" s="1" t="s">
        <v>20</v>
      </c>
      <c r="O76" s="1" t="s">
        <v>29</v>
      </c>
      <c r="P76" s="1" t="s">
        <v>39</v>
      </c>
      <c r="Q76" s="1" t="s">
        <v>23</v>
      </c>
      <c r="R76">
        <v>0.9468876223271957</v>
      </c>
    </row>
    <row r="77" spans="1:18" x14ac:dyDescent="0.2">
      <c r="A77" s="1">
        <v>228149</v>
      </c>
      <c r="B77" s="1" t="s">
        <v>131</v>
      </c>
      <c r="C77" s="1" t="s">
        <v>36</v>
      </c>
      <c r="D77" s="1">
        <v>0.97760000000000002</v>
      </c>
      <c r="E77" s="1">
        <v>1951</v>
      </c>
      <c r="F77" s="1">
        <v>37434</v>
      </c>
      <c r="G77" s="1">
        <v>0.58930000000000005</v>
      </c>
      <c r="H77" s="1">
        <v>0.73</v>
      </c>
      <c r="I77" s="1">
        <v>0.3861</v>
      </c>
      <c r="J77" s="1">
        <v>56955</v>
      </c>
      <c r="K77" s="1">
        <v>25563</v>
      </c>
      <c r="L77" s="1">
        <v>10724</v>
      </c>
      <c r="M77" s="1">
        <v>11</v>
      </c>
      <c r="N77" s="1" t="s">
        <v>20</v>
      </c>
      <c r="O77" s="1" t="s">
        <v>29</v>
      </c>
      <c r="P77" s="1" t="s">
        <v>30</v>
      </c>
      <c r="Q77" s="1" t="s">
        <v>23</v>
      </c>
      <c r="R77">
        <v>0.94667556951177523</v>
      </c>
    </row>
    <row r="78" spans="1:18" x14ac:dyDescent="0.2">
      <c r="A78" s="1">
        <v>232186</v>
      </c>
      <c r="B78" s="1" t="s">
        <v>132</v>
      </c>
      <c r="C78" s="1" t="s">
        <v>52</v>
      </c>
      <c r="D78" s="1">
        <v>0.87480000000000002</v>
      </c>
      <c r="E78" s="1">
        <v>27752</v>
      </c>
      <c r="F78" s="1">
        <v>38688</v>
      </c>
      <c r="G78" s="1">
        <v>0.6784</v>
      </c>
      <c r="H78" s="1">
        <v>0.8599</v>
      </c>
      <c r="I78" s="1">
        <v>0.30130000000000001</v>
      </c>
      <c r="J78" s="1">
        <v>76343</v>
      </c>
      <c r="K78" s="1">
        <v>19500</v>
      </c>
      <c r="L78" s="1">
        <v>14486</v>
      </c>
      <c r="M78" s="1">
        <v>16</v>
      </c>
      <c r="N78" s="1" t="s">
        <v>28</v>
      </c>
      <c r="O78" s="1" t="s">
        <v>21</v>
      </c>
      <c r="P78" s="1" t="s">
        <v>30</v>
      </c>
      <c r="Q78" s="1" t="s">
        <v>23</v>
      </c>
      <c r="R78">
        <v>0.94504337759268042</v>
      </c>
    </row>
    <row r="79" spans="1:18" x14ac:dyDescent="0.2">
      <c r="A79" s="1">
        <v>155511</v>
      </c>
      <c r="B79" s="1" t="s">
        <v>133</v>
      </c>
      <c r="C79" s="1" t="s">
        <v>56</v>
      </c>
      <c r="D79" s="1">
        <v>0.76759999999999995</v>
      </c>
      <c r="E79" s="1">
        <v>872</v>
      </c>
      <c r="F79" s="1">
        <v>37310</v>
      </c>
      <c r="G79" s="1">
        <v>0.3392</v>
      </c>
      <c r="H79" s="1">
        <v>0.65149999999999997</v>
      </c>
      <c r="I79" s="1">
        <v>0.37940000000000002</v>
      </c>
      <c r="J79" s="1">
        <v>52084</v>
      </c>
      <c r="K79" s="1">
        <v>25242</v>
      </c>
      <c r="L79" s="1">
        <v>7375</v>
      </c>
      <c r="M79" s="1">
        <v>16</v>
      </c>
      <c r="N79" s="1" t="s">
        <v>20</v>
      </c>
      <c r="O79" s="1" t="s">
        <v>42</v>
      </c>
      <c r="P79" s="1" t="s">
        <v>22</v>
      </c>
      <c r="Q79" s="1" t="s">
        <v>23</v>
      </c>
      <c r="R79">
        <v>0.94240969128578234</v>
      </c>
    </row>
    <row r="80" spans="1:18" x14ac:dyDescent="0.2">
      <c r="A80" s="1">
        <v>179265</v>
      </c>
      <c r="B80" s="1" t="s">
        <v>134</v>
      </c>
      <c r="C80" s="1" t="s">
        <v>77</v>
      </c>
      <c r="D80" s="1">
        <v>0.89839999999999998</v>
      </c>
      <c r="E80" s="1">
        <v>337</v>
      </c>
      <c r="F80" s="1">
        <v>32550</v>
      </c>
      <c r="G80" s="1">
        <v>0.61680000000000001</v>
      </c>
      <c r="H80" s="1">
        <v>0.69230000000000003</v>
      </c>
      <c r="I80" s="1">
        <v>0.31269999999999998</v>
      </c>
      <c r="J80" s="1">
        <v>137047</v>
      </c>
      <c r="K80" s="1">
        <v>17755</v>
      </c>
      <c r="L80" s="1">
        <v>10471</v>
      </c>
      <c r="M80" s="1">
        <v>9</v>
      </c>
      <c r="N80" s="1" t="s">
        <v>20</v>
      </c>
      <c r="O80" s="1" t="s">
        <v>29</v>
      </c>
      <c r="P80" s="1" t="s">
        <v>22</v>
      </c>
      <c r="Q80" s="1" t="s">
        <v>23</v>
      </c>
      <c r="R80">
        <v>0.94150584342738386</v>
      </c>
    </row>
    <row r="81" spans="1:18" x14ac:dyDescent="0.2">
      <c r="A81" s="1">
        <v>216366</v>
      </c>
      <c r="B81" s="1" t="s">
        <v>135</v>
      </c>
      <c r="C81" s="1" t="s">
        <v>98</v>
      </c>
      <c r="D81" s="1">
        <v>0.80969999999999998</v>
      </c>
      <c r="E81" s="1">
        <v>3755</v>
      </c>
      <c r="F81" s="1">
        <v>47505</v>
      </c>
      <c r="G81" s="1">
        <v>0.68569999999999998</v>
      </c>
      <c r="H81" s="1">
        <v>0.8246</v>
      </c>
      <c r="I81" s="1">
        <v>0.37469999999999998</v>
      </c>
      <c r="J81" s="1">
        <v>77449</v>
      </c>
      <c r="K81" s="1">
        <v>14744</v>
      </c>
      <c r="L81" s="1">
        <v>10627</v>
      </c>
      <c r="M81" s="1">
        <v>12</v>
      </c>
      <c r="N81" s="1" t="s">
        <v>20</v>
      </c>
      <c r="O81" s="1" t="s">
        <v>29</v>
      </c>
      <c r="P81" s="1" t="s">
        <v>39</v>
      </c>
      <c r="Q81" s="1" t="s">
        <v>23</v>
      </c>
      <c r="R81">
        <v>0.94071924041024135</v>
      </c>
    </row>
    <row r="82" spans="1:18" x14ac:dyDescent="0.2">
      <c r="A82" s="1">
        <v>121309</v>
      </c>
      <c r="B82" s="1" t="s">
        <v>136</v>
      </c>
      <c r="C82" s="1" t="s">
        <v>33</v>
      </c>
      <c r="D82" s="1">
        <v>0.83679999999999999</v>
      </c>
      <c r="E82" s="1">
        <v>3188</v>
      </c>
      <c r="F82" s="1">
        <v>46250</v>
      </c>
      <c r="G82" s="1">
        <v>0.77170000000000005</v>
      </c>
      <c r="H82" s="1">
        <v>0.85540000000000005</v>
      </c>
      <c r="I82" s="1">
        <v>0.21440000000000001</v>
      </c>
      <c r="J82" s="1">
        <v>63998</v>
      </c>
      <c r="K82" s="1">
        <v>22990</v>
      </c>
      <c r="L82" s="1">
        <v>11862</v>
      </c>
      <c r="M82" s="1">
        <v>13</v>
      </c>
      <c r="N82" s="1" t="s">
        <v>20</v>
      </c>
      <c r="O82" s="1" t="s">
        <v>29</v>
      </c>
      <c r="P82" s="1" t="s">
        <v>22</v>
      </c>
      <c r="Q82" s="1" t="s">
        <v>23</v>
      </c>
      <c r="R82">
        <v>0.9404528266056158</v>
      </c>
    </row>
    <row r="83" spans="1:18" x14ac:dyDescent="0.2">
      <c r="A83" s="1">
        <v>190044</v>
      </c>
      <c r="B83" s="1" t="s">
        <v>137</v>
      </c>
      <c r="C83" s="1" t="s">
        <v>58</v>
      </c>
      <c r="D83" s="1">
        <v>0.77359999999999995</v>
      </c>
      <c r="E83" s="1">
        <v>2196</v>
      </c>
      <c r="F83" s="1">
        <v>59398</v>
      </c>
      <c r="G83" s="1">
        <v>0.74909999999999999</v>
      </c>
      <c r="H83" s="1">
        <v>0.8478</v>
      </c>
      <c r="I83" s="1">
        <v>0.2157</v>
      </c>
      <c r="J83" s="1">
        <v>89696</v>
      </c>
      <c r="K83" s="1">
        <v>26000</v>
      </c>
      <c r="L83" s="1">
        <v>11357</v>
      </c>
      <c r="M83" s="1">
        <v>13</v>
      </c>
      <c r="N83" s="1" t="s">
        <v>20</v>
      </c>
      <c r="O83" s="1" t="s">
        <v>42</v>
      </c>
      <c r="P83" s="1" t="s">
        <v>39</v>
      </c>
      <c r="Q83" s="1" t="s">
        <v>23</v>
      </c>
      <c r="R83">
        <v>0.94041791598047919</v>
      </c>
    </row>
    <row r="84" spans="1:18" x14ac:dyDescent="0.2">
      <c r="A84" s="1">
        <v>213321</v>
      </c>
      <c r="B84" s="1" t="s">
        <v>138</v>
      </c>
      <c r="C84" s="1" t="s">
        <v>98</v>
      </c>
      <c r="D84" s="1">
        <v>0.93110000000000004</v>
      </c>
      <c r="E84" s="1">
        <v>1484</v>
      </c>
      <c r="F84" s="1">
        <v>44100</v>
      </c>
      <c r="G84" s="1">
        <v>0.59889999999999999</v>
      </c>
      <c r="H84" s="1">
        <v>0.75700000000000001</v>
      </c>
      <c r="I84" s="1">
        <v>0.30380000000000001</v>
      </c>
      <c r="J84" s="1">
        <v>59498</v>
      </c>
      <c r="K84" s="1">
        <v>27000</v>
      </c>
      <c r="L84" s="1">
        <v>8851</v>
      </c>
      <c r="M84" s="1">
        <v>13</v>
      </c>
      <c r="N84" s="1" t="s">
        <v>20</v>
      </c>
      <c r="O84" s="1" t="s">
        <v>29</v>
      </c>
      <c r="P84" s="1" t="s">
        <v>39</v>
      </c>
      <c r="Q84" s="1" t="s">
        <v>23</v>
      </c>
      <c r="R84">
        <v>0.94041134993059972</v>
      </c>
    </row>
    <row r="85" spans="1:18" x14ac:dyDescent="0.2">
      <c r="A85" s="1">
        <v>232423</v>
      </c>
      <c r="B85" s="1" t="s">
        <v>139</v>
      </c>
      <c r="C85" s="1" t="s">
        <v>52</v>
      </c>
      <c r="D85" s="1">
        <v>0.71519999999999995</v>
      </c>
      <c r="E85" s="1">
        <v>20888</v>
      </c>
      <c r="F85" s="1">
        <v>31604</v>
      </c>
      <c r="G85" s="1">
        <v>0.79720000000000002</v>
      </c>
      <c r="H85" s="1">
        <v>0.91979999999999995</v>
      </c>
      <c r="I85" s="1">
        <v>0.17119999999999999</v>
      </c>
      <c r="J85" s="1">
        <v>69954</v>
      </c>
      <c r="K85" s="1">
        <v>20093</v>
      </c>
      <c r="L85" s="1">
        <v>10916</v>
      </c>
      <c r="M85" s="1">
        <v>17</v>
      </c>
      <c r="N85" s="1" t="s">
        <v>28</v>
      </c>
      <c r="O85" s="1" t="s">
        <v>29</v>
      </c>
      <c r="P85" s="1" t="s">
        <v>30</v>
      </c>
      <c r="Q85" s="1" t="s">
        <v>23</v>
      </c>
      <c r="R85">
        <v>0.93992507756269106</v>
      </c>
    </row>
    <row r="86" spans="1:18" x14ac:dyDescent="0.2">
      <c r="A86" s="1">
        <v>174437</v>
      </c>
      <c r="B86" s="1" t="s">
        <v>140</v>
      </c>
      <c r="C86" s="1" t="s">
        <v>54</v>
      </c>
      <c r="D86" s="1">
        <v>0.98980000000000001</v>
      </c>
      <c r="E86" s="1">
        <v>709</v>
      </c>
      <c r="F86" s="1">
        <v>32220</v>
      </c>
      <c r="G86" s="1">
        <v>0.66339999999999999</v>
      </c>
      <c r="H86" s="1">
        <v>0.82210000000000005</v>
      </c>
      <c r="I86" s="1">
        <v>0.42559999999999998</v>
      </c>
      <c r="J86" s="1">
        <v>45064</v>
      </c>
      <c r="K86" s="1">
        <v>23200</v>
      </c>
      <c r="L86" s="1">
        <v>6701</v>
      </c>
      <c r="M86" s="1">
        <v>14</v>
      </c>
      <c r="N86" s="1" t="s">
        <v>20</v>
      </c>
      <c r="O86" s="1" t="s">
        <v>29</v>
      </c>
      <c r="P86" s="1" t="s">
        <v>22</v>
      </c>
      <c r="Q86" s="1" t="s">
        <v>31</v>
      </c>
      <c r="R86">
        <v>0.93942854360734152</v>
      </c>
    </row>
    <row r="87" spans="1:18" x14ac:dyDescent="0.2">
      <c r="A87" s="1">
        <v>466930</v>
      </c>
      <c r="B87" s="1" t="s">
        <v>141</v>
      </c>
      <c r="C87" s="1" t="s">
        <v>36</v>
      </c>
      <c r="D87" s="1">
        <v>0.8387</v>
      </c>
      <c r="E87" s="1">
        <v>2270</v>
      </c>
      <c r="F87" s="1">
        <v>20380</v>
      </c>
      <c r="G87" s="1">
        <v>0.25</v>
      </c>
      <c r="H87" s="1">
        <v>0.60870000000000002</v>
      </c>
      <c r="I87" s="1">
        <v>0.5373</v>
      </c>
      <c r="J87" s="1">
        <v>92405</v>
      </c>
      <c r="K87" s="1">
        <v>20919</v>
      </c>
      <c r="L87" s="1">
        <v>8197</v>
      </c>
      <c r="M87" s="1">
        <v>10</v>
      </c>
      <c r="N87" s="1" t="s">
        <v>142</v>
      </c>
      <c r="O87" s="1" t="s">
        <v>29</v>
      </c>
      <c r="P87" s="1" t="s">
        <v>30</v>
      </c>
      <c r="Q87" s="1" t="s">
        <v>23</v>
      </c>
      <c r="R87">
        <v>0.93879338436828452</v>
      </c>
    </row>
    <row r="88" spans="1:18" x14ac:dyDescent="0.2">
      <c r="A88" s="1">
        <v>202514</v>
      </c>
      <c r="B88" s="1" t="s">
        <v>143</v>
      </c>
      <c r="C88" s="1" t="s">
        <v>19</v>
      </c>
      <c r="D88" s="1">
        <v>0.47549999999999998</v>
      </c>
      <c r="E88" s="1">
        <v>499</v>
      </c>
      <c r="F88" s="1">
        <v>29320</v>
      </c>
      <c r="G88" s="1">
        <v>0.30570000000000003</v>
      </c>
      <c r="H88" s="1">
        <v>0.55649999999999999</v>
      </c>
      <c r="I88" s="1">
        <v>0.49780000000000002</v>
      </c>
      <c r="J88" s="1">
        <v>49351</v>
      </c>
      <c r="K88" s="1">
        <v>26813</v>
      </c>
      <c r="L88" s="1">
        <v>6646</v>
      </c>
      <c r="M88" s="1">
        <v>11</v>
      </c>
      <c r="N88" s="1" t="s">
        <v>20</v>
      </c>
      <c r="O88" s="1" t="s">
        <v>42</v>
      </c>
      <c r="P88" s="1" t="s">
        <v>22</v>
      </c>
      <c r="Q88" s="1" t="s">
        <v>31</v>
      </c>
      <c r="R88">
        <v>0.93669384446132786</v>
      </c>
    </row>
    <row r="89" spans="1:18" x14ac:dyDescent="0.2">
      <c r="A89" s="1">
        <v>147776</v>
      </c>
      <c r="B89" s="1" t="s">
        <v>144</v>
      </c>
      <c r="C89" s="1" t="s">
        <v>25</v>
      </c>
      <c r="D89" s="1">
        <v>0.746</v>
      </c>
      <c r="E89" s="1">
        <v>3982</v>
      </c>
      <c r="F89" s="1">
        <v>22726</v>
      </c>
      <c r="G89" s="1">
        <v>0.2165</v>
      </c>
      <c r="H89" s="1">
        <v>0.52329999999999999</v>
      </c>
      <c r="I89" s="1">
        <v>0.55669999999999997</v>
      </c>
      <c r="J89" s="1">
        <v>52234</v>
      </c>
      <c r="K89" s="1">
        <v>14600</v>
      </c>
      <c r="L89" s="1">
        <v>9265</v>
      </c>
      <c r="M89" s="1">
        <v>9</v>
      </c>
      <c r="N89" s="1" t="s">
        <v>28</v>
      </c>
      <c r="O89" s="1" t="s">
        <v>29</v>
      </c>
      <c r="P89" s="1" t="s">
        <v>22</v>
      </c>
      <c r="Q89" s="1" t="s">
        <v>23</v>
      </c>
      <c r="R89">
        <v>0.93658762488127034</v>
      </c>
    </row>
    <row r="90" spans="1:18" x14ac:dyDescent="0.2">
      <c r="A90" s="1">
        <v>196866</v>
      </c>
      <c r="B90" s="1" t="s">
        <v>145</v>
      </c>
      <c r="C90" s="1" t="s">
        <v>58</v>
      </c>
      <c r="D90" s="1">
        <v>0.43919999999999998</v>
      </c>
      <c r="E90" s="1">
        <v>2046</v>
      </c>
      <c r="F90" s="1">
        <v>69039</v>
      </c>
      <c r="G90" s="1">
        <v>0.80389999999999995</v>
      </c>
      <c r="H90" s="1">
        <v>0.90180000000000005</v>
      </c>
      <c r="I90" s="1">
        <v>0.14360000000000001</v>
      </c>
      <c r="J90" s="1">
        <v>88604</v>
      </c>
      <c r="K90" s="1">
        <v>25337</v>
      </c>
      <c r="L90" s="1">
        <v>12031</v>
      </c>
      <c r="M90" s="1">
        <v>9</v>
      </c>
      <c r="N90" s="1" t="s">
        <v>20</v>
      </c>
      <c r="O90" s="1" t="s">
        <v>29</v>
      </c>
      <c r="P90" s="1" t="s">
        <v>39</v>
      </c>
      <c r="Q90" s="1" t="s">
        <v>23</v>
      </c>
      <c r="R90">
        <v>0.93625730452908251</v>
      </c>
    </row>
    <row r="91" spans="1:18" x14ac:dyDescent="0.2">
      <c r="A91" s="1">
        <v>130493</v>
      </c>
      <c r="B91" s="1" t="s">
        <v>146</v>
      </c>
      <c r="C91" s="1" t="s">
        <v>147</v>
      </c>
      <c r="D91" s="1">
        <v>0.91469999999999996</v>
      </c>
      <c r="E91" s="1">
        <v>6295</v>
      </c>
      <c r="F91" s="1">
        <v>27378</v>
      </c>
      <c r="G91" s="1">
        <v>0.49930000000000002</v>
      </c>
      <c r="H91" s="1">
        <v>0.77869999999999995</v>
      </c>
      <c r="I91" s="1">
        <v>0.4083</v>
      </c>
      <c r="J91" s="1">
        <v>55043</v>
      </c>
      <c r="K91" s="1">
        <v>22250</v>
      </c>
      <c r="L91" s="1">
        <v>11216</v>
      </c>
      <c r="M91" s="1">
        <v>11</v>
      </c>
      <c r="N91" s="1" t="s">
        <v>28</v>
      </c>
      <c r="O91" s="1" t="s">
        <v>29</v>
      </c>
      <c r="P91" s="1" t="s">
        <v>39</v>
      </c>
      <c r="Q91" s="1" t="s">
        <v>23</v>
      </c>
      <c r="R91">
        <v>0.93614394943688073</v>
      </c>
    </row>
    <row r="92" spans="1:18" x14ac:dyDescent="0.2">
      <c r="A92" s="1">
        <v>153834</v>
      </c>
      <c r="B92" s="1" t="s">
        <v>148</v>
      </c>
      <c r="C92" s="1" t="s">
        <v>81</v>
      </c>
      <c r="D92" s="1">
        <v>0.71540000000000004</v>
      </c>
      <c r="E92" s="1">
        <v>1379</v>
      </c>
      <c r="F92" s="1">
        <v>52120</v>
      </c>
      <c r="G92" s="1">
        <v>0.71120000000000005</v>
      </c>
      <c r="H92" s="1">
        <v>0.76990000000000003</v>
      </c>
      <c r="I92" s="1">
        <v>0.2044</v>
      </c>
      <c r="J92" s="1">
        <v>59850</v>
      </c>
      <c r="K92" s="1">
        <v>27000</v>
      </c>
      <c r="L92" s="1">
        <v>8115</v>
      </c>
      <c r="M92" s="1">
        <v>9</v>
      </c>
      <c r="N92" s="1" t="s">
        <v>20</v>
      </c>
      <c r="O92" s="1" t="s">
        <v>42</v>
      </c>
      <c r="P92" s="1" t="s">
        <v>22</v>
      </c>
      <c r="Q92" s="1" t="s">
        <v>23</v>
      </c>
      <c r="R92">
        <v>0.93575223270717311</v>
      </c>
    </row>
    <row r="93" spans="1:18" x14ac:dyDescent="0.2">
      <c r="A93" s="1">
        <v>151333</v>
      </c>
      <c r="B93" s="1" t="s">
        <v>149</v>
      </c>
      <c r="C93" s="1" t="s">
        <v>102</v>
      </c>
      <c r="D93" s="1">
        <v>0.86480000000000001</v>
      </c>
      <c r="E93" s="1">
        <v>2352</v>
      </c>
      <c r="F93" s="1">
        <v>22811</v>
      </c>
      <c r="G93" s="1">
        <v>0.45610000000000001</v>
      </c>
      <c r="H93" s="1">
        <v>0.69340000000000002</v>
      </c>
      <c r="I93" s="1">
        <v>0.33400000000000002</v>
      </c>
      <c r="J93" s="1">
        <v>49917</v>
      </c>
      <c r="K93" s="1">
        <v>16961</v>
      </c>
      <c r="L93" s="1">
        <v>7243</v>
      </c>
      <c r="M93" s="1">
        <v>15</v>
      </c>
      <c r="N93" s="1" t="s">
        <v>28</v>
      </c>
      <c r="O93" s="1" t="s">
        <v>29</v>
      </c>
      <c r="P93" s="1" t="s">
        <v>22</v>
      </c>
      <c r="Q93" s="1" t="s">
        <v>31</v>
      </c>
      <c r="R93">
        <v>0.93493638633064058</v>
      </c>
    </row>
    <row r="94" spans="1:18" x14ac:dyDescent="0.2">
      <c r="A94" s="1">
        <v>165662</v>
      </c>
      <c r="B94" s="1" t="s">
        <v>150</v>
      </c>
      <c r="C94" s="1" t="s">
        <v>129</v>
      </c>
      <c r="D94" s="1">
        <v>0.5131</v>
      </c>
      <c r="E94" s="1">
        <v>3870</v>
      </c>
      <c r="F94" s="1">
        <v>57056</v>
      </c>
      <c r="G94" s="1">
        <v>0.77110000000000001</v>
      </c>
      <c r="H94" s="1">
        <v>0.87360000000000004</v>
      </c>
      <c r="I94" s="1">
        <v>0.15509999999999999</v>
      </c>
      <c r="J94" s="1">
        <v>62832</v>
      </c>
      <c r="K94" s="1">
        <v>23000</v>
      </c>
      <c r="L94" s="1">
        <v>11853</v>
      </c>
      <c r="M94" s="1">
        <v>14</v>
      </c>
      <c r="N94" s="1" t="s">
        <v>20</v>
      </c>
      <c r="O94" s="1" t="s">
        <v>29</v>
      </c>
      <c r="P94" s="1" t="s">
        <v>39</v>
      </c>
      <c r="Q94" s="1" t="s">
        <v>23</v>
      </c>
      <c r="R94">
        <v>0.93484012932837901</v>
      </c>
    </row>
    <row r="95" spans="1:18" x14ac:dyDescent="0.2">
      <c r="A95" s="1">
        <v>133881</v>
      </c>
      <c r="B95" s="1" t="s">
        <v>151</v>
      </c>
      <c r="C95" s="1" t="s">
        <v>27</v>
      </c>
      <c r="D95" s="1">
        <v>0.57699999999999996</v>
      </c>
      <c r="E95" s="1">
        <v>3404</v>
      </c>
      <c r="F95" s="1">
        <v>45900</v>
      </c>
      <c r="G95" s="1">
        <v>0.63539999999999996</v>
      </c>
      <c r="H95" s="1">
        <v>0.79949999999999999</v>
      </c>
      <c r="I95" s="1">
        <v>0.21110000000000001</v>
      </c>
      <c r="J95" s="1">
        <v>43137</v>
      </c>
      <c r="K95" s="1">
        <v>27000</v>
      </c>
      <c r="L95" s="1">
        <v>11366</v>
      </c>
      <c r="M95" s="1">
        <v>13</v>
      </c>
      <c r="N95" s="1" t="s">
        <v>20</v>
      </c>
      <c r="O95" s="1" t="s">
        <v>29</v>
      </c>
      <c r="P95" s="1" t="s">
        <v>30</v>
      </c>
      <c r="Q95" s="1" t="s">
        <v>31</v>
      </c>
      <c r="R95">
        <v>0.93356004159259198</v>
      </c>
    </row>
    <row r="96" spans="1:18" x14ac:dyDescent="0.2">
      <c r="A96" s="1">
        <v>456959</v>
      </c>
      <c r="B96" s="1" t="s">
        <v>152</v>
      </c>
      <c r="C96" s="1" t="s">
        <v>54</v>
      </c>
      <c r="D96" s="1">
        <v>0.71</v>
      </c>
      <c r="E96" s="1">
        <v>568</v>
      </c>
      <c r="F96" s="1">
        <v>15016</v>
      </c>
      <c r="G96" s="1">
        <v>0.57399999999999995</v>
      </c>
      <c r="H96" s="1">
        <v>0.70369999999999999</v>
      </c>
      <c r="I96" s="1">
        <v>0.36049999999999999</v>
      </c>
      <c r="J96" s="1">
        <v>69020</v>
      </c>
      <c r="K96" s="1">
        <v>19500</v>
      </c>
      <c r="L96" s="1">
        <v>8587</v>
      </c>
      <c r="M96" s="1">
        <v>13</v>
      </c>
      <c r="N96" s="1" t="s">
        <v>28</v>
      </c>
      <c r="O96" s="1" t="s">
        <v>29</v>
      </c>
      <c r="P96" s="1" t="s">
        <v>22</v>
      </c>
      <c r="Q96" s="1" t="s">
        <v>23</v>
      </c>
      <c r="R96">
        <v>0.93332534999287509</v>
      </c>
    </row>
    <row r="97" spans="1:18" x14ac:dyDescent="0.2">
      <c r="A97" s="1">
        <v>111948</v>
      </c>
      <c r="B97" s="1" t="s">
        <v>153</v>
      </c>
      <c r="C97" s="1" t="s">
        <v>33</v>
      </c>
      <c r="D97" s="1">
        <v>0.65429999999999999</v>
      </c>
      <c r="E97" s="1">
        <v>7478</v>
      </c>
      <c r="F97" s="1">
        <v>64984</v>
      </c>
      <c r="G97" s="1">
        <v>0.81879999999999997</v>
      </c>
      <c r="H97" s="1">
        <v>0.91810000000000003</v>
      </c>
      <c r="I97" s="1">
        <v>0.19389999999999999</v>
      </c>
      <c r="J97" s="1">
        <v>70070</v>
      </c>
      <c r="K97" s="1">
        <v>20500</v>
      </c>
      <c r="L97" s="1">
        <v>13611</v>
      </c>
      <c r="M97" s="1">
        <v>12</v>
      </c>
      <c r="N97" s="1" t="s">
        <v>20</v>
      </c>
      <c r="O97" s="1" t="s">
        <v>29</v>
      </c>
      <c r="P97" s="1" t="s">
        <v>22</v>
      </c>
      <c r="Q97" s="1" t="s">
        <v>23</v>
      </c>
      <c r="R97">
        <v>0.93173379369013687</v>
      </c>
    </row>
    <row r="98" spans="1:18" x14ac:dyDescent="0.2">
      <c r="A98" s="1">
        <v>217624</v>
      </c>
      <c r="B98" s="1" t="s">
        <v>154</v>
      </c>
      <c r="C98" s="1" t="s">
        <v>155</v>
      </c>
      <c r="D98" s="1">
        <v>0.72540000000000004</v>
      </c>
      <c r="E98" s="1">
        <v>576</v>
      </c>
      <c r="F98" s="1">
        <v>14304</v>
      </c>
      <c r="G98" s="1">
        <v>0.1331</v>
      </c>
      <c r="H98" s="1">
        <v>0.44969999999999999</v>
      </c>
      <c r="I98" s="1">
        <v>0.76539999999999997</v>
      </c>
      <c r="J98" s="1">
        <v>30497</v>
      </c>
      <c r="K98" s="1">
        <v>34290</v>
      </c>
      <c r="L98" s="1">
        <v>5502</v>
      </c>
      <c r="M98" s="1">
        <v>12</v>
      </c>
      <c r="N98" s="1" t="s">
        <v>20</v>
      </c>
      <c r="O98" s="1" t="s">
        <v>29</v>
      </c>
      <c r="P98" s="1" t="s">
        <v>30</v>
      </c>
      <c r="Q98" s="1" t="s">
        <v>31</v>
      </c>
      <c r="R98">
        <v>0.93050218605060764</v>
      </c>
    </row>
    <row r="99" spans="1:18" x14ac:dyDescent="0.2">
      <c r="A99" s="1">
        <v>144005</v>
      </c>
      <c r="B99" s="1" t="s">
        <v>156</v>
      </c>
      <c r="C99" s="1" t="s">
        <v>25</v>
      </c>
      <c r="D99" s="1">
        <v>0.43259999999999998</v>
      </c>
      <c r="E99" s="1">
        <v>1384</v>
      </c>
      <c r="F99" s="1">
        <v>12754</v>
      </c>
      <c r="G99" s="1">
        <v>0.15490000000000001</v>
      </c>
      <c r="H99" s="1">
        <v>0.57320000000000004</v>
      </c>
      <c r="I99" s="1">
        <v>0.5786</v>
      </c>
      <c r="J99" s="1">
        <v>42778</v>
      </c>
      <c r="K99" s="1">
        <v>30625</v>
      </c>
      <c r="L99" s="1">
        <v>8878</v>
      </c>
      <c r="M99" s="1">
        <v>9</v>
      </c>
      <c r="N99" s="1" t="s">
        <v>28</v>
      </c>
      <c r="O99" s="1" t="s">
        <v>29</v>
      </c>
      <c r="P99" s="1" t="s">
        <v>22</v>
      </c>
      <c r="Q99" s="1" t="s">
        <v>31</v>
      </c>
      <c r="R99">
        <v>0.93005335937758637</v>
      </c>
    </row>
    <row r="100" spans="1:18" x14ac:dyDescent="0.2">
      <c r="A100" s="1">
        <v>164447</v>
      </c>
      <c r="B100" s="1" t="s">
        <v>157</v>
      </c>
      <c r="C100" s="1" t="s">
        <v>129</v>
      </c>
      <c r="D100" s="1">
        <v>0.99570000000000003</v>
      </c>
      <c r="E100" s="1">
        <v>1017</v>
      </c>
      <c r="F100" s="1">
        <v>44230</v>
      </c>
      <c r="G100" s="1">
        <v>0.45910000000000001</v>
      </c>
      <c r="H100" s="1">
        <v>0.56730000000000003</v>
      </c>
      <c r="I100" s="1">
        <v>0.44800000000000001</v>
      </c>
      <c r="J100" s="1">
        <v>53124</v>
      </c>
      <c r="K100" s="1">
        <v>27000</v>
      </c>
      <c r="L100" s="1">
        <v>7628</v>
      </c>
      <c r="M100" s="1">
        <v>16</v>
      </c>
      <c r="N100" s="1" t="s">
        <v>20</v>
      </c>
      <c r="O100" s="1" t="s">
        <v>29</v>
      </c>
      <c r="P100" s="1" t="s">
        <v>39</v>
      </c>
      <c r="Q100" s="1" t="s">
        <v>23</v>
      </c>
      <c r="R100">
        <v>0.92797120424383939</v>
      </c>
    </row>
    <row r="101" spans="1:18" x14ac:dyDescent="0.2">
      <c r="A101" s="1">
        <v>175272</v>
      </c>
      <c r="B101" s="1" t="s">
        <v>158</v>
      </c>
      <c r="C101" s="1" t="s">
        <v>54</v>
      </c>
      <c r="D101" s="1">
        <v>0.75490000000000002</v>
      </c>
      <c r="E101" s="1">
        <v>5144</v>
      </c>
      <c r="F101" s="1">
        <v>17308</v>
      </c>
      <c r="G101" s="1">
        <v>0.56940000000000002</v>
      </c>
      <c r="H101" s="1">
        <v>0.79039999999999999</v>
      </c>
      <c r="I101" s="1">
        <v>0.2422</v>
      </c>
      <c r="J101" s="1">
        <v>58532</v>
      </c>
      <c r="K101" s="1">
        <v>21500</v>
      </c>
      <c r="L101" s="1">
        <v>10946</v>
      </c>
      <c r="M101" s="1">
        <v>14</v>
      </c>
      <c r="N101" s="1" t="s">
        <v>28</v>
      </c>
      <c r="O101" s="1" t="s">
        <v>42</v>
      </c>
      <c r="P101" s="1" t="s">
        <v>22</v>
      </c>
      <c r="Q101" s="1" t="s">
        <v>23</v>
      </c>
      <c r="R101">
        <v>0.92741274943092267</v>
      </c>
    </row>
    <row r="102" spans="1:18" x14ac:dyDescent="0.2">
      <c r="A102" s="1">
        <v>224527</v>
      </c>
      <c r="B102" s="1" t="s">
        <v>159</v>
      </c>
      <c r="C102" s="1" t="s">
        <v>36</v>
      </c>
      <c r="D102" s="1">
        <v>0.5776</v>
      </c>
      <c r="E102" s="1">
        <v>1352</v>
      </c>
      <c r="F102" s="1">
        <v>30680</v>
      </c>
      <c r="G102" s="1">
        <v>0.47120000000000001</v>
      </c>
      <c r="H102" s="1">
        <v>0.70840000000000003</v>
      </c>
      <c r="I102" s="1">
        <v>0.32190000000000002</v>
      </c>
      <c r="J102" s="1">
        <v>52788</v>
      </c>
      <c r="K102" s="1">
        <v>23250</v>
      </c>
      <c r="L102" s="1">
        <v>7437</v>
      </c>
      <c r="M102" s="1">
        <v>14</v>
      </c>
      <c r="N102" s="1" t="s">
        <v>20</v>
      </c>
      <c r="O102" s="1" t="s">
        <v>42</v>
      </c>
      <c r="P102" s="1" t="s">
        <v>30</v>
      </c>
      <c r="Q102" s="1" t="s">
        <v>23</v>
      </c>
      <c r="R102">
        <v>0.92656338639627511</v>
      </c>
    </row>
    <row r="103" spans="1:18" x14ac:dyDescent="0.2">
      <c r="A103" s="1">
        <v>127060</v>
      </c>
      <c r="B103" s="1" t="s">
        <v>160</v>
      </c>
      <c r="C103" s="1" t="s">
        <v>161</v>
      </c>
      <c r="D103" s="1">
        <v>0.77810000000000001</v>
      </c>
      <c r="E103" s="1">
        <v>6025</v>
      </c>
      <c r="F103" s="1">
        <v>61398</v>
      </c>
      <c r="G103" s="1">
        <v>0.75600000000000001</v>
      </c>
      <c r="H103" s="1">
        <v>0.88939999999999997</v>
      </c>
      <c r="I103" s="1">
        <v>0.14249999999999999</v>
      </c>
      <c r="J103" s="1">
        <v>71155</v>
      </c>
      <c r="K103" s="1">
        <v>21844</v>
      </c>
      <c r="L103" s="1">
        <v>13010</v>
      </c>
      <c r="M103" s="1">
        <v>9</v>
      </c>
      <c r="N103" s="1" t="s">
        <v>20</v>
      </c>
      <c r="O103" s="1" t="s">
        <v>29</v>
      </c>
      <c r="P103" s="1" t="s">
        <v>22</v>
      </c>
      <c r="Q103" s="1" t="s">
        <v>23</v>
      </c>
      <c r="R103">
        <v>0.92531885301296357</v>
      </c>
    </row>
    <row r="104" spans="1:18" x14ac:dyDescent="0.2">
      <c r="A104" s="1">
        <v>220516</v>
      </c>
      <c r="B104" s="1" t="s">
        <v>162</v>
      </c>
      <c r="C104" s="1" t="s">
        <v>163</v>
      </c>
      <c r="D104" s="1">
        <v>0.99719999999999998</v>
      </c>
      <c r="E104" s="1">
        <v>908</v>
      </c>
      <c r="F104" s="1">
        <v>36194</v>
      </c>
      <c r="G104" s="1">
        <v>0.47870000000000001</v>
      </c>
      <c r="H104" s="1">
        <v>0.60119999999999996</v>
      </c>
      <c r="I104" s="1">
        <v>0.41639999999999999</v>
      </c>
      <c r="J104" s="1">
        <v>59831</v>
      </c>
      <c r="K104" s="1">
        <v>22750</v>
      </c>
      <c r="L104" s="1">
        <v>5235</v>
      </c>
      <c r="M104" s="1">
        <v>11</v>
      </c>
      <c r="N104" s="1" t="s">
        <v>20</v>
      </c>
      <c r="O104" s="1" t="s">
        <v>29</v>
      </c>
      <c r="P104" s="1" t="s">
        <v>30</v>
      </c>
      <c r="Q104" s="1" t="s">
        <v>23</v>
      </c>
      <c r="R104">
        <v>0.92469137767039877</v>
      </c>
    </row>
    <row r="105" spans="1:18" x14ac:dyDescent="0.2">
      <c r="A105" s="1">
        <v>139959</v>
      </c>
      <c r="B105" s="1" t="s">
        <v>164</v>
      </c>
      <c r="C105" s="1" t="s">
        <v>126</v>
      </c>
      <c r="D105" s="1">
        <v>0.377</v>
      </c>
      <c r="E105" s="1">
        <v>32137</v>
      </c>
      <c r="F105" s="1">
        <v>31688</v>
      </c>
      <c r="G105" s="1">
        <v>0.89690000000000003</v>
      </c>
      <c r="H105" s="1">
        <v>0.94040000000000001</v>
      </c>
      <c r="I105" s="1">
        <v>0.16750000000000001</v>
      </c>
      <c r="J105" s="1">
        <v>68726</v>
      </c>
      <c r="K105" s="1">
        <v>18500</v>
      </c>
      <c r="L105" s="1">
        <v>12879</v>
      </c>
      <c r="M105" s="1">
        <v>17</v>
      </c>
      <c r="N105" s="1" t="s">
        <v>28</v>
      </c>
      <c r="O105" s="1" t="s">
        <v>29</v>
      </c>
      <c r="P105" s="1" t="s">
        <v>30</v>
      </c>
      <c r="Q105" s="1" t="s">
        <v>23</v>
      </c>
      <c r="R105">
        <v>0.92404468752836588</v>
      </c>
    </row>
    <row r="106" spans="1:18" x14ac:dyDescent="0.2">
      <c r="A106" s="1">
        <v>159939</v>
      </c>
      <c r="B106" s="1" t="s">
        <v>165</v>
      </c>
      <c r="C106" s="1" t="s">
        <v>46</v>
      </c>
      <c r="D106" s="1">
        <v>0.74309999999999998</v>
      </c>
      <c r="E106" s="1">
        <v>4638</v>
      </c>
      <c r="F106" s="1">
        <v>14008</v>
      </c>
      <c r="G106" s="1">
        <v>0.37990000000000002</v>
      </c>
      <c r="H106" s="1">
        <v>0.66790000000000005</v>
      </c>
      <c r="I106" s="1">
        <v>0.39119999999999999</v>
      </c>
      <c r="J106" s="1">
        <v>47872</v>
      </c>
      <c r="K106" s="1">
        <v>18750</v>
      </c>
      <c r="L106" s="1">
        <v>9208</v>
      </c>
      <c r="M106" s="1">
        <v>19</v>
      </c>
      <c r="N106" s="1" t="s">
        <v>28</v>
      </c>
      <c r="O106" s="1" t="s">
        <v>29</v>
      </c>
      <c r="P106" s="1" t="s">
        <v>30</v>
      </c>
      <c r="Q106" s="1" t="s">
        <v>31</v>
      </c>
      <c r="R106">
        <v>0.92260969538597104</v>
      </c>
    </row>
    <row r="107" spans="1:18" x14ac:dyDescent="0.2">
      <c r="A107" s="1">
        <v>220978</v>
      </c>
      <c r="B107" s="1" t="s">
        <v>166</v>
      </c>
      <c r="C107" s="1" t="s">
        <v>163</v>
      </c>
      <c r="D107" s="1">
        <v>0.69089999999999996</v>
      </c>
      <c r="E107" s="1">
        <v>16301</v>
      </c>
      <c r="F107" s="1">
        <v>31574</v>
      </c>
      <c r="G107" s="1">
        <v>0.53700000000000003</v>
      </c>
      <c r="H107" s="1">
        <v>0.79520000000000002</v>
      </c>
      <c r="I107" s="1">
        <v>0.31769999999999998</v>
      </c>
      <c r="J107" s="1">
        <v>48541</v>
      </c>
      <c r="K107" s="1">
        <v>20000</v>
      </c>
      <c r="L107" s="1">
        <v>9739</v>
      </c>
      <c r="M107" s="1">
        <v>17</v>
      </c>
      <c r="N107" s="1" t="s">
        <v>28</v>
      </c>
      <c r="O107" s="1" t="s">
        <v>29</v>
      </c>
      <c r="P107" s="1" t="s">
        <v>30</v>
      </c>
      <c r="Q107" s="1" t="s">
        <v>31</v>
      </c>
      <c r="R107">
        <v>0.9208644993555587</v>
      </c>
    </row>
    <row r="108" spans="1:18" x14ac:dyDescent="0.2">
      <c r="A108" s="1">
        <v>110574</v>
      </c>
      <c r="B108" s="1" t="s">
        <v>167</v>
      </c>
      <c r="C108" s="1" t="s">
        <v>33</v>
      </c>
      <c r="D108" s="1">
        <v>0.97389999999999999</v>
      </c>
      <c r="E108" s="1">
        <v>9809</v>
      </c>
      <c r="F108" s="1">
        <v>20183</v>
      </c>
      <c r="G108" s="1">
        <v>0.47949999999999998</v>
      </c>
      <c r="H108" s="1">
        <v>0.75690000000000002</v>
      </c>
      <c r="I108" s="1">
        <v>0.44400000000000001</v>
      </c>
      <c r="J108" s="1">
        <v>71401</v>
      </c>
      <c r="K108" s="1">
        <v>16544</v>
      </c>
      <c r="L108" s="1">
        <v>12805</v>
      </c>
      <c r="M108" s="1">
        <v>22</v>
      </c>
      <c r="N108" s="1" t="s">
        <v>28</v>
      </c>
      <c r="O108" s="1" t="s">
        <v>21</v>
      </c>
      <c r="P108" s="1" t="s">
        <v>22</v>
      </c>
      <c r="Q108" s="1" t="s">
        <v>23</v>
      </c>
      <c r="R108">
        <v>0.92084546414666912</v>
      </c>
    </row>
    <row r="109" spans="1:18" x14ac:dyDescent="0.2">
      <c r="A109" s="1">
        <v>175342</v>
      </c>
      <c r="B109" s="1" t="s">
        <v>168</v>
      </c>
      <c r="C109" s="1" t="s">
        <v>169</v>
      </c>
      <c r="D109" s="1">
        <v>0.45329999999999998</v>
      </c>
      <c r="E109" s="1">
        <v>2363</v>
      </c>
      <c r="F109" s="1">
        <v>8785</v>
      </c>
      <c r="G109" s="1">
        <v>0.5736</v>
      </c>
      <c r="H109" s="1">
        <v>0.76649999999999996</v>
      </c>
      <c r="I109" s="1">
        <v>0.69779999999999998</v>
      </c>
      <c r="J109" s="1">
        <v>36421</v>
      </c>
      <c r="K109" s="1">
        <v>27000</v>
      </c>
      <c r="L109" s="1">
        <v>7235</v>
      </c>
      <c r="M109" s="1">
        <v>16</v>
      </c>
      <c r="N109" s="1" t="s">
        <v>28</v>
      </c>
      <c r="O109" s="1" t="s">
        <v>42</v>
      </c>
      <c r="P109" s="1" t="s">
        <v>30</v>
      </c>
      <c r="Q109" s="1" t="s">
        <v>31</v>
      </c>
      <c r="R109">
        <v>0.91985100432357347</v>
      </c>
    </row>
    <row r="110" spans="1:18" x14ac:dyDescent="0.2">
      <c r="A110" s="1">
        <v>377564</v>
      </c>
      <c r="B110" s="1" t="s">
        <v>170</v>
      </c>
      <c r="C110" s="1" t="s">
        <v>171</v>
      </c>
      <c r="D110" s="1">
        <v>0.82520000000000004</v>
      </c>
      <c r="E110" s="1">
        <v>4185</v>
      </c>
      <c r="F110" s="1">
        <v>43404</v>
      </c>
      <c r="G110" s="1">
        <v>0.63239999999999996</v>
      </c>
      <c r="H110" s="1">
        <v>0.79969999999999997</v>
      </c>
      <c r="I110" s="1">
        <v>0.39660000000000001</v>
      </c>
      <c r="J110" s="1">
        <v>78466</v>
      </c>
      <c r="K110" s="1">
        <v>14615</v>
      </c>
      <c r="L110" s="1">
        <v>12135</v>
      </c>
      <c r="M110" s="1">
        <v>15</v>
      </c>
      <c r="N110" s="1" t="s">
        <v>28</v>
      </c>
      <c r="O110" s="1" t="s">
        <v>29</v>
      </c>
      <c r="P110" s="1" t="s">
        <v>22</v>
      </c>
      <c r="Q110" s="1" t="s">
        <v>23</v>
      </c>
      <c r="R110">
        <v>0.9193401489227051</v>
      </c>
    </row>
    <row r="111" spans="1:18" x14ac:dyDescent="0.2">
      <c r="A111" s="1">
        <v>121257</v>
      </c>
      <c r="B111" s="1" t="s">
        <v>172</v>
      </c>
      <c r="C111" s="1" t="s">
        <v>33</v>
      </c>
      <c r="D111" s="1">
        <v>0.25159999999999999</v>
      </c>
      <c r="E111" s="1">
        <v>1227</v>
      </c>
      <c r="F111" s="1">
        <v>65192</v>
      </c>
      <c r="G111" s="1">
        <v>0.83389999999999997</v>
      </c>
      <c r="H111" s="1">
        <v>0.93799999999999994</v>
      </c>
      <c r="I111" s="1">
        <v>0.1055</v>
      </c>
      <c r="J111" s="1">
        <v>69512</v>
      </c>
      <c r="K111" s="1">
        <v>16750</v>
      </c>
      <c r="L111" s="1">
        <v>12503</v>
      </c>
      <c r="M111" s="1">
        <v>10</v>
      </c>
      <c r="N111" s="1" t="s">
        <v>20</v>
      </c>
      <c r="O111" s="1" t="s">
        <v>21</v>
      </c>
      <c r="P111" s="1" t="s">
        <v>22</v>
      </c>
      <c r="Q111" s="1" t="s">
        <v>23</v>
      </c>
      <c r="R111">
        <v>0.91836815174915831</v>
      </c>
    </row>
    <row r="112" spans="1:18" x14ac:dyDescent="0.2">
      <c r="A112" s="1">
        <v>110705</v>
      </c>
      <c r="B112" s="1" t="s">
        <v>173</v>
      </c>
      <c r="C112" s="1" t="s">
        <v>33</v>
      </c>
      <c r="D112" s="1">
        <v>0.32969999999999999</v>
      </c>
      <c r="E112" s="1">
        <v>23113</v>
      </c>
      <c r="F112" s="1">
        <v>50614</v>
      </c>
      <c r="G112" s="1">
        <v>0.83030000000000004</v>
      </c>
      <c r="H112" s="1">
        <v>0.93</v>
      </c>
      <c r="I112" s="1">
        <v>0.27850000000000003</v>
      </c>
      <c r="J112" s="1">
        <v>74915</v>
      </c>
      <c r="K112" s="1">
        <v>13993</v>
      </c>
      <c r="L112" s="1">
        <v>20677</v>
      </c>
      <c r="M112" s="1">
        <v>17</v>
      </c>
      <c r="N112" s="1" t="s">
        <v>28</v>
      </c>
      <c r="O112" s="1" t="s">
        <v>21</v>
      </c>
      <c r="P112" s="1" t="s">
        <v>22</v>
      </c>
      <c r="Q112" s="1" t="s">
        <v>23</v>
      </c>
      <c r="R112">
        <v>0.91830475822223934</v>
      </c>
    </row>
    <row r="113" spans="1:18" x14ac:dyDescent="0.2">
      <c r="A113" s="1">
        <v>228501</v>
      </c>
      <c r="B113" s="1" t="s">
        <v>174</v>
      </c>
      <c r="C113" s="1" t="s">
        <v>36</v>
      </c>
      <c r="D113" s="1">
        <v>0.98709999999999998</v>
      </c>
      <c r="E113" s="1">
        <v>1396</v>
      </c>
      <c r="F113" s="1">
        <v>17672</v>
      </c>
      <c r="G113" s="1">
        <v>0.2994</v>
      </c>
      <c r="H113" s="1">
        <v>0.4491</v>
      </c>
      <c r="I113" s="1">
        <v>0.57740000000000002</v>
      </c>
      <c r="J113" s="1">
        <v>41871</v>
      </c>
      <c r="K113" s="1">
        <v>15900</v>
      </c>
      <c r="L113" s="1">
        <v>7971</v>
      </c>
      <c r="M113" s="1">
        <v>11</v>
      </c>
      <c r="N113" s="1" t="s">
        <v>28</v>
      </c>
      <c r="O113" s="1" t="s">
        <v>42</v>
      </c>
      <c r="P113" s="1" t="s">
        <v>30</v>
      </c>
      <c r="Q113" s="1" t="s">
        <v>31</v>
      </c>
      <c r="R113">
        <v>0.91757096123270909</v>
      </c>
    </row>
    <row r="114" spans="1:18" x14ac:dyDescent="0.2">
      <c r="A114" s="1">
        <v>125727</v>
      </c>
      <c r="B114" s="1" t="s">
        <v>175</v>
      </c>
      <c r="C114" s="1" t="s">
        <v>33</v>
      </c>
      <c r="D114" s="1">
        <v>0.77049999999999996</v>
      </c>
      <c r="E114" s="1">
        <v>1302</v>
      </c>
      <c r="F114" s="1">
        <v>53584</v>
      </c>
      <c r="G114" s="1">
        <v>0.70350000000000001</v>
      </c>
      <c r="H114" s="1">
        <v>0.85</v>
      </c>
      <c r="I114" s="1">
        <v>0.20030000000000001</v>
      </c>
      <c r="J114" s="1">
        <v>64778</v>
      </c>
      <c r="K114" s="1">
        <v>23250</v>
      </c>
      <c r="L114" s="1">
        <v>10166</v>
      </c>
      <c r="M114" s="1">
        <v>10</v>
      </c>
      <c r="N114" s="1" t="s">
        <v>20</v>
      </c>
      <c r="O114" s="1" t="s">
        <v>21</v>
      </c>
      <c r="P114" s="1" t="s">
        <v>22</v>
      </c>
      <c r="Q114" s="1" t="s">
        <v>23</v>
      </c>
      <c r="R114">
        <v>0.91656586154629283</v>
      </c>
    </row>
    <row r="115" spans="1:18" x14ac:dyDescent="0.2">
      <c r="A115" s="1">
        <v>101189</v>
      </c>
      <c r="B115" s="1" t="s">
        <v>176</v>
      </c>
      <c r="C115" s="1" t="s">
        <v>177</v>
      </c>
      <c r="D115" s="1">
        <v>0.73070000000000002</v>
      </c>
      <c r="E115" s="1">
        <v>1549</v>
      </c>
      <c r="F115" s="1">
        <v>23920</v>
      </c>
      <c r="G115" s="1">
        <v>0.374</v>
      </c>
      <c r="H115" s="1">
        <v>0.64470000000000005</v>
      </c>
      <c r="I115" s="1">
        <v>0.45619999999999999</v>
      </c>
      <c r="J115" s="1">
        <v>43457</v>
      </c>
      <c r="K115" s="1">
        <v>23000</v>
      </c>
      <c r="L115" s="1">
        <v>7049</v>
      </c>
      <c r="M115" s="1">
        <v>14</v>
      </c>
      <c r="N115" s="1" t="s">
        <v>20</v>
      </c>
      <c r="O115" s="1" t="s">
        <v>29</v>
      </c>
      <c r="P115" s="1" t="s">
        <v>30</v>
      </c>
      <c r="Q115" s="1" t="s">
        <v>31</v>
      </c>
      <c r="R115">
        <v>0.91535352355521282</v>
      </c>
    </row>
    <row r="116" spans="1:18" x14ac:dyDescent="0.2">
      <c r="A116" s="1">
        <v>215293</v>
      </c>
      <c r="B116" s="1" t="s">
        <v>178</v>
      </c>
      <c r="C116" s="1" t="s">
        <v>98</v>
      </c>
      <c r="D116" s="1">
        <v>0.58079999999999998</v>
      </c>
      <c r="E116" s="1">
        <v>20370</v>
      </c>
      <c r="F116" s="1">
        <v>41430</v>
      </c>
      <c r="G116" s="1">
        <v>0.85499999999999998</v>
      </c>
      <c r="H116" s="1">
        <v>0.91990000000000005</v>
      </c>
      <c r="I116" s="1">
        <v>0.13980000000000001</v>
      </c>
      <c r="J116" s="1">
        <v>66125</v>
      </c>
      <c r="K116" s="1">
        <v>24250</v>
      </c>
      <c r="L116" s="1">
        <v>12140</v>
      </c>
      <c r="M116" s="1">
        <v>13</v>
      </c>
      <c r="N116" s="1" t="s">
        <v>28</v>
      </c>
      <c r="O116" s="1" t="s">
        <v>29</v>
      </c>
      <c r="P116" s="1" t="s">
        <v>39</v>
      </c>
      <c r="Q116" s="1" t="s">
        <v>23</v>
      </c>
      <c r="R116">
        <v>0.91447304651832584</v>
      </c>
    </row>
    <row r="117" spans="1:18" x14ac:dyDescent="0.2">
      <c r="A117" s="1">
        <v>151111</v>
      </c>
      <c r="B117" s="1" t="s">
        <v>179</v>
      </c>
      <c r="C117" s="1" t="s">
        <v>102</v>
      </c>
      <c r="D117" s="1">
        <v>0.76370000000000005</v>
      </c>
      <c r="E117" s="1">
        <v>13830</v>
      </c>
      <c r="F117" s="1">
        <v>34891</v>
      </c>
      <c r="G117" s="1">
        <v>0.54449999999999998</v>
      </c>
      <c r="H117" s="1">
        <v>0.72189999999999999</v>
      </c>
      <c r="I117" s="1">
        <v>0.373</v>
      </c>
      <c r="J117" s="1">
        <v>55198</v>
      </c>
      <c r="K117" s="1">
        <v>20000</v>
      </c>
      <c r="L117" s="1">
        <v>9620</v>
      </c>
      <c r="M117" s="1">
        <v>13</v>
      </c>
      <c r="N117" s="1" t="s">
        <v>28</v>
      </c>
      <c r="O117" s="1" t="s">
        <v>29</v>
      </c>
      <c r="P117" s="1" t="s">
        <v>22</v>
      </c>
      <c r="Q117" s="1" t="s">
        <v>23</v>
      </c>
      <c r="R117">
        <v>0.91434199333737753</v>
      </c>
    </row>
    <row r="118" spans="1:18" x14ac:dyDescent="0.2">
      <c r="A118" s="1">
        <v>151777</v>
      </c>
      <c r="B118" s="1" t="s">
        <v>180</v>
      </c>
      <c r="C118" s="1" t="s">
        <v>102</v>
      </c>
      <c r="D118" s="1">
        <v>0.71060000000000001</v>
      </c>
      <c r="E118" s="1">
        <v>936</v>
      </c>
      <c r="F118" s="1">
        <v>37135</v>
      </c>
      <c r="G118" s="1">
        <v>0.46079999999999999</v>
      </c>
      <c r="H118" s="1">
        <v>0.66320000000000001</v>
      </c>
      <c r="I118" s="1">
        <v>0.44700000000000001</v>
      </c>
      <c r="J118" s="1">
        <v>51504</v>
      </c>
      <c r="K118" s="1">
        <v>26854</v>
      </c>
      <c r="L118" s="1">
        <v>8154</v>
      </c>
      <c r="M118" s="1">
        <v>12</v>
      </c>
      <c r="N118" s="1" t="s">
        <v>20</v>
      </c>
      <c r="O118" s="1" t="s">
        <v>42</v>
      </c>
      <c r="P118" s="1" t="s">
        <v>22</v>
      </c>
      <c r="Q118" s="1" t="s">
        <v>23</v>
      </c>
      <c r="R118">
        <v>0.91403582378522175</v>
      </c>
    </row>
    <row r="119" spans="1:18" x14ac:dyDescent="0.2">
      <c r="A119" s="1">
        <v>240444</v>
      </c>
      <c r="B119" s="1" t="s">
        <v>181</v>
      </c>
      <c r="C119" s="1" t="s">
        <v>50</v>
      </c>
      <c r="D119" s="1">
        <v>0.45200000000000001</v>
      </c>
      <c r="E119" s="1">
        <v>36902</v>
      </c>
      <c r="F119" s="1">
        <v>42103</v>
      </c>
      <c r="G119" s="1">
        <v>0.89549999999999996</v>
      </c>
      <c r="H119" s="1">
        <v>0.96160000000000001</v>
      </c>
      <c r="I119" s="1">
        <v>0.15939999999999999</v>
      </c>
      <c r="J119" s="1">
        <v>73792</v>
      </c>
      <c r="K119" s="1">
        <v>20484</v>
      </c>
      <c r="L119" s="1">
        <v>15643</v>
      </c>
      <c r="M119" s="1">
        <v>18</v>
      </c>
      <c r="N119" s="1" t="s">
        <v>28</v>
      </c>
      <c r="O119" s="1" t="s">
        <v>29</v>
      </c>
      <c r="P119" s="1" t="s">
        <v>22</v>
      </c>
      <c r="Q119" s="1" t="s">
        <v>23</v>
      </c>
      <c r="R119">
        <v>0.91270700735460308</v>
      </c>
    </row>
    <row r="120" spans="1:18" x14ac:dyDescent="0.2">
      <c r="A120" s="1">
        <v>159416</v>
      </c>
      <c r="B120" s="1" t="s">
        <v>182</v>
      </c>
      <c r="C120" s="1" t="s">
        <v>46</v>
      </c>
      <c r="D120" s="1">
        <v>0.50549999999999995</v>
      </c>
      <c r="E120" s="1">
        <v>2153</v>
      </c>
      <c r="F120" s="1">
        <v>7518</v>
      </c>
      <c r="G120" s="1">
        <v>0.37540000000000001</v>
      </c>
      <c r="H120" s="1">
        <v>0.83150000000000002</v>
      </c>
      <c r="I120" s="1">
        <v>0.38619999999999999</v>
      </c>
      <c r="J120" s="1">
        <v>47477</v>
      </c>
      <c r="K120" s="1">
        <v>22500</v>
      </c>
      <c r="L120" s="1">
        <v>9562</v>
      </c>
      <c r="M120" s="1">
        <v>30</v>
      </c>
      <c r="N120" s="1" t="s">
        <v>28</v>
      </c>
      <c r="O120" s="1" t="s">
        <v>29</v>
      </c>
      <c r="P120" s="1" t="s">
        <v>30</v>
      </c>
      <c r="Q120" s="1" t="s">
        <v>31</v>
      </c>
      <c r="R120">
        <v>0.91245715614195033</v>
      </c>
    </row>
    <row r="121" spans="1:18" x14ac:dyDescent="0.2">
      <c r="A121" s="1">
        <v>200800</v>
      </c>
      <c r="B121" s="1" t="s">
        <v>183</v>
      </c>
      <c r="C121" s="1" t="s">
        <v>19</v>
      </c>
      <c r="D121" s="1">
        <v>0.59670000000000001</v>
      </c>
      <c r="E121" s="1">
        <v>9052</v>
      </c>
      <c r="F121" s="1">
        <v>20815</v>
      </c>
      <c r="G121" s="1">
        <v>0.51859999999999995</v>
      </c>
      <c r="H121" s="1">
        <v>0.7298</v>
      </c>
      <c r="I121" s="1">
        <v>0.29099999999999998</v>
      </c>
      <c r="J121" s="1">
        <v>46600</v>
      </c>
      <c r="K121" s="1">
        <v>23250</v>
      </c>
      <c r="L121" s="1">
        <v>10255</v>
      </c>
      <c r="M121" s="1">
        <v>17</v>
      </c>
      <c r="N121" s="1" t="s">
        <v>28</v>
      </c>
      <c r="O121" s="1" t="s">
        <v>29</v>
      </c>
      <c r="P121" s="1" t="s">
        <v>22</v>
      </c>
      <c r="Q121" s="1" t="s">
        <v>31</v>
      </c>
      <c r="R121">
        <v>0.91178158856251024</v>
      </c>
    </row>
    <row r="122" spans="1:18" x14ac:dyDescent="0.2">
      <c r="A122" s="1">
        <v>180595</v>
      </c>
      <c r="B122" s="1" t="s">
        <v>184</v>
      </c>
      <c r="C122" s="1" t="s">
        <v>95</v>
      </c>
      <c r="D122" s="1">
        <v>0.69610000000000005</v>
      </c>
      <c r="E122" s="1">
        <v>840</v>
      </c>
      <c r="F122" s="1">
        <v>35582</v>
      </c>
      <c r="G122" s="1">
        <v>0.48409999999999997</v>
      </c>
      <c r="H122" s="1">
        <v>0.6905</v>
      </c>
      <c r="I122" s="1">
        <v>0.31109999999999999</v>
      </c>
      <c r="J122" s="1">
        <v>49036</v>
      </c>
      <c r="K122" s="1">
        <v>26000</v>
      </c>
      <c r="L122" s="1">
        <v>6957</v>
      </c>
      <c r="M122" s="1">
        <v>14</v>
      </c>
      <c r="N122" s="1" t="s">
        <v>20</v>
      </c>
      <c r="O122" s="1" t="s">
        <v>29</v>
      </c>
      <c r="P122" s="1" t="s">
        <v>22</v>
      </c>
      <c r="Q122" s="1" t="s">
        <v>31</v>
      </c>
      <c r="R122">
        <v>0.91158954116882063</v>
      </c>
    </row>
    <row r="123" spans="1:18" x14ac:dyDescent="0.2">
      <c r="A123" s="1">
        <v>195304</v>
      </c>
      <c r="B123" s="1" t="s">
        <v>185</v>
      </c>
      <c r="C123" s="1" t="s">
        <v>58</v>
      </c>
      <c r="D123" s="1">
        <v>0.61729999999999996</v>
      </c>
      <c r="E123" s="1">
        <v>1530</v>
      </c>
      <c r="F123" s="1">
        <v>66862</v>
      </c>
      <c r="G123" s="1">
        <v>0.71330000000000005</v>
      </c>
      <c r="H123" s="1">
        <v>0.87350000000000005</v>
      </c>
      <c r="I123" s="1">
        <v>0.1183</v>
      </c>
      <c r="J123" s="1">
        <v>53603</v>
      </c>
      <c r="K123" s="1">
        <v>27000</v>
      </c>
      <c r="L123" s="1">
        <v>11235</v>
      </c>
      <c r="M123" s="1">
        <v>10</v>
      </c>
      <c r="N123" s="1" t="s">
        <v>20</v>
      </c>
      <c r="O123" s="1" t="s">
        <v>21</v>
      </c>
      <c r="P123" s="1" t="s">
        <v>39</v>
      </c>
      <c r="Q123" s="1" t="s">
        <v>23</v>
      </c>
      <c r="R123">
        <v>0.91125399694548015</v>
      </c>
    </row>
    <row r="124" spans="1:18" x14ac:dyDescent="0.2">
      <c r="A124" s="1">
        <v>177339</v>
      </c>
      <c r="B124" s="1" t="s">
        <v>186</v>
      </c>
      <c r="C124" s="1" t="s">
        <v>77</v>
      </c>
      <c r="D124" s="1">
        <v>0.71609999999999996</v>
      </c>
      <c r="E124" s="1">
        <v>1229</v>
      </c>
      <c r="F124" s="1">
        <v>28548</v>
      </c>
      <c r="G124" s="1">
        <v>0.65029999999999999</v>
      </c>
      <c r="H124" s="1">
        <v>0.76359999999999995</v>
      </c>
      <c r="I124" s="1">
        <v>0.3125</v>
      </c>
      <c r="J124" s="1">
        <v>46573</v>
      </c>
      <c r="K124" s="1">
        <v>24736</v>
      </c>
      <c r="L124" s="1">
        <v>5330</v>
      </c>
      <c r="M124" s="1">
        <v>15</v>
      </c>
      <c r="N124" s="1" t="s">
        <v>20</v>
      </c>
      <c r="O124" s="1" t="s">
        <v>29</v>
      </c>
      <c r="P124" s="1" t="s">
        <v>22</v>
      </c>
      <c r="Q124" s="1" t="s">
        <v>31</v>
      </c>
      <c r="R124">
        <v>0.91054289281608225</v>
      </c>
    </row>
    <row r="125" spans="1:18" x14ac:dyDescent="0.2">
      <c r="A125" s="1">
        <v>214041</v>
      </c>
      <c r="B125" s="1" t="s">
        <v>187</v>
      </c>
      <c r="C125" s="1" t="s">
        <v>98</v>
      </c>
      <c r="D125" s="1">
        <v>0.8619</v>
      </c>
      <c r="E125" s="1">
        <v>5728</v>
      </c>
      <c r="F125" s="1">
        <v>22952</v>
      </c>
      <c r="G125" s="1">
        <v>0.57630000000000003</v>
      </c>
      <c r="H125" s="1">
        <v>0.77110000000000001</v>
      </c>
      <c r="I125" s="1">
        <v>0.27310000000000001</v>
      </c>
      <c r="J125" s="1">
        <v>55246</v>
      </c>
      <c r="K125" s="1">
        <v>23507</v>
      </c>
      <c r="L125" s="1">
        <v>11531</v>
      </c>
      <c r="M125" s="1">
        <v>19</v>
      </c>
      <c r="N125" s="1" t="s">
        <v>28</v>
      </c>
      <c r="O125" s="1" t="s">
        <v>21</v>
      </c>
      <c r="P125" s="1" t="s">
        <v>39</v>
      </c>
      <c r="Q125" s="1" t="s">
        <v>23</v>
      </c>
      <c r="R125">
        <v>0.91028301647384169</v>
      </c>
    </row>
    <row r="126" spans="1:18" x14ac:dyDescent="0.2">
      <c r="A126" s="1">
        <v>139630</v>
      </c>
      <c r="B126" s="1" t="s">
        <v>188</v>
      </c>
      <c r="C126" s="1" t="s">
        <v>126</v>
      </c>
      <c r="D126" s="1">
        <v>0.74</v>
      </c>
      <c r="E126" s="1">
        <v>775</v>
      </c>
      <c r="F126" s="1">
        <v>25500</v>
      </c>
      <c r="G126" s="1">
        <v>0.42280000000000001</v>
      </c>
      <c r="H126" s="1">
        <v>0.70940000000000003</v>
      </c>
      <c r="I126" s="1">
        <v>0.28689999999999999</v>
      </c>
      <c r="J126" s="1">
        <v>38208</v>
      </c>
      <c r="K126" s="1">
        <v>24325</v>
      </c>
      <c r="L126" s="1">
        <v>5038</v>
      </c>
      <c r="M126" s="1">
        <v>11</v>
      </c>
      <c r="N126" s="1" t="s">
        <v>20</v>
      </c>
      <c r="O126" s="1" t="s">
        <v>42</v>
      </c>
      <c r="P126" s="1" t="s">
        <v>30</v>
      </c>
      <c r="Q126" s="1" t="s">
        <v>31</v>
      </c>
      <c r="R126">
        <v>0.90997182281702937</v>
      </c>
    </row>
    <row r="127" spans="1:18" x14ac:dyDescent="0.2">
      <c r="A127" s="1">
        <v>140988</v>
      </c>
      <c r="B127" s="1" t="s">
        <v>189</v>
      </c>
      <c r="C127" s="1" t="s">
        <v>126</v>
      </c>
      <c r="D127" s="1">
        <v>0.96460000000000001</v>
      </c>
      <c r="E127" s="1">
        <v>1028</v>
      </c>
      <c r="F127" s="1">
        <v>24630</v>
      </c>
      <c r="G127" s="1">
        <v>0.37690000000000001</v>
      </c>
      <c r="H127" s="1">
        <v>0.60529999999999995</v>
      </c>
      <c r="I127" s="1">
        <v>0.37519999999999998</v>
      </c>
      <c r="J127" s="1">
        <v>44604</v>
      </c>
      <c r="K127" s="1">
        <v>25000</v>
      </c>
      <c r="L127" s="1">
        <v>5054</v>
      </c>
      <c r="M127" s="1">
        <v>14</v>
      </c>
      <c r="N127" s="1" t="s">
        <v>20</v>
      </c>
      <c r="O127" s="1" t="s">
        <v>29</v>
      </c>
      <c r="P127" s="1" t="s">
        <v>30</v>
      </c>
      <c r="Q127" s="1" t="s">
        <v>31</v>
      </c>
      <c r="R127">
        <v>0.9092587190921898</v>
      </c>
    </row>
    <row r="128" spans="1:18" x14ac:dyDescent="0.2">
      <c r="A128" s="1">
        <v>221838</v>
      </c>
      <c r="B128" s="1" t="s">
        <v>190</v>
      </c>
      <c r="C128" s="1" t="s">
        <v>163</v>
      </c>
      <c r="D128" s="1">
        <v>0.70109999999999995</v>
      </c>
      <c r="E128" s="1">
        <v>4848</v>
      </c>
      <c r="F128" s="1">
        <v>22416</v>
      </c>
      <c r="G128" s="1">
        <v>0.33989999999999998</v>
      </c>
      <c r="H128" s="1">
        <v>0.33500000000000002</v>
      </c>
      <c r="I128" s="1">
        <v>0.51129999999999998</v>
      </c>
      <c r="J128" s="1">
        <v>42730</v>
      </c>
      <c r="K128" s="1">
        <v>27000</v>
      </c>
      <c r="L128" s="1">
        <v>8732</v>
      </c>
      <c r="M128" s="1">
        <v>13</v>
      </c>
      <c r="N128" s="1" t="s">
        <v>28</v>
      </c>
      <c r="O128" s="1" t="s">
        <v>29</v>
      </c>
      <c r="P128" s="1" t="s">
        <v>30</v>
      </c>
      <c r="Q128" s="1" t="s">
        <v>31</v>
      </c>
      <c r="R128">
        <v>0.90567239612730688</v>
      </c>
    </row>
    <row r="129" spans="1:18" x14ac:dyDescent="0.2">
      <c r="A129" s="1">
        <v>145646</v>
      </c>
      <c r="B129" s="1" t="s">
        <v>191</v>
      </c>
      <c r="C129" s="1" t="s">
        <v>25</v>
      </c>
      <c r="D129" s="1">
        <v>0.3931</v>
      </c>
      <c r="E129" s="1">
        <v>1582</v>
      </c>
      <c r="F129" s="1">
        <v>57704</v>
      </c>
      <c r="G129" s="1">
        <v>0.747</v>
      </c>
      <c r="H129" s="1">
        <v>0.80049999999999999</v>
      </c>
      <c r="I129" s="1">
        <v>0.26329999999999998</v>
      </c>
      <c r="J129" s="1">
        <v>70871</v>
      </c>
      <c r="K129" s="1">
        <v>27000</v>
      </c>
      <c r="L129" s="1">
        <v>8828</v>
      </c>
      <c r="M129" s="1">
        <v>12</v>
      </c>
      <c r="N129" s="1" t="s">
        <v>20</v>
      </c>
      <c r="O129" s="1" t="s">
        <v>29</v>
      </c>
      <c r="P129" s="1" t="s">
        <v>22</v>
      </c>
      <c r="Q129" s="1" t="s">
        <v>23</v>
      </c>
      <c r="R129">
        <v>0.90549533941592197</v>
      </c>
    </row>
    <row r="130" spans="1:18" x14ac:dyDescent="0.2">
      <c r="A130" s="1">
        <v>204501</v>
      </c>
      <c r="B130" s="1" t="s">
        <v>192</v>
      </c>
      <c r="C130" s="1" t="s">
        <v>19</v>
      </c>
      <c r="D130" s="1">
        <v>0.34179999999999999</v>
      </c>
      <c r="E130" s="1">
        <v>2887</v>
      </c>
      <c r="F130" s="1">
        <v>67366</v>
      </c>
      <c r="G130" s="1">
        <v>0.80889999999999995</v>
      </c>
      <c r="H130" s="1">
        <v>0.91</v>
      </c>
      <c r="I130" s="1">
        <v>9.64E-2</v>
      </c>
      <c r="J130" s="1">
        <v>58343</v>
      </c>
      <c r="K130" s="1">
        <v>26000</v>
      </c>
      <c r="L130" s="1">
        <v>11232</v>
      </c>
      <c r="M130" s="1">
        <v>9</v>
      </c>
      <c r="N130" s="1" t="s">
        <v>20</v>
      </c>
      <c r="O130" s="1" t="s">
        <v>42</v>
      </c>
      <c r="P130" s="1" t="s">
        <v>22</v>
      </c>
      <c r="Q130" s="1" t="s">
        <v>23</v>
      </c>
      <c r="R130">
        <v>0.903858567650345</v>
      </c>
    </row>
    <row r="131" spans="1:18" x14ac:dyDescent="0.2">
      <c r="A131" s="1">
        <v>196167</v>
      </c>
      <c r="B131" s="1" t="s">
        <v>193</v>
      </c>
      <c r="C131" s="1" t="s">
        <v>58</v>
      </c>
      <c r="D131" s="1">
        <v>0.66449999999999998</v>
      </c>
      <c r="E131" s="1">
        <v>3869</v>
      </c>
      <c r="F131" s="1">
        <v>19569</v>
      </c>
      <c r="G131" s="1">
        <v>0.71450000000000002</v>
      </c>
      <c r="H131" s="1">
        <v>0.86990000000000001</v>
      </c>
      <c r="I131" s="1">
        <v>0.27639999999999998</v>
      </c>
      <c r="J131" s="1">
        <v>67316</v>
      </c>
      <c r="K131" s="1">
        <v>19500</v>
      </c>
      <c r="L131" s="1">
        <v>8765</v>
      </c>
      <c r="M131" s="1">
        <v>16</v>
      </c>
      <c r="N131" s="1" t="s">
        <v>28</v>
      </c>
      <c r="O131" s="1" t="s">
        <v>42</v>
      </c>
      <c r="P131" s="1" t="s">
        <v>39</v>
      </c>
      <c r="Q131" s="1" t="s">
        <v>23</v>
      </c>
      <c r="R131">
        <v>0.90343510698722884</v>
      </c>
    </row>
    <row r="132" spans="1:18" x14ac:dyDescent="0.2">
      <c r="A132" s="1">
        <v>138868</v>
      </c>
      <c r="B132" s="1" t="s">
        <v>194</v>
      </c>
      <c r="C132" s="1" t="s">
        <v>126</v>
      </c>
      <c r="D132" s="1">
        <v>0.44259999999999999</v>
      </c>
      <c r="E132" s="1">
        <v>1996</v>
      </c>
      <c r="F132" s="1">
        <v>24000</v>
      </c>
      <c r="G132" s="1">
        <v>0.3407</v>
      </c>
      <c r="H132" s="1">
        <v>0.74129999999999996</v>
      </c>
      <c r="I132" s="1">
        <v>0.24679999999999999</v>
      </c>
      <c r="J132" s="1">
        <v>38740</v>
      </c>
      <c r="K132" s="1">
        <v>25250</v>
      </c>
      <c r="L132" s="1">
        <v>5969</v>
      </c>
      <c r="M132" s="1">
        <v>15</v>
      </c>
      <c r="N132" s="1" t="s">
        <v>20</v>
      </c>
      <c r="O132" s="1" t="s">
        <v>42</v>
      </c>
      <c r="P132" s="1" t="s">
        <v>30</v>
      </c>
      <c r="Q132" s="1" t="s">
        <v>31</v>
      </c>
      <c r="R132">
        <v>0.90308660379272732</v>
      </c>
    </row>
    <row r="133" spans="1:18" x14ac:dyDescent="0.2">
      <c r="A133" s="1">
        <v>173045</v>
      </c>
      <c r="B133" s="1" t="s">
        <v>195</v>
      </c>
      <c r="C133" s="1" t="s">
        <v>54</v>
      </c>
      <c r="D133" s="1">
        <v>0.81979999999999997</v>
      </c>
      <c r="E133" s="1">
        <v>2494</v>
      </c>
      <c r="F133" s="1">
        <v>45452</v>
      </c>
      <c r="G133" s="1">
        <v>0.51670000000000005</v>
      </c>
      <c r="H133" s="1">
        <v>0.72330000000000005</v>
      </c>
      <c r="I133" s="1">
        <v>0.56140000000000001</v>
      </c>
      <c r="J133" s="1">
        <v>58829</v>
      </c>
      <c r="K133" s="1">
        <v>25347</v>
      </c>
      <c r="L133" s="1">
        <v>8416</v>
      </c>
      <c r="M133" s="1">
        <v>14</v>
      </c>
      <c r="N133" s="1" t="s">
        <v>20</v>
      </c>
      <c r="O133" s="1" t="s">
        <v>29</v>
      </c>
      <c r="P133" s="1" t="s">
        <v>22</v>
      </c>
      <c r="Q133" s="1" t="s">
        <v>23</v>
      </c>
      <c r="R133">
        <v>0.90201451361819951</v>
      </c>
    </row>
    <row r="134" spans="1:18" x14ac:dyDescent="0.2">
      <c r="A134" s="1">
        <v>236230</v>
      </c>
      <c r="B134" s="1" t="s">
        <v>196</v>
      </c>
      <c r="C134" s="1" t="s">
        <v>171</v>
      </c>
      <c r="D134" s="1">
        <v>0.7802</v>
      </c>
      <c r="E134" s="1">
        <v>2401</v>
      </c>
      <c r="F134" s="1">
        <v>52254</v>
      </c>
      <c r="G134" s="1">
        <v>0.68569999999999998</v>
      </c>
      <c r="H134" s="1">
        <v>0.81940000000000002</v>
      </c>
      <c r="I134" s="1">
        <v>0.35270000000000001</v>
      </c>
      <c r="J134" s="1">
        <v>66990</v>
      </c>
      <c r="K134" s="1">
        <v>22578</v>
      </c>
      <c r="L134" s="1">
        <v>8581</v>
      </c>
      <c r="M134" s="1">
        <v>12</v>
      </c>
      <c r="N134" s="1" t="s">
        <v>20</v>
      </c>
      <c r="O134" s="1" t="s">
        <v>21</v>
      </c>
      <c r="P134" s="1" t="s">
        <v>22</v>
      </c>
      <c r="Q134" s="1" t="s">
        <v>23</v>
      </c>
      <c r="R134">
        <v>0.90176682262287466</v>
      </c>
    </row>
    <row r="135" spans="1:18" x14ac:dyDescent="0.2">
      <c r="A135" s="1">
        <v>171492</v>
      </c>
      <c r="B135" s="1" t="s">
        <v>197</v>
      </c>
      <c r="C135" s="1" t="s">
        <v>109</v>
      </c>
      <c r="D135" s="1">
        <v>0.64510000000000001</v>
      </c>
      <c r="E135" s="1">
        <v>1974</v>
      </c>
      <c r="F135" s="1">
        <v>34400</v>
      </c>
      <c r="G135" s="1">
        <v>0.63319999999999999</v>
      </c>
      <c r="H135" s="1">
        <v>0.78620000000000001</v>
      </c>
      <c r="I135" s="1">
        <v>0.25690000000000002</v>
      </c>
      <c r="J135" s="1">
        <v>63075</v>
      </c>
      <c r="K135" s="1">
        <v>20842</v>
      </c>
      <c r="L135" s="1">
        <v>8840</v>
      </c>
      <c r="M135" s="1">
        <v>14</v>
      </c>
      <c r="N135" s="1" t="s">
        <v>20</v>
      </c>
      <c r="O135" s="1" t="s">
        <v>29</v>
      </c>
      <c r="P135" s="1" t="s">
        <v>22</v>
      </c>
      <c r="Q135" s="1" t="s">
        <v>23</v>
      </c>
      <c r="R135">
        <v>0.90136484633882508</v>
      </c>
    </row>
    <row r="136" spans="1:18" x14ac:dyDescent="0.2">
      <c r="A136" s="1">
        <v>170976</v>
      </c>
      <c r="B136" s="1" t="s">
        <v>198</v>
      </c>
      <c r="C136" s="1" t="s">
        <v>109</v>
      </c>
      <c r="D136" s="1">
        <v>0.15640000000000001</v>
      </c>
      <c r="E136" s="1">
        <v>34177</v>
      </c>
      <c r="F136" s="1">
        <v>60946</v>
      </c>
      <c r="G136" s="1">
        <v>0.93200000000000005</v>
      </c>
      <c r="H136" s="1">
        <v>0.97470000000000001</v>
      </c>
      <c r="I136" s="1">
        <v>0.18129999999999999</v>
      </c>
      <c r="J136" s="1">
        <v>83648</v>
      </c>
      <c r="K136" s="1">
        <v>19500</v>
      </c>
      <c r="L136" s="1">
        <v>13384</v>
      </c>
      <c r="M136" s="1">
        <v>11</v>
      </c>
      <c r="N136" s="1" t="s">
        <v>28</v>
      </c>
      <c r="O136" s="1" t="s">
        <v>29</v>
      </c>
      <c r="P136" s="1" t="s">
        <v>22</v>
      </c>
      <c r="Q136" s="1" t="s">
        <v>23</v>
      </c>
      <c r="R136">
        <v>0.90110061569243238</v>
      </c>
    </row>
    <row r="137" spans="1:18" x14ac:dyDescent="0.2">
      <c r="A137" s="1">
        <v>202134</v>
      </c>
      <c r="B137" s="1" t="s">
        <v>199</v>
      </c>
      <c r="C137" s="1" t="s">
        <v>19</v>
      </c>
      <c r="D137" s="1">
        <v>0.91300000000000003</v>
      </c>
      <c r="E137" s="1">
        <v>8969</v>
      </c>
      <c r="F137" s="1">
        <v>18510</v>
      </c>
      <c r="G137" s="1">
        <v>0.50570000000000004</v>
      </c>
      <c r="H137" s="1">
        <v>0.70320000000000005</v>
      </c>
      <c r="I137" s="1">
        <v>0.40510000000000002</v>
      </c>
      <c r="J137" s="1">
        <v>52131</v>
      </c>
      <c r="K137" s="1">
        <v>21797</v>
      </c>
      <c r="L137" s="1">
        <v>9480</v>
      </c>
      <c r="M137" s="1">
        <v>16</v>
      </c>
      <c r="N137" s="1" t="s">
        <v>28</v>
      </c>
      <c r="O137" s="1" t="s">
        <v>29</v>
      </c>
      <c r="P137" s="1" t="s">
        <v>22</v>
      </c>
      <c r="Q137" s="1" t="s">
        <v>23</v>
      </c>
      <c r="R137">
        <v>0.90099647850844433</v>
      </c>
    </row>
    <row r="138" spans="1:18" x14ac:dyDescent="0.2">
      <c r="A138" s="1">
        <v>168254</v>
      </c>
      <c r="B138" s="1" t="s">
        <v>200</v>
      </c>
      <c r="C138" s="1" t="s">
        <v>129</v>
      </c>
      <c r="D138" s="1">
        <v>0.83479999999999999</v>
      </c>
      <c r="E138" s="1">
        <v>2603</v>
      </c>
      <c r="F138" s="1">
        <v>47820</v>
      </c>
      <c r="G138" s="1">
        <v>0.63980000000000004</v>
      </c>
      <c r="H138" s="1">
        <v>0.73970000000000002</v>
      </c>
      <c r="I138" s="1">
        <v>0.24460000000000001</v>
      </c>
      <c r="J138" s="1">
        <v>73157</v>
      </c>
      <c r="K138" s="1">
        <v>25500</v>
      </c>
      <c r="L138" s="1">
        <v>10676</v>
      </c>
      <c r="M138" s="1">
        <v>12</v>
      </c>
      <c r="N138" s="1" t="s">
        <v>20</v>
      </c>
      <c r="O138" s="1" t="s">
        <v>29</v>
      </c>
      <c r="P138" s="1" t="s">
        <v>39</v>
      </c>
      <c r="Q138" s="1" t="s">
        <v>23</v>
      </c>
      <c r="R138">
        <v>0.90041229440149662</v>
      </c>
    </row>
    <row r="139" spans="1:18" x14ac:dyDescent="0.2">
      <c r="A139" s="1">
        <v>440828</v>
      </c>
      <c r="B139" s="1" t="s">
        <v>201</v>
      </c>
      <c r="C139" s="1" t="s">
        <v>79</v>
      </c>
      <c r="D139" s="1">
        <v>0.63109999999999999</v>
      </c>
      <c r="E139" s="1">
        <v>1044</v>
      </c>
      <c r="F139" s="1">
        <v>37356</v>
      </c>
      <c r="G139" s="1">
        <v>0.55559999999999998</v>
      </c>
      <c r="H139" s="1">
        <v>0.75</v>
      </c>
      <c r="I139" s="1">
        <v>0.27410000000000001</v>
      </c>
      <c r="J139" s="1">
        <v>64010</v>
      </c>
      <c r="K139" s="1">
        <v>21221</v>
      </c>
      <c r="L139" s="1">
        <v>11502</v>
      </c>
      <c r="M139" s="1">
        <v>9</v>
      </c>
      <c r="N139" s="1" t="s">
        <v>28</v>
      </c>
      <c r="O139" s="1" t="s">
        <v>29</v>
      </c>
      <c r="P139" s="1" t="s">
        <v>22</v>
      </c>
      <c r="Q139" s="1" t="s">
        <v>23</v>
      </c>
      <c r="R139">
        <v>0.90014511582694612</v>
      </c>
    </row>
    <row r="140" spans="1:18" x14ac:dyDescent="0.2">
      <c r="A140" s="1">
        <v>157757</v>
      </c>
      <c r="B140" s="1" t="s">
        <v>202</v>
      </c>
      <c r="C140" s="1" t="s">
        <v>104</v>
      </c>
      <c r="D140" s="1">
        <v>0.99450000000000005</v>
      </c>
      <c r="E140" s="1">
        <v>583</v>
      </c>
      <c r="F140" s="1">
        <v>29200</v>
      </c>
      <c r="G140" s="1">
        <v>0.51670000000000005</v>
      </c>
      <c r="H140" s="1">
        <v>0.64039999999999997</v>
      </c>
      <c r="I140" s="1">
        <v>0.35830000000000001</v>
      </c>
      <c r="J140" s="1">
        <v>49438</v>
      </c>
      <c r="K140" s="1">
        <v>25250</v>
      </c>
      <c r="L140" s="1">
        <v>8066</v>
      </c>
      <c r="M140" s="1">
        <v>9</v>
      </c>
      <c r="N140" s="1" t="s">
        <v>20</v>
      </c>
      <c r="O140" s="1" t="s">
        <v>29</v>
      </c>
      <c r="P140" s="1" t="s">
        <v>30</v>
      </c>
      <c r="Q140" s="1" t="s">
        <v>31</v>
      </c>
      <c r="R140">
        <v>0.89916004162128715</v>
      </c>
    </row>
    <row r="141" spans="1:18" x14ac:dyDescent="0.2">
      <c r="A141" s="1">
        <v>234085</v>
      </c>
      <c r="B141" s="1" t="s">
        <v>203</v>
      </c>
      <c r="C141" s="1" t="s">
        <v>52</v>
      </c>
      <c r="D141" s="1">
        <v>0.71250000000000002</v>
      </c>
      <c r="E141" s="1">
        <v>1527</v>
      </c>
      <c r="F141" s="1">
        <v>52638</v>
      </c>
      <c r="G141" s="1">
        <v>0.7621</v>
      </c>
      <c r="H141" s="1">
        <v>0.80979999999999996</v>
      </c>
      <c r="I141" s="1">
        <v>0.16470000000000001</v>
      </c>
      <c r="J141" s="1">
        <v>77369</v>
      </c>
      <c r="K141" s="1">
        <v>22996</v>
      </c>
      <c r="L141" s="1">
        <v>9070</v>
      </c>
      <c r="M141" s="1">
        <v>9</v>
      </c>
      <c r="N141" s="1" t="s">
        <v>28</v>
      </c>
      <c r="O141" s="1" t="s">
        <v>42</v>
      </c>
      <c r="P141" s="1" t="s">
        <v>30</v>
      </c>
      <c r="Q141" s="1" t="s">
        <v>23</v>
      </c>
      <c r="R141">
        <v>0.89915559040746906</v>
      </c>
    </row>
    <row r="142" spans="1:18" x14ac:dyDescent="0.2">
      <c r="A142" s="1">
        <v>219091</v>
      </c>
      <c r="B142" s="1" t="s">
        <v>204</v>
      </c>
      <c r="C142" s="1" t="s">
        <v>41</v>
      </c>
      <c r="D142" s="1">
        <v>0.73380000000000001</v>
      </c>
      <c r="E142" s="1">
        <v>670</v>
      </c>
      <c r="F142" s="1">
        <v>33790</v>
      </c>
      <c r="G142" s="1">
        <v>0.48320000000000002</v>
      </c>
      <c r="H142" s="1">
        <v>0.75139999999999996</v>
      </c>
      <c r="I142" s="1">
        <v>0.2712</v>
      </c>
      <c r="J142" s="1">
        <v>53728</v>
      </c>
      <c r="K142" s="1">
        <v>27000</v>
      </c>
      <c r="L142" s="1">
        <v>6962</v>
      </c>
      <c r="M142" s="1">
        <v>12</v>
      </c>
      <c r="N142" s="1" t="s">
        <v>20</v>
      </c>
      <c r="O142" s="1" t="s">
        <v>42</v>
      </c>
      <c r="P142" s="1" t="s">
        <v>22</v>
      </c>
      <c r="Q142" s="1" t="s">
        <v>23</v>
      </c>
      <c r="R142">
        <v>0.8983472003968167</v>
      </c>
    </row>
    <row r="143" spans="1:18" x14ac:dyDescent="0.2">
      <c r="A143" s="1">
        <v>222831</v>
      </c>
      <c r="B143" s="1" t="s">
        <v>205</v>
      </c>
      <c r="C143" s="1" t="s">
        <v>36</v>
      </c>
      <c r="D143" s="1">
        <v>0.83009999999999995</v>
      </c>
      <c r="E143" s="1">
        <v>5643</v>
      </c>
      <c r="F143" s="1">
        <v>18300</v>
      </c>
      <c r="G143" s="1">
        <v>0.43969999999999998</v>
      </c>
      <c r="H143" s="1">
        <v>0.68640000000000001</v>
      </c>
      <c r="I143" s="1">
        <v>0.27639999999999998</v>
      </c>
      <c r="J143" s="1">
        <v>50116</v>
      </c>
      <c r="K143" s="1">
        <v>20000</v>
      </c>
      <c r="L143" s="1">
        <v>8211</v>
      </c>
      <c r="M143" s="1">
        <v>19</v>
      </c>
      <c r="N143" s="1" t="s">
        <v>28</v>
      </c>
      <c r="O143" s="1" t="s">
        <v>29</v>
      </c>
      <c r="P143" s="1" t="s">
        <v>30</v>
      </c>
      <c r="Q143" s="1" t="s">
        <v>23</v>
      </c>
      <c r="R143">
        <v>0.89608486667961396</v>
      </c>
    </row>
    <row r="144" spans="1:18" x14ac:dyDescent="0.2">
      <c r="A144" s="1">
        <v>148405</v>
      </c>
      <c r="B144" s="1" t="s">
        <v>206</v>
      </c>
      <c r="C144" s="1" t="s">
        <v>25</v>
      </c>
      <c r="D144" s="1">
        <v>0.92910000000000004</v>
      </c>
      <c r="E144" s="1">
        <v>972</v>
      </c>
      <c r="F144" s="1">
        <v>37780</v>
      </c>
      <c r="G144" s="1">
        <v>0.47199999999999998</v>
      </c>
      <c r="H144" s="1">
        <v>0.65259999999999996</v>
      </c>
      <c r="I144" s="1">
        <v>0.48349999999999999</v>
      </c>
      <c r="J144" s="1">
        <v>54794</v>
      </c>
      <c r="K144" s="1">
        <v>22274</v>
      </c>
      <c r="L144" s="1">
        <v>6658</v>
      </c>
      <c r="M144" s="1">
        <v>10</v>
      </c>
      <c r="N144" s="1" t="s">
        <v>20</v>
      </c>
      <c r="O144" s="1" t="s">
        <v>29</v>
      </c>
      <c r="P144" s="1" t="s">
        <v>22</v>
      </c>
      <c r="Q144" s="1" t="s">
        <v>23</v>
      </c>
      <c r="R144">
        <v>0.89590152262128664</v>
      </c>
    </row>
    <row r="145" spans="1:18" x14ac:dyDescent="0.2">
      <c r="A145" s="1">
        <v>126562</v>
      </c>
      <c r="B145" s="1" t="s">
        <v>207</v>
      </c>
      <c r="C145" s="1" t="s">
        <v>161</v>
      </c>
      <c r="D145" s="1">
        <v>0.74680000000000002</v>
      </c>
      <c r="E145" s="1">
        <v>10519</v>
      </c>
      <c r="F145" s="1">
        <v>29391</v>
      </c>
      <c r="G145" s="1">
        <v>0.46150000000000002</v>
      </c>
      <c r="H145" s="1">
        <v>0.72650000000000003</v>
      </c>
      <c r="I145" s="1">
        <v>0.2616</v>
      </c>
      <c r="J145" s="1">
        <v>64270</v>
      </c>
      <c r="K145" s="1">
        <v>20500</v>
      </c>
      <c r="L145" s="1">
        <v>12152</v>
      </c>
      <c r="M145" s="1">
        <v>17</v>
      </c>
      <c r="N145" s="1" t="s">
        <v>28</v>
      </c>
      <c r="O145" s="1" t="s">
        <v>29</v>
      </c>
      <c r="P145" s="1" t="s">
        <v>22</v>
      </c>
      <c r="Q145" s="1" t="s">
        <v>23</v>
      </c>
      <c r="R145">
        <v>0.89567162386886268</v>
      </c>
    </row>
    <row r="146" spans="1:18" x14ac:dyDescent="0.2">
      <c r="A146" s="1">
        <v>137476</v>
      </c>
      <c r="B146" s="1" t="s">
        <v>208</v>
      </c>
      <c r="C146" s="1" t="s">
        <v>27</v>
      </c>
      <c r="D146" s="1">
        <v>0.97909999999999997</v>
      </c>
      <c r="E146" s="1">
        <v>2214</v>
      </c>
      <c r="F146" s="1">
        <v>34770</v>
      </c>
      <c r="G146" s="1">
        <v>0.48060000000000003</v>
      </c>
      <c r="H146" s="1">
        <v>0.56559999999999999</v>
      </c>
      <c r="I146" s="1">
        <v>0.2697</v>
      </c>
      <c r="J146" s="1">
        <v>54272</v>
      </c>
      <c r="K146" s="1">
        <v>19125</v>
      </c>
      <c r="L146" s="1">
        <v>8625</v>
      </c>
      <c r="M146" s="1">
        <v>17</v>
      </c>
      <c r="N146" s="1" t="s">
        <v>20</v>
      </c>
      <c r="O146" s="1" t="s">
        <v>21</v>
      </c>
      <c r="P146" s="1" t="s">
        <v>30</v>
      </c>
      <c r="Q146" s="1" t="s">
        <v>23</v>
      </c>
      <c r="R146">
        <v>0.8956277564610694</v>
      </c>
    </row>
    <row r="147" spans="1:18" x14ac:dyDescent="0.2">
      <c r="A147" s="1">
        <v>211468</v>
      </c>
      <c r="B147" s="1" t="s">
        <v>209</v>
      </c>
      <c r="C147" s="1" t="s">
        <v>98</v>
      </c>
      <c r="D147" s="1">
        <v>0.8407</v>
      </c>
      <c r="E147" s="1">
        <v>834</v>
      </c>
      <c r="F147" s="1">
        <v>46314</v>
      </c>
      <c r="G147" s="1">
        <v>0.60389999999999999</v>
      </c>
      <c r="H147" s="1">
        <v>0.7097</v>
      </c>
      <c r="I147" s="1">
        <v>0.43569999999999998</v>
      </c>
      <c r="J147" s="1">
        <v>59460</v>
      </c>
      <c r="K147" s="1">
        <v>27000</v>
      </c>
      <c r="L147" s="1">
        <v>7285</v>
      </c>
      <c r="M147" s="1">
        <v>9</v>
      </c>
      <c r="N147" s="1" t="s">
        <v>20</v>
      </c>
      <c r="O147" s="1" t="s">
        <v>29</v>
      </c>
      <c r="P147" s="1" t="s">
        <v>39</v>
      </c>
      <c r="Q147" s="1" t="s">
        <v>23</v>
      </c>
      <c r="R147">
        <v>0.89538130611418831</v>
      </c>
    </row>
    <row r="148" spans="1:18" x14ac:dyDescent="0.2">
      <c r="A148" s="1">
        <v>198543</v>
      </c>
      <c r="B148" s="1" t="s">
        <v>210</v>
      </c>
      <c r="C148" s="1" t="s">
        <v>86</v>
      </c>
      <c r="D148" s="1">
        <v>0.82150000000000001</v>
      </c>
      <c r="E148" s="1">
        <v>5762</v>
      </c>
      <c r="F148" s="1">
        <v>8353</v>
      </c>
      <c r="G148" s="1">
        <v>0.3846</v>
      </c>
      <c r="H148" s="1">
        <v>0.75290000000000001</v>
      </c>
      <c r="I148" s="1">
        <v>0.56599999999999995</v>
      </c>
      <c r="J148" s="1">
        <v>40144</v>
      </c>
      <c r="K148" s="1">
        <v>22987</v>
      </c>
      <c r="L148" s="1">
        <v>9421</v>
      </c>
      <c r="M148" s="1">
        <v>20</v>
      </c>
      <c r="N148" s="1" t="s">
        <v>28</v>
      </c>
      <c r="O148" s="1" t="s">
        <v>29</v>
      </c>
      <c r="P148" s="1" t="s">
        <v>30</v>
      </c>
      <c r="Q148" s="1" t="s">
        <v>31</v>
      </c>
      <c r="R148">
        <v>0.89503778385110899</v>
      </c>
    </row>
    <row r="149" spans="1:18" x14ac:dyDescent="0.2">
      <c r="A149" s="1">
        <v>136774</v>
      </c>
      <c r="B149" s="1" t="s">
        <v>211</v>
      </c>
      <c r="C149" s="1" t="s">
        <v>27</v>
      </c>
      <c r="D149" s="1">
        <v>0.69650000000000001</v>
      </c>
      <c r="E149" s="1">
        <v>1662</v>
      </c>
      <c r="F149" s="1">
        <v>57900</v>
      </c>
      <c r="G149" s="1">
        <v>0.72070000000000001</v>
      </c>
      <c r="H149" s="1">
        <v>0.86350000000000005</v>
      </c>
      <c r="I149" s="1">
        <v>0.21079999999999999</v>
      </c>
      <c r="J149" s="1">
        <v>43325</v>
      </c>
      <c r="K149" s="1">
        <v>27000</v>
      </c>
      <c r="L149" s="1">
        <v>9869</v>
      </c>
      <c r="M149" s="1">
        <v>11</v>
      </c>
      <c r="N149" s="1" t="s">
        <v>20</v>
      </c>
      <c r="O149" s="1" t="s">
        <v>29</v>
      </c>
      <c r="P149" s="1" t="s">
        <v>30</v>
      </c>
      <c r="Q149" s="1" t="s">
        <v>31</v>
      </c>
      <c r="R149">
        <v>0.89488053122636224</v>
      </c>
    </row>
    <row r="150" spans="1:18" x14ac:dyDescent="0.2">
      <c r="A150" s="1">
        <v>145691</v>
      </c>
      <c r="B150" s="1" t="s">
        <v>212</v>
      </c>
      <c r="C150" s="1" t="s">
        <v>25</v>
      </c>
      <c r="D150" s="1">
        <v>0.78190000000000004</v>
      </c>
      <c r="E150" s="1">
        <v>930</v>
      </c>
      <c r="F150" s="1">
        <v>38676</v>
      </c>
      <c r="G150" s="1">
        <v>0.63819999999999999</v>
      </c>
      <c r="H150" s="1">
        <v>0.70630000000000004</v>
      </c>
      <c r="I150" s="1">
        <v>0.38390000000000002</v>
      </c>
      <c r="J150" s="1">
        <v>52575</v>
      </c>
      <c r="K150" s="1">
        <v>25565</v>
      </c>
      <c r="L150" s="1">
        <v>7671</v>
      </c>
      <c r="M150" s="1">
        <v>12</v>
      </c>
      <c r="N150" s="1" t="s">
        <v>20</v>
      </c>
      <c r="O150" s="1" t="s">
        <v>42</v>
      </c>
      <c r="P150" s="1" t="s">
        <v>22</v>
      </c>
      <c r="Q150" s="1" t="s">
        <v>23</v>
      </c>
      <c r="R150">
        <v>0.89406600008431181</v>
      </c>
    </row>
    <row r="151" spans="1:18" x14ac:dyDescent="0.2">
      <c r="A151" s="1">
        <v>100706</v>
      </c>
      <c r="B151" s="1" t="s">
        <v>213</v>
      </c>
      <c r="C151" s="1" t="s">
        <v>177</v>
      </c>
      <c r="D151" s="1">
        <v>0.68569999999999998</v>
      </c>
      <c r="E151" s="1">
        <v>6591</v>
      </c>
      <c r="F151" s="1">
        <v>26408</v>
      </c>
      <c r="G151" s="1">
        <v>0.64290000000000003</v>
      </c>
      <c r="H151" s="1">
        <v>0.84250000000000003</v>
      </c>
      <c r="I151" s="1">
        <v>0.24640000000000001</v>
      </c>
      <c r="J151" s="1">
        <v>61767</v>
      </c>
      <c r="K151" s="1">
        <v>20705</v>
      </c>
      <c r="L151" s="1">
        <v>10639</v>
      </c>
      <c r="M151" s="1">
        <v>17</v>
      </c>
      <c r="N151" s="1" t="s">
        <v>28</v>
      </c>
      <c r="O151" s="1" t="s">
        <v>29</v>
      </c>
      <c r="P151" s="1" t="s">
        <v>30</v>
      </c>
      <c r="Q151" s="1" t="s">
        <v>23</v>
      </c>
      <c r="R151">
        <v>0.89053757594699257</v>
      </c>
    </row>
    <row r="152" spans="1:18" x14ac:dyDescent="0.2">
      <c r="A152" s="1">
        <v>157818</v>
      </c>
      <c r="B152" s="1" t="s">
        <v>214</v>
      </c>
      <c r="C152" s="1" t="s">
        <v>104</v>
      </c>
      <c r="D152" s="1">
        <v>0.86550000000000005</v>
      </c>
      <c r="E152" s="1">
        <v>1005</v>
      </c>
      <c r="F152" s="1">
        <v>46870</v>
      </c>
      <c r="G152" s="1">
        <v>0.71479999999999999</v>
      </c>
      <c r="H152" s="1">
        <v>0.87050000000000005</v>
      </c>
      <c r="I152" s="1">
        <v>0.26250000000000001</v>
      </c>
      <c r="J152" s="1">
        <v>54705</v>
      </c>
      <c r="K152" s="1">
        <v>27000</v>
      </c>
      <c r="L152" s="1">
        <v>10145</v>
      </c>
      <c r="M152" s="1">
        <v>10</v>
      </c>
      <c r="N152" s="1" t="s">
        <v>20</v>
      </c>
      <c r="O152" s="1" t="s">
        <v>29</v>
      </c>
      <c r="P152" s="1" t="s">
        <v>30</v>
      </c>
      <c r="Q152" s="1" t="s">
        <v>23</v>
      </c>
      <c r="R152">
        <v>0.89000586187265152</v>
      </c>
    </row>
    <row r="153" spans="1:18" x14ac:dyDescent="0.2">
      <c r="A153" s="1">
        <v>105899</v>
      </c>
      <c r="B153" s="1" t="s">
        <v>215</v>
      </c>
      <c r="C153" s="1" t="s">
        <v>216</v>
      </c>
      <c r="D153" s="1">
        <v>0.70620000000000005</v>
      </c>
      <c r="E153" s="1">
        <v>1165</v>
      </c>
      <c r="F153" s="1">
        <v>35098</v>
      </c>
      <c r="G153" s="1">
        <v>0.3987</v>
      </c>
      <c r="H153" s="1">
        <v>0.53720000000000001</v>
      </c>
      <c r="I153" s="1">
        <v>0.33879999999999999</v>
      </c>
      <c r="J153" s="1">
        <v>51612</v>
      </c>
      <c r="K153" s="1">
        <v>23000</v>
      </c>
      <c r="L153" s="1">
        <v>5223</v>
      </c>
      <c r="M153" s="1">
        <v>16</v>
      </c>
      <c r="N153" s="1" t="s">
        <v>20</v>
      </c>
      <c r="O153" s="1" t="s">
        <v>21</v>
      </c>
      <c r="P153" s="1" t="s">
        <v>22</v>
      </c>
      <c r="Q153" s="1" t="s">
        <v>23</v>
      </c>
      <c r="R153">
        <v>0.88975761887150984</v>
      </c>
    </row>
    <row r="154" spans="1:18" x14ac:dyDescent="0.2">
      <c r="A154" s="1">
        <v>224323</v>
      </c>
      <c r="B154" s="1" t="s">
        <v>217</v>
      </c>
      <c r="C154" s="1" t="s">
        <v>36</v>
      </c>
      <c r="D154" s="1">
        <v>0.53439999999999999</v>
      </c>
      <c r="E154" s="1">
        <v>1403</v>
      </c>
      <c r="F154" s="1">
        <v>53930</v>
      </c>
      <c r="G154" s="1">
        <v>0.73070000000000002</v>
      </c>
      <c r="H154" s="1">
        <v>0.77229999999999999</v>
      </c>
      <c r="I154" s="1">
        <v>0.25929999999999997</v>
      </c>
      <c r="J154" s="1">
        <v>58285</v>
      </c>
      <c r="K154" s="1">
        <v>23117</v>
      </c>
      <c r="L154" s="1">
        <v>8867</v>
      </c>
      <c r="M154" s="1">
        <v>11</v>
      </c>
      <c r="N154" s="1" t="s">
        <v>20</v>
      </c>
      <c r="O154" s="1" t="s">
        <v>29</v>
      </c>
      <c r="P154" s="1" t="s">
        <v>30</v>
      </c>
      <c r="Q154" s="1" t="s">
        <v>23</v>
      </c>
      <c r="R154">
        <v>0.88873469873168087</v>
      </c>
    </row>
    <row r="155" spans="1:18" x14ac:dyDescent="0.2">
      <c r="A155" s="1">
        <v>202480</v>
      </c>
      <c r="B155" s="1" t="s">
        <v>218</v>
      </c>
      <c r="C155" s="1" t="s">
        <v>19</v>
      </c>
      <c r="D155" s="1">
        <v>0.65449999999999997</v>
      </c>
      <c r="E155" s="1">
        <v>7682</v>
      </c>
      <c r="F155" s="1">
        <v>49140</v>
      </c>
      <c r="G155" s="1">
        <v>0.80179999999999996</v>
      </c>
      <c r="H155" s="1">
        <v>0.89059999999999995</v>
      </c>
      <c r="I155" s="1">
        <v>0.15809999999999999</v>
      </c>
      <c r="J155" s="1">
        <v>75537</v>
      </c>
      <c r="K155" s="1">
        <v>23250</v>
      </c>
      <c r="L155" s="1">
        <v>9699</v>
      </c>
      <c r="M155" s="1">
        <v>14</v>
      </c>
      <c r="N155" s="1" t="s">
        <v>20</v>
      </c>
      <c r="O155" s="1" t="s">
        <v>29</v>
      </c>
      <c r="P155" s="1" t="s">
        <v>22</v>
      </c>
      <c r="Q155" s="1" t="s">
        <v>23</v>
      </c>
      <c r="R155">
        <v>0.88651394927311611</v>
      </c>
    </row>
    <row r="156" spans="1:18" x14ac:dyDescent="0.2">
      <c r="A156" s="1">
        <v>120254</v>
      </c>
      <c r="B156" s="1" t="s">
        <v>219</v>
      </c>
      <c r="C156" s="1" t="s">
        <v>33</v>
      </c>
      <c r="D156" s="1">
        <v>0.44169999999999998</v>
      </c>
      <c r="E156" s="1">
        <v>1877</v>
      </c>
      <c r="F156" s="1">
        <v>66274</v>
      </c>
      <c r="G156" s="1">
        <v>0.80879999999999996</v>
      </c>
      <c r="H156" s="1">
        <v>0.89849999999999997</v>
      </c>
      <c r="I156" s="1">
        <v>0.1656</v>
      </c>
      <c r="J156" s="1">
        <v>75951</v>
      </c>
      <c r="K156" s="1">
        <v>23000</v>
      </c>
      <c r="L156" s="1">
        <v>12349</v>
      </c>
      <c r="M156" s="1">
        <v>9</v>
      </c>
      <c r="N156" s="1" t="s">
        <v>20</v>
      </c>
      <c r="O156" s="1" t="s">
        <v>29</v>
      </c>
      <c r="P156" s="1" t="s">
        <v>22</v>
      </c>
      <c r="Q156" s="1" t="s">
        <v>23</v>
      </c>
      <c r="R156">
        <v>0.88619293585320358</v>
      </c>
    </row>
    <row r="157" spans="1:18" x14ac:dyDescent="0.2">
      <c r="A157" s="1">
        <v>180878</v>
      </c>
      <c r="B157" s="1" t="s">
        <v>220</v>
      </c>
      <c r="C157" s="1" t="s">
        <v>221</v>
      </c>
      <c r="D157" s="1">
        <v>0.67369999999999997</v>
      </c>
      <c r="E157" s="1">
        <v>553</v>
      </c>
      <c r="F157" s="1">
        <v>20640</v>
      </c>
      <c r="G157" s="1">
        <v>0.7</v>
      </c>
      <c r="H157" s="1">
        <v>0.71109999999999995</v>
      </c>
      <c r="I157" s="1">
        <v>0.2787</v>
      </c>
      <c r="J157" s="1">
        <v>70845</v>
      </c>
      <c r="K157" s="1">
        <v>24985</v>
      </c>
      <c r="L157" s="1">
        <v>9196</v>
      </c>
      <c r="M157" s="1">
        <v>9</v>
      </c>
      <c r="N157" s="1" t="s">
        <v>20</v>
      </c>
      <c r="O157" s="1" t="s">
        <v>29</v>
      </c>
      <c r="P157" s="1" t="s">
        <v>22</v>
      </c>
      <c r="Q157" s="1" t="s">
        <v>23</v>
      </c>
      <c r="R157">
        <v>0.88601824501697879</v>
      </c>
    </row>
    <row r="158" spans="1:18" x14ac:dyDescent="0.2">
      <c r="A158" s="1">
        <v>232706</v>
      </c>
      <c r="B158" s="1" t="s">
        <v>222</v>
      </c>
      <c r="C158" s="1" t="s">
        <v>52</v>
      </c>
      <c r="D158" s="1">
        <v>0.93159999999999998</v>
      </c>
      <c r="E158" s="1">
        <v>1810</v>
      </c>
      <c r="F158" s="1">
        <v>40920</v>
      </c>
      <c r="G158" s="1">
        <v>0.53510000000000002</v>
      </c>
      <c r="H158" s="1">
        <v>0.72589999999999999</v>
      </c>
      <c r="I158" s="1">
        <v>0.2306</v>
      </c>
      <c r="J158" s="1">
        <v>67516</v>
      </c>
      <c r="K158" s="1">
        <v>25000</v>
      </c>
      <c r="L158" s="1">
        <v>9455</v>
      </c>
      <c r="M158" s="1">
        <v>14</v>
      </c>
      <c r="N158" s="1" t="s">
        <v>20</v>
      </c>
      <c r="O158" s="1" t="s">
        <v>29</v>
      </c>
      <c r="P158" s="1" t="s">
        <v>30</v>
      </c>
      <c r="Q158" s="1" t="s">
        <v>23</v>
      </c>
      <c r="R158">
        <v>0.88586604556811477</v>
      </c>
    </row>
    <row r="159" spans="1:18" x14ac:dyDescent="0.2">
      <c r="A159" s="1">
        <v>245953</v>
      </c>
      <c r="B159" s="1" t="s">
        <v>223</v>
      </c>
      <c r="C159" s="1" t="s">
        <v>224</v>
      </c>
      <c r="D159" s="1">
        <v>0.91759999999999997</v>
      </c>
      <c r="E159" s="1">
        <v>1666</v>
      </c>
      <c r="F159" s="1">
        <v>21294</v>
      </c>
      <c r="G159" s="1">
        <v>0.44230000000000003</v>
      </c>
      <c r="H159" s="1">
        <v>0.65149999999999997</v>
      </c>
      <c r="I159" s="1">
        <v>0.52869999999999995</v>
      </c>
      <c r="J159" s="1">
        <v>46116</v>
      </c>
      <c r="K159" s="1">
        <v>26394</v>
      </c>
      <c r="L159" s="1">
        <v>5970</v>
      </c>
      <c r="M159" s="1">
        <v>14</v>
      </c>
      <c r="N159" s="1" t="s">
        <v>20</v>
      </c>
      <c r="O159" s="1" t="s">
        <v>29</v>
      </c>
      <c r="P159" s="1" t="s">
        <v>30</v>
      </c>
      <c r="Q159" s="1" t="s">
        <v>31</v>
      </c>
      <c r="R159">
        <v>0.88289817580874064</v>
      </c>
    </row>
    <row r="160" spans="1:18" x14ac:dyDescent="0.2">
      <c r="A160" s="1">
        <v>169479</v>
      </c>
      <c r="B160" s="1" t="s">
        <v>225</v>
      </c>
      <c r="C160" s="1" t="s">
        <v>109</v>
      </c>
      <c r="D160" s="1">
        <v>0.97840000000000005</v>
      </c>
      <c r="E160" s="1">
        <v>3134</v>
      </c>
      <c r="F160" s="1">
        <v>24466</v>
      </c>
      <c r="G160" s="1">
        <v>0.56589999999999996</v>
      </c>
      <c r="H160" s="1">
        <v>0.82050000000000001</v>
      </c>
      <c r="I160" s="1">
        <v>0.33800000000000002</v>
      </c>
      <c r="J160" s="1">
        <v>45099</v>
      </c>
      <c r="K160" s="1">
        <v>26000</v>
      </c>
      <c r="L160" s="1">
        <v>7047</v>
      </c>
      <c r="M160" s="1">
        <v>18</v>
      </c>
      <c r="N160" s="1" t="s">
        <v>20</v>
      </c>
      <c r="O160" s="1" t="s">
        <v>21</v>
      </c>
      <c r="P160" s="1" t="s">
        <v>22</v>
      </c>
      <c r="Q160" s="1" t="s">
        <v>31</v>
      </c>
      <c r="R160">
        <v>0.88278766615152804</v>
      </c>
    </row>
    <row r="161" spans="1:18" x14ac:dyDescent="0.2">
      <c r="A161" s="1">
        <v>141361</v>
      </c>
      <c r="B161" s="1" t="s">
        <v>226</v>
      </c>
      <c r="C161" s="1" t="s">
        <v>126</v>
      </c>
      <c r="D161" s="1">
        <v>0.62639999999999996</v>
      </c>
      <c r="E161" s="1">
        <v>755</v>
      </c>
      <c r="F161" s="1">
        <v>32305</v>
      </c>
      <c r="G161" s="1">
        <v>0.41749999999999998</v>
      </c>
      <c r="H161" s="1">
        <v>0.64610000000000001</v>
      </c>
      <c r="I161" s="1">
        <v>0.20380000000000001</v>
      </c>
      <c r="J161" s="1">
        <v>47195</v>
      </c>
      <c r="K161" s="1">
        <v>27000</v>
      </c>
      <c r="L161" s="1">
        <v>6302</v>
      </c>
      <c r="M161" s="1">
        <v>13</v>
      </c>
      <c r="N161" s="1" t="s">
        <v>20</v>
      </c>
      <c r="O161" s="1" t="s">
        <v>42</v>
      </c>
      <c r="P161" s="1" t="s">
        <v>30</v>
      </c>
      <c r="Q161" s="1" t="s">
        <v>31</v>
      </c>
      <c r="R161">
        <v>0.88170059148920876</v>
      </c>
    </row>
    <row r="162" spans="1:18" x14ac:dyDescent="0.2">
      <c r="A162" s="1">
        <v>188526</v>
      </c>
      <c r="B162" s="1" t="s">
        <v>227</v>
      </c>
      <c r="C162" s="1" t="s">
        <v>58</v>
      </c>
      <c r="D162" s="1">
        <v>0.52690000000000003</v>
      </c>
      <c r="E162" s="1">
        <v>481</v>
      </c>
      <c r="F162" s="1">
        <v>41475</v>
      </c>
      <c r="G162" s="1">
        <v>0.6754</v>
      </c>
      <c r="H162" s="1">
        <v>0.85819999999999996</v>
      </c>
      <c r="I162" s="1">
        <v>0.2888</v>
      </c>
      <c r="J162" s="1">
        <v>131426</v>
      </c>
      <c r="K162" s="1">
        <v>25500</v>
      </c>
      <c r="L162" s="1">
        <v>10066</v>
      </c>
      <c r="M162" s="1">
        <v>10</v>
      </c>
      <c r="N162" s="1" t="s">
        <v>20</v>
      </c>
      <c r="O162" s="1" t="s">
        <v>29</v>
      </c>
      <c r="P162" s="1" t="s">
        <v>39</v>
      </c>
      <c r="Q162" s="1" t="s">
        <v>23</v>
      </c>
      <c r="R162">
        <v>0.88133033127527227</v>
      </c>
    </row>
    <row r="163" spans="1:18" x14ac:dyDescent="0.2">
      <c r="A163" s="1">
        <v>168740</v>
      </c>
      <c r="B163" s="1" t="s">
        <v>228</v>
      </c>
      <c r="C163" s="1" t="s">
        <v>109</v>
      </c>
      <c r="D163" s="1">
        <v>0.81850000000000001</v>
      </c>
      <c r="E163" s="1">
        <v>1224</v>
      </c>
      <c r="F163" s="1">
        <v>35056</v>
      </c>
      <c r="G163" s="1">
        <v>0.71530000000000005</v>
      </c>
      <c r="H163" s="1">
        <v>0.83209999999999995</v>
      </c>
      <c r="I163" s="1">
        <v>0.24709999999999999</v>
      </c>
      <c r="J163" s="1">
        <v>53187</v>
      </c>
      <c r="K163" s="1">
        <v>26000</v>
      </c>
      <c r="L163" s="1">
        <v>7256</v>
      </c>
      <c r="M163" s="1">
        <v>10</v>
      </c>
      <c r="N163" s="1" t="s">
        <v>20</v>
      </c>
      <c r="O163" s="1" t="s">
        <v>42</v>
      </c>
      <c r="P163" s="1" t="s">
        <v>22</v>
      </c>
      <c r="Q163" s="1" t="s">
        <v>23</v>
      </c>
      <c r="R163">
        <v>0.87986509772694432</v>
      </c>
    </row>
    <row r="164" spans="1:18" x14ac:dyDescent="0.2">
      <c r="A164" s="1">
        <v>226091</v>
      </c>
      <c r="B164" s="1" t="s">
        <v>229</v>
      </c>
      <c r="C164" s="1" t="s">
        <v>36</v>
      </c>
      <c r="D164" s="1">
        <v>0.86409999999999998</v>
      </c>
      <c r="E164" s="1">
        <v>8150</v>
      </c>
      <c r="F164" s="1">
        <v>18745</v>
      </c>
      <c r="G164" s="1">
        <v>0.37319999999999998</v>
      </c>
      <c r="H164" s="1">
        <v>0.61870000000000003</v>
      </c>
      <c r="I164" s="1">
        <v>0.46489999999999998</v>
      </c>
      <c r="J164" s="1">
        <v>49652</v>
      </c>
      <c r="K164" s="1">
        <v>21250</v>
      </c>
      <c r="L164" s="1">
        <v>9286</v>
      </c>
      <c r="M164" s="1">
        <v>20</v>
      </c>
      <c r="N164" s="1" t="s">
        <v>28</v>
      </c>
      <c r="O164" s="1" t="s">
        <v>29</v>
      </c>
      <c r="P164" s="1" t="s">
        <v>30</v>
      </c>
      <c r="Q164" s="1" t="s">
        <v>31</v>
      </c>
      <c r="R164">
        <v>0.87817417743299209</v>
      </c>
    </row>
    <row r="165" spans="1:18" x14ac:dyDescent="0.2">
      <c r="A165" s="1">
        <v>180984</v>
      </c>
      <c r="B165" s="1" t="s">
        <v>230</v>
      </c>
      <c r="C165" s="1" t="s">
        <v>221</v>
      </c>
      <c r="D165" s="1">
        <v>0.85719999999999996</v>
      </c>
      <c r="E165" s="1">
        <v>1283</v>
      </c>
      <c r="F165" s="1">
        <v>40640</v>
      </c>
      <c r="G165" s="1">
        <v>0.64890000000000003</v>
      </c>
      <c r="H165" s="1">
        <v>0.79530000000000001</v>
      </c>
      <c r="I165" s="1">
        <v>0.1138</v>
      </c>
      <c r="J165" s="1">
        <v>52415</v>
      </c>
      <c r="K165" s="1">
        <v>25750</v>
      </c>
      <c r="L165" s="1">
        <v>6919</v>
      </c>
      <c r="M165" s="1">
        <v>14</v>
      </c>
      <c r="N165" s="1" t="s">
        <v>20</v>
      </c>
      <c r="O165" s="1" t="s">
        <v>42</v>
      </c>
      <c r="P165" s="1" t="s">
        <v>22</v>
      </c>
      <c r="Q165" s="1" t="s">
        <v>23</v>
      </c>
      <c r="R165">
        <v>0.87699099678536818</v>
      </c>
    </row>
    <row r="166" spans="1:18" x14ac:dyDescent="0.2">
      <c r="A166" s="1">
        <v>180416</v>
      </c>
      <c r="B166" s="1" t="s">
        <v>231</v>
      </c>
      <c r="C166" s="1" t="s">
        <v>95</v>
      </c>
      <c r="D166" s="1">
        <v>0.91049999999999998</v>
      </c>
      <c r="E166" s="1">
        <v>1480</v>
      </c>
      <c r="F166" s="1">
        <v>26150</v>
      </c>
      <c r="G166" s="1">
        <v>0.58240000000000003</v>
      </c>
      <c r="H166" s="1">
        <v>0.76739999999999997</v>
      </c>
      <c r="I166" s="1">
        <v>0.23760000000000001</v>
      </c>
      <c r="J166" s="1">
        <v>54329</v>
      </c>
      <c r="K166" s="1">
        <v>18750</v>
      </c>
      <c r="L166" s="1">
        <v>8585</v>
      </c>
      <c r="M166" s="1">
        <v>14</v>
      </c>
      <c r="N166" s="1" t="s">
        <v>28</v>
      </c>
      <c r="O166" s="1" t="s">
        <v>42</v>
      </c>
      <c r="P166" s="1" t="s">
        <v>22</v>
      </c>
      <c r="Q166" s="1" t="s">
        <v>23</v>
      </c>
      <c r="R166">
        <v>0.87510657895512511</v>
      </c>
    </row>
    <row r="167" spans="1:18" x14ac:dyDescent="0.2">
      <c r="A167" s="1">
        <v>214634</v>
      </c>
      <c r="B167" s="1" t="s">
        <v>232</v>
      </c>
      <c r="C167" s="1" t="s">
        <v>98</v>
      </c>
      <c r="D167" s="1">
        <v>0.92200000000000004</v>
      </c>
      <c r="E167" s="1">
        <v>256</v>
      </c>
      <c r="F167" s="1">
        <v>23560</v>
      </c>
      <c r="G167" s="1">
        <v>0.4194</v>
      </c>
      <c r="H167" s="1">
        <v>0.65790000000000004</v>
      </c>
      <c r="I167" s="1">
        <v>0.3916</v>
      </c>
      <c r="J167" s="1">
        <v>63435</v>
      </c>
      <c r="K167" s="1">
        <v>25000</v>
      </c>
      <c r="L167" s="1">
        <v>9036</v>
      </c>
      <c r="M167" s="1">
        <v>7</v>
      </c>
      <c r="N167" s="1" t="s">
        <v>28</v>
      </c>
      <c r="O167" s="1" t="s">
        <v>42</v>
      </c>
      <c r="P167" s="1" t="s">
        <v>39</v>
      </c>
      <c r="Q167" s="1" t="s">
        <v>23</v>
      </c>
      <c r="R167">
        <v>0.87414074873035652</v>
      </c>
    </row>
    <row r="168" spans="1:18" x14ac:dyDescent="0.2">
      <c r="A168" s="1">
        <v>214698</v>
      </c>
      <c r="B168" s="1" t="s">
        <v>233</v>
      </c>
      <c r="C168" s="1" t="s">
        <v>98</v>
      </c>
      <c r="D168" s="1">
        <v>0.95650000000000002</v>
      </c>
      <c r="E168" s="1">
        <v>482</v>
      </c>
      <c r="F168" s="1">
        <v>24134</v>
      </c>
      <c r="G168" s="1">
        <v>0.21740000000000001</v>
      </c>
      <c r="H168" s="1">
        <v>0.75609999999999999</v>
      </c>
      <c r="I168" s="1">
        <v>0.31940000000000002</v>
      </c>
      <c r="J168" s="1">
        <v>63435</v>
      </c>
      <c r="K168" s="1">
        <v>25000</v>
      </c>
      <c r="L168" s="1">
        <v>9688</v>
      </c>
      <c r="M168" s="1">
        <v>12</v>
      </c>
      <c r="N168" s="1" t="s">
        <v>28</v>
      </c>
      <c r="O168" s="1" t="s">
        <v>21</v>
      </c>
      <c r="P168" s="1" t="s">
        <v>39</v>
      </c>
      <c r="Q168" s="1" t="s">
        <v>23</v>
      </c>
      <c r="R168">
        <v>0.87413862973384449</v>
      </c>
    </row>
    <row r="169" spans="1:18" x14ac:dyDescent="0.2">
      <c r="A169" s="1">
        <v>147679</v>
      </c>
      <c r="B169" s="1" t="s">
        <v>234</v>
      </c>
      <c r="C169" s="1" t="s">
        <v>25</v>
      </c>
      <c r="D169" s="1">
        <v>0.68510000000000004</v>
      </c>
      <c r="E169" s="1">
        <v>1818</v>
      </c>
      <c r="F169" s="1">
        <v>36710</v>
      </c>
      <c r="G169" s="1">
        <v>0.57720000000000005</v>
      </c>
      <c r="H169" s="1">
        <v>0.61660000000000004</v>
      </c>
      <c r="I169" s="1">
        <v>0.44340000000000002</v>
      </c>
      <c r="J169" s="1">
        <v>59572</v>
      </c>
      <c r="K169" s="1">
        <v>25500</v>
      </c>
      <c r="L169" s="1">
        <v>8245</v>
      </c>
      <c r="M169" s="1">
        <v>12</v>
      </c>
      <c r="N169" s="1" t="s">
        <v>20</v>
      </c>
      <c r="O169" s="1" t="s">
        <v>29</v>
      </c>
      <c r="P169" s="1" t="s">
        <v>22</v>
      </c>
      <c r="Q169" s="1" t="s">
        <v>23</v>
      </c>
      <c r="R169">
        <v>0.87365458508940075</v>
      </c>
    </row>
    <row r="170" spans="1:18" x14ac:dyDescent="0.2">
      <c r="A170" s="1">
        <v>110680</v>
      </c>
      <c r="B170" s="1" t="s">
        <v>235</v>
      </c>
      <c r="C170" s="1" t="s">
        <v>33</v>
      </c>
      <c r="D170" s="1">
        <v>0.2671</v>
      </c>
      <c r="E170" s="1">
        <v>34948</v>
      </c>
      <c r="F170" s="1">
        <v>50958</v>
      </c>
      <c r="G170" s="1">
        <v>0.86050000000000004</v>
      </c>
      <c r="H170" s="1">
        <v>0.94020000000000004</v>
      </c>
      <c r="I170" s="1">
        <v>0.34200000000000003</v>
      </c>
      <c r="J170" s="1">
        <v>84943</v>
      </c>
      <c r="K170" s="1">
        <v>15500</v>
      </c>
      <c r="L170" s="1">
        <v>19117</v>
      </c>
      <c r="M170" s="1">
        <v>19</v>
      </c>
      <c r="N170" s="1" t="s">
        <v>28</v>
      </c>
      <c r="O170" s="1" t="s">
        <v>29</v>
      </c>
      <c r="P170" s="1" t="s">
        <v>22</v>
      </c>
      <c r="Q170" s="1" t="s">
        <v>23</v>
      </c>
      <c r="R170">
        <v>0.8713919817854856</v>
      </c>
    </row>
    <row r="171" spans="1:18" x14ac:dyDescent="0.2">
      <c r="A171" s="1">
        <v>130697</v>
      </c>
      <c r="B171" s="1" t="s">
        <v>236</v>
      </c>
      <c r="C171" s="1" t="s">
        <v>147</v>
      </c>
      <c r="D171" s="1">
        <v>0.16489999999999999</v>
      </c>
      <c r="E171" s="1">
        <v>3067</v>
      </c>
      <c r="F171" s="1">
        <v>70342</v>
      </c>
      <c r="G171" s="1">
        <v>0.9264</v>
      </c>
      <c r="H171" s="1">
        <v>0.94879999999999998</v>
      </c>
      <c r="I171" s="1">
        <v>0.1419</v>
      </c>
      <c r="J171" s="1">
        <v>73897</v>
      </c>
      <c r="K171" s="1">
        <v>17000</v>
      </c>
      <c r="L171" s="1">
        <v>14100</v>
      </c>
      <c r="M171" s="1">
        <v>8</v>
      </c>
      <c r="N171" s="1" t="s">
        <v>20</v>
      </c>
      <c r="O171" s="1" t="s">
        <v>29</v>
      </c>
      <c r="P171" s="1" t="s">
        <v>39</v>
      </c>
      <c r="Q171" s="1" t="s">
        <v>23</v>
      </c>
      <c r="R171">
        <v>0.87131883704129642</v>
      </c>
    </row>
    <row r="172" spans="1:18" x14ac:dyDescent="0.2">
      <c r="A172" s="1">
        <v>132602</v>
      </c>
      <c r="B172" s="1" t="s">
        <v>237</v>
      </c>
      <c r="C172" s="1" t="s">
        <v>27</v>
      </c>
      <c r="D172" s="1">
        <v>0.88239999999999996</v>
      </c>
      <c r="E172" s="1">
        <v>2732</v>
      </c>
      <c r="F172" s="1">
        <v>14794</v>
      </c>
      <c r="G172" s="1">
        <v>0.30520000000000003</v>
      </c>
      <c r="H172" s="1">
        <v>0.61750000000000005</v>
      </c>
      <c r="I172" s="1">
        <v>0.78300000000000003</v>
      </c>
      <c r="J172" s="1">
        <v>38518</v>
      </c>
      <c r="K172" s="1">
        <v>31000</v>
      </c>
      <c r="L172" s="1">
        <v>7167</v>
      </c>
      <c r="M172" s="1">
        <v>17</v>
      </c>
      <c r="N172" s="1" t="s">
        <v>20</v>
      </c>
      <c r="O172" s="1" t="s">
        <v>29</v>
      </c>
      <c r="P172" s="1" t="s">
        <v>30</v>
      </c>
      <c r="Q172" s="1" t="s">
        <v>31</v>
      </c>
      <c r="R172">
        <v>0.8706506635775062</v>
      </c>
    </row>
    <row r="173" spans="1:18" x14ac:dyDescent="0.2">
      <c r="A173" s="1">
        <v>152080</v>
      </c>
      <c r="B173" s="1" t="s">
        <v>238</v>
      </c>
      <c r="C173" s="1" t="s">
        <v>102</v>
      </c>
      <c r="D173" s="1">
        <v>0.11269999999999999</v>
      </c>
      <c r="E173" s="1">
        <v>8818</v>
      </c>
      <c r="F173" s="1">
        <v>65025</v>
      </c>
      <c r="G173" s="1">
        <v>0.95169999999999999</v>
      </c>
      <c r="H173" s="1">
        <v>0.99080000000000001</v>
      </c>
      <c r="I173" s="1">
        <v>0.13739999999999999</v>
      </c>
      <c r="J173" s="1">
        <v>99980</v>
      </c>
      <c r="K173" s="1">
        <v>19000</v>
      </c>
      <c r="L173" s="1">
        <v>16830</v>
      </c>
      <c r="M173" s="1">
        <v>8</v>
      </c>
      <c r="N173" s="1" t="s">
        <v>20</v>
      </c>
      <c r="O173" s="1" t="s">
        <v>21</v>
      </c>
      <c r="P173" s="1" t="s">
        <v>22</v>
      </c>
      <c r="Q173" s="1" t="s">
        <v>23</v>
      </c>
      <c r="R173">
        <v>0.87032953990236284</v>
      </c>
    </row>
    <row r="174" spans="1:18" x14ac:dyDescent="0.2">
      <c r="A174" s="1">
        <v>141981</v>
      </c>
      <c r="B174" s="1" t="s">
        <v>239</v>
      </c>
      <c r="C174" s="1" t="s">
        <v>240</v>
      </c>
      <c r="D174" s="1">
        <v>0.95340000000000003</v>
      </c>
      <c r="E174" s="1">
        <v>2519</v>
      </c>
      <c r="F174" s="1">
        <v>20544</v>
      </c>
      <c r="G174" s="1">
        <v>0.4955</v>
      </c>
      <c r="H174" s="1">
        <v>0.77949999999999997</v>
      </c>
      <c r="I174" s="1">
        <v>0.3206</v>
      </c>
      <c r="J174" s="1">
        <v>52075</v>
      </c>
      <c r="K174" s="1">
        <v>14500</v>
      </c>
      <c r="L174" s="1">
        <v>11565</v>
      </c>
      <c r="M174" s="1">
        <v>17</v>
      </c>
      <c r="N174" s="1" t="s">
        <v>28</v>
      </c>
      <c r="O174" s="1" t="s">
        <v>21</v>
      </c>
      <c r="P174" s="1" t="s">
        <v>22</v>
      </c>
      <c r="Q174" s="1" t="s">
        <v>23</v>
      </c>
      <c r="R174">
        <v>0.86982410816708489</v>
      </c>
    </row>
    <row r="175" spans="1:18" x14ac:dyDescent="0.2">
      <c r="A175" s="1">
        <v>166656</v>
      </c>
      <c r="B175" s="1" t="s">
        <v>241</v>
      </c>
      <c r="C175" s="1" t="s">
        <v>129</v>
      </c>
      <c r="D175" s="1">
        <v>0.85209999999999997</v>
      </c>
      <c r="E175" s="1">
        <v>3451</v>
      </c>
      <c r="F175" s="1">
        <v>40530</v>
      </c>
      <c r="G175" s="1">
        <v>0.62019999999999997</v>
      </c>
      <c r="H175" s="1">
        <v>0.73960000000000004</v>
      </c>
      <c r="I175" s="1">
        <v>0.30059999999999998</v>
      </c>
      <c r="J175" s="1">
        <v>125557</v>
      </c>
      <c r="K175" s="1">
        <v>25000</v>
      </c>
      <c r="L175" s="1">
        <v>11769</v>
      </c>
      <c r="M175" s="1">
        <v>9</v>
      </c>
      <c r="N175" s="1" t="s">
        <v>20</v>
      </c>
      <c r="O175" s="1" t="s">
        <v>29</v>
      </c>
      <c r="P175" s="1" t="s">
        <v>39</v>
      </c>
      <c r="Q175" s="1" t="s">
        <v>23</v>
      </c>
      <c r="R175">
        <v>0.86961868458689673</v>
      </c>
    </row>
    <row r="176" spans="1:18" x14ac:dyDescent="0.2">
      <c r="A176" s="1">
        <v>214795</v>
      </c>
      <c r="B176" s="1" t="s">
        <v>242</v>
      </c>
      <c r="C176" s="1" t="s">
        <v>98</v>
      </c>
      <c r="D176" s="1">
        <v>0.98209999999999997</v>
      </c>
      <c r="E176" s="1">
        <v>559</v>
      </c>
      <c r="F176" s="1">
        <v>24134</v>
      </c>
      <c r="G176" s="1">
        <v>0.33650000000000002</v>
      </c>
      <c r="H176" s="1">
        <v>0.8286</v>
      </c>
      <c r="I176" s="1">
        <v>0.26750000000000002</v>
      </c>
      <c r="J176" s="1">
        <v>63435</v>
      </c>
      <c r="K176" s="1">
        <v>25000</v>
      </c>
      <c r="L176" s="1">
        <v>9579</v>
      </c>
      <c r="M176" s="1">
        <v>10</v>
      </c>
      <c r="N176" s="1" t="s">
        <v>28</v>
      </c>
      <c r="O176" s="1" t="s">
        <v>42</v>
      </c>
      <c r="P176" s="1" t="s">
        <v>39</v>
      </c>
      <c r="Q176" s="1" t="s">
        <v>23</v>
      </c>
      <c r="R176">
        <v>0.86924856790479554</v>
      </c>
    </row>
    <row r="177" spans="1:18" x14ac:dyDescent="0.2">
      <c r="A177" s="1">
        <v>211088</v>
      </c>
      <c r="B177" s="1" t="s">
        <v>243</v>
      </c>
      <c r="C177" s="1" t="s">
        <v>98</v>
      </c>
      <c r="D177" s="1">
        <v>0.80220000000000002</v>
      </c>
      <c r="E177" s="1">
        <v>1948</v>
      </c>
      <c r="F177" s="1">
        <v>49610</v>
      </c>
      <c r="G177" s="1">
        <v>0.66739999999999999</v>
      </c>
      <c r="H177" s="1">
        <v>0.78800000000000003</v>
      </c>
      <c r="I177" s="1">
        <v>0.28310000000000002</v>
      </c>
      <c r="J177" s="1">
        <v>58336</v>
      </c>
      <c r="K177" s="1">
        <v>27000</v>
      </c>
      <c r="L177" s="1">
        <v>8854</v>
      </c>
      <c r="M177" s="1">
        <v>10</v>
      </c>
      <c r="N177" s="1" t="s">
        <v>20</v>
      </c>
      <c r="O177" s="1" t="s">
        <v>21</v>
      </c>
      <c r="P177" s="1" t="s">
        <v>39</v>
      </c>
      <c r="Q177" s="1" t="s">
        <v>23</v>
      </c>
      <c r="R177">
        <v>0.86756705988076854</v>
      </c>
    </row>
    <row r="178" spans="1:18" x14ac:dyDescent="0.2">
      <c r="A178" s="1">
        <v>124292</v>
      </c>
      <c r="B178" s="1" t="s">
        <v>244</v>
      </c>
      <c r="C178" s="1" t="s">
        <v>33</v>
      </c>
      <c r="D178" s="1">
        <v>0.83089999999999997</v>
      </c>
      <c r="E178" s="1">
        <v>566</v>
      </c>
      <c r="F178" s="1">
        <v>30200</v>
      </c>
      <c r="G178" s="1">
        <v>0.84299999999999997</v>
      </c>
      <c r="H178" s="1">
        <v>0.91610000000000003</v>
      </c>
      <c r="I178" s="1">
        <v>0.26719999999999999</v>
      </c>
      <c r="J178" s="1">
        <v>55619</v>
      </c>
      <c r="K178" s="1">
        <v>18000</v>
      </c>
      <c r="L178" s="1">
        <v>9628</v>
      </c>
      <c r="M178" s="1">
        <v>11</v>
      </c>
      <c r="N178" s="1" t="s">
        <v>20</v>
      </c>
      <c r="O178" s="1" t="s">
        <v>42</v>
      </c>
      <c r="P178" s="1" t="s">
        <v>22</v>
      </c>
      <c r="Q178" s="1" t="s">
        <v>23</v>
      </c>
      <c r="R178">
        <v>0.86515340580755573</v>
      </c>
    </row>
    <row r="179" spans="1:18" x14ac:dyDescent="0.2">
      <c r="A179" s="1">
        <v>229780</v>
      </c>
      <c r="B179" s="1" t="s">
        <v>245</v>
      </c>
      <c r="C179" s="1" t="s">
        <v>36</v>
      </c>
      <c r="D179" s="1">
        <v>0.55959999999999999</v>
      </c>
      <c r="E179" s="1">
        <v>2041</v>
      </c>
      <c r="F179" s="1">
        <v>23782</v>
      </c>
      <c r="G179" s="1">
        <v>0.19289999999999999</v>
      </c>
      <c r="H179" s="1">
        <v>0.44529999999999997</v>
      </c>
      <c r="I179" s="1">
        <v>0.45700000000000002</v>
      </c>
      <c r="J179" s="1">
        <v>51838</v>
      </c>
      <c r="K179" s="1">
        <v>23106</v>
      </c>
      <c r="L179" s="1">
        <v>5999</v>
      </c>
      <c r="M179" s="1">
        <v>10</v>
      </c>
      <c r="N179" s="1" t="s">
        <v>20</v>
      </c>
      <c r="O179" s="1" t="s">
        <v>42</v>
      </c>
      <c r="P179" s="1" t="s">
        <v>30</v>
      </c>
      <c r="Q179" s="1" t="s">
        <v>23</v>
      </c>
      <c r="R179">
        <v>0.86418720732053045</v>
      </c>
    </row>
    <row r="180" spans="1:18" x14ac:dyDescent="0.2">
      <c r="A180" s="1">
        <v>195526</v>
      </c>
      <c r="B180" s="1" t="s">
        <v>246</v>
      </c>
      <c r="C180" s="1" t="s">
        <v>58</v>
      </c>
      <c r="D180" s="1">
        <v>0.21049999999999999</v>
      </c>
      <c r="E180" s="1">
        <v>2694</v>
      </c>
      <c r="F180" s="1">
        <v>67290</v>
      </c>
      <c r="G180" s="1">
        <v>0.82569999999999999</v>
      </c>
      <c r="H180" s="1">
        <v>0.89649999999999996</v>
      </c>
      <c r="I180" s="1">
        <v>0.1275</v>
      </c>
      <c r="J180" s="1">
        <v>69363</v>
      </c>
      <c r="K180" s="1">
        <v>19500</v>
      </c>
      <c r="L180" s="1">
        <v>11403</v>
      </c>
      <c r="M180" s="1">
        <v>8</v>
      </c>
      <c r="N180" s="1" t="s">
        <v>20</v>
      </c>
      <c r="O180" s="1" t="s">
        <v>21</v>
      </c>
      <c r="P180" s="1" t="s">
        <v>39</v>
      </c>
      <c r="Q180" s="1" t="s">
        <v>23</v>
      </c>
      <c r="R180">
        <v>0.8639790478973286</v>
      </c>
    </row>
    <row r="181" spans="1:18" x14ac:dyDescent="0.2">
      <c r="A181" s="1">
        <v>159568</v>
      </c>
      <c r="B181" s="1" t="s">
        <v>247</v>
      </c>
      <c r="C181" s="1" t="s">
        <v>46</v>
      </c>
      <c r="D181" s="1">
        <v>0.77190000000000003</v>
      </c>
      <c r="E181" s="1">
        <v>672</v>
      </c>
      <c r="F181" s="1">
        <v>20266</v>
      </c>
      <c r="G181" s="1">
        <v>0.43869999999999998</v>
      </c>
      <c r="H181" s="1">
        <v>0.52429999999999999</v>
      </c>
      <c r="I181" s="1">
        <v>0.43090000000000001</v>
      </c>
      <c r="J181" s="1">
        <v>51700</v>
      </c>
      <c r="K181" s="1">
        <v>21875</v>
      </c>
      <c r="L181" s="1">
        <v>6137</v>
      </c>
      <c r="M181" s="1">
        <v>10</v>
      </c>
      <c r="N181" s="1" t="s">
        <v>20</v>
      </c>
      <c r="O181" s="1" t="s">
        <v>21</v>
      </c>
      <c r="P181" s="1" t="s">
        <v>30</v>
      </c>
      <c r="Q181" s="1" t="s">
        <v>23</v>
      </c>
      <c r="R181">
        <v>0.86381802013193731</v>
      </c>
    </row>
    <row r="182" spans="1:18" x14ac:dyDescent="0.2">
      <c r="A182" s="1">
        <v>122728</v>
      </c>
      <c r="B182" s="1" t="s">
        <v>248</v>
      </c>
      <c r="C182" s="1" t="s">
        <v>33</v>
      </c>
      <c r="D182" s="1">
        <v>0.93330000000000002</v>
      </c>
      <c r="E182" s="1">
        <v>1294</v>
      </c>
      <c r="F182" s="1">
        <v>37150</v>
      </c>
      <c r="G182" s="1">
        <v>0.55979999999999996</v>
      </c>
      <c r="H182" s="1">
        <v>0.76880000000000004</v>
      </c>
      <c r="I182" s="1">
        <v>0.31719999999999998</v>
      </c>
      <c r="J182" s="1">
        <v>56257</v>
      </c>
      <c r="K182" s="1">
        <v>23700</v>
      </c>
      <c r="L182" s="1">
        <v>8173</v>
      </c>
      <c r="M182" s="1">
        <v>10</v>
      </c>
      <c r="N182" s="1" t="s">
        <v>20</v>
      </c>
      <c r="O182" s="1" t="s">
        <v>21</v>
      </c>
      <c r="P182" s="1" t="s">
        <v>22</v>
      </c>
      <c r="Q182" s="1" t="s">
        <v>23</v>
      </c>
      <c r="R182">
        <v>0.86315494957176941</v>
      </c>
    </row>
    <row r="183" spans="1:18" x14ac:dyDescent="0.2">
      <c r="A183" s="1">
        <v>159966</v>
      </c>
      <c r="B183" s="1" t="s">
        <v>249</v>
      </c>
      <c r="C183" s="1" t="s">
        <v>46</v>
      </c>
      <c r="D183" s="1">
        <v>0.90800000000000003</v>
      </c>
      <c r="E183" s="1">
        <v>4737</v>
      </c>
      <c r="F183" s="1">
        <v>9242</v>
      </c>
      <c r="G183" s="1">
        <v>0.53800000000000003</v>
      </c>
      <c r="H183" s="1">
        <v>0.76600000000000001</v>
      </c>
      <c r="I183" s="1">
        <v>0.3407</v>
      </c>
      <c r="J183" s="1">
        <v>45454</v>
      </c>
      <c r="K183" s="1">
        <v>22675</v>
      </c>
      <c r="L183" s="1">
        <v>6998</v>
      </c>
      <c r="M183" s="1">
        <v>19</v>
      </c>
      <c r="N183" s="1" t="s">
        <v>28</v>
      </c>
      <c r="O183" s="1" t="s">
        <v>29</v>
      </c>
      <c r="P183" s="1" t="s">
        <v>30</v>
      </c>
      <c r="Q183" s="1" t="s">
        <v>31</v>
      </c>
      <c r="R183">
        <v>0.86231186930102499</v>
      </c>
    </row>
    <row r="184" spans="1:18" x14ac:dyDescent="0.2">
      <c r="A184" s="1">
        <v>193292</v>
      </c>
      <c r="B184" s="1" t="s">
        <v>250</v>
      </c>
      <c r="C184" s="1" t="s">
        <v>58</v>
      </c>
      <c r="D184" s="1">
        <v>0.81740000000000002</v>
      </c>
      <c r="E184" s="1">
        <v>3162</v>
      </c>
      <c r="F184" s="1">
        <v>39790</v>
      </c>
      <c r="G184" s="1">
        <v>0.69930000000000003</v>
      </c>
      <c r="H184" s="1">
        <v>0.85170000000000001</v>
      </c>
      <c r="I184" s="1">
        <v>0.33660000000000001</v>
      </c>
      <c r="J184" s="1">
        <v>77789</v>
      </c>
      <c r="K184" s="1">
        <v>27000</v>
      </c>
      <c r="L184" s="1">
        <v>11277</v>
      </c>
      <c r="M184" s="1">
        <v>12</v>
      </c>
      <c r="N184" s="1" t="s">
        <v>20</v>
      </c>
      <c r="O184" s="1" t="s">
        <v>21</v>
      </c>
      <c r="P184" s="1" t="s">
        <v>39</v>
      </c>
      <c r="Q184" s="1" t="s">
        <v>23</v>
      </c>
      <c r="R184">
        <v>0.86217945443407684</v>
      </c>
    </row>
    <row r="185" spans="1:18" x14ac:dyDescent="0.2">
      <c r="A185" s="1">
        <v>199139</v>
      </c>
      <c r="B185" s="1" t="s">
        <v>251</v>
      </c>
      <c r="C185" s="1" t="s">
        <v>86</v>
      </c>
      <c r="D185" s="1">
        <v>0.79600000000000004</v>
      </c>
      <c r="E185" s="1">
        <v>24453</v>
      </c>
      <c r="F185" s="1">
        <v>22492</v>
      </c>
      <c r="G185" s="1">
        <v>0.68969999999999998</v>
      </c>
      <c r="H185" s="1">
        <v>0.8498</v>
      </c>
      <c r="I185" s="1">
        <v>0.33939999999999998</v>
      </c>
      <c r="J185" s="1">
        <v>57289</v>
      </c>
      <c r="K185" s="1">
        <v>21500</v>
      </c>
      <c r="L185" s="1">
        <v>11828</v>
      </c>
      <c r="M185" s="1">
        <v>21</v>
      </c>
      <c r="N185" s="1" t="s">
        <v>28</v>
      </c>
      <c r="O185" s="1" t="s">
        <v>29</v>
      </c>
      <c r="P185" s="1" t="s">
        <v>30</v>
      </c>
      <c r="Q185" s="1" t="s">
        <v>23</v>
      </c>
      <c r="R185">
        <v>0.86070314649836233</v>
      </c>
    </row>
    <row r="186" spans="1:18" x14ac:dyDescent="0.2">
      <c r="A186" s="1">
        <v>209825</v>
      </c>
      <c r="B186" s="1" t="s">
        <v>252</v>
      </c>
      <c r="C186" s="1" t="s">
        <v>79</v>
      </c>
      <c r="D186" s="1">
        <v>0.89170000000000005</v>
      </c>
      <c r="E186" s="1">
        <v>2957</v>
      </c>
      <c r="F186" s="1">
        <v>58100</v>
      </c>
      <c r="G186" s="1">
        <v>0.7984</v>
      </c>
      <c r="H186" s="1">
        <v>0.88319999999999999</v>
      </c>
      <c r="I186" s="1">
        <v>0.221</v>
      </c>
      <c r="J186" s="1">
        <v>82804</v>
      </c>
      <c r="K186" s="1">
        <v>21370</v>
      </c>
      <c r="L186" s="1">
        <v>10167</v>
      </c>
      <c r="M186" s="1">
        <v>9</v>
      </c>
      <c r="N186" s="1" t="s">
        <v>20</v>
      </c>
      <c r="O186" s="1" t="s">
        <v>29</v>
      </c>
      <c r="P186" s="1" t="s">
        <v>22</v>
      </c>
      <c r="Q186" s="1" t="s">
        <v>23</v>
      </c>
      <c r="R186">
        <v>0.86046402130444022</v>
      </c>
    </row>
    <row r="187" spans="1:18" x14ac:dyDescent="0.2">
      <c r="A187" s="1">
        <v>110547</v>
      </c>
      <c r="B187" s="1" t="s">
        <v>253</v>
      </c>
      <c r="C187" s="1" t="s">
        <v>33</v>
      </c>
      <c r="D187" s="1">
        <v>0.93300000000000005</v>
      </c>
      <c r="E187" s="1">
        <v>12538</v>
      </c>
      <c r="F187" s="1">
        <v>20049</v>
      </c>
      <c r="G187" s="1">
        <v>0.4279</v>
      </c>
      <c r="H187" s="1">
        <v>0.73650000000000004</v>
      </c>
      <c r="I187" s="1">
        <v>0.63329999999999997</v>
      </c>
      <c r="J187" s="1">
        <v>57162</v>
      </c>
      <c r="K187" s="1">
        <v>13807</v>
      </c>
      <c r="L187" s="1">
        <v>11789</v>
      </c>
      <c r="M187" s="1">
        <v>21</v>
      </c>
      <c r="N187" s="1" t="s">
        <v>28</v>
      </c>
      <c r="O187" s="1" t="s">
        <v>29</v>
      </c>
      <c r="P187" s="1" t="s">
        <v>22</v>
      </c>
      <c r="Q187" s="1" t="s">
        <v>23</v>
      </c>
      <c r="R187">
        <v>0.86029589430143261</v>
      </c>
    </row>
    <row r="188" spans="1:18" x14ac:dyDescent="0.2">
      <c r="A188" s="1">
        <v>237969</v>
      </c>
      <c r="B188" s="1" t="s">
        <v>254</v>
      </c>
      <c r="C188" s="1" t="s">
        <v>255</v>
      </c>
      <c r="D188" s="1">
        <v>0.93340000000000001</v>
      </c>
      <c r="E188" s="1">
        <v>954</v>
      </c>
      <c r="F188" s="1">
        <v>34090</v>
      </c>
      <c r="G188" s="1">
        <v>0.57140000000000002</v>
      </c>
      <c r="H188" s="1">
        <v>0.67320000000000002</v>
      </c>
      <c r="I188" s="1">
        <v>0.37630000000000002</v>
      </c>
      <c r="J188" s="1">
        <v>51593</v>
      </c>
      <c r="K188" s="1">
        <v>27000</v>
      </c>
      <c r="L188" s="1">
        <v>6450</v>
      </c>
      <c r="M188" s="1">
        <v>13</v>
      </c>
      <c r="N188" s="1" t="s">
        <v>20</v>
      </c>
      <c r="O188" s="1" t="s">
        <v>42</v>
      </c>
      <c r="P188" s="1" t="s">
        <v>30</v>
      </c>
      <c r="Q188" s="1" t="s">
        <v>23</v>
      </c>
      <c r="R188">
        <v>0.86028216849658556</v>
      </c>
    </row>
    <row r="189" spans="1:18" x14ac:dyDescent="0.2">
      <c r="A189" s="1">
        <v>199272</v>
      </c>
      <c r="B189" s="1" t="s">
        <v>256</v>
      </c>
      <c r="C189" s="1" t="s">
        <v>86</v>
      </c>
      <c r="D189" s="1">
        <v>0.9425</v>
      </c>
      <c r="E189" s="1">
        <v>666</v>
      </c>
      <c r="F189" s="1">
        <v>34176</v>
      </c>
      <c r="G189" s="1">
        <v>0.4481</v>
      </c>
      <c r="H189" s="1">
        <v>0.73580000000000001</v>
      </c>
      <c r="I189" s="1">
        <v>0.34250000000000003</v>
      </c>
      <c r="J189" s="1">
        <v>46643</v>
      </c>
      <c r="K189" s="1">
        <v>22250</v>
      </c>
      <c r="L189" s="1">
        <v>6905</v>
      </c>
      <c r="M189" s="1">
        <v>13</v>
      </c>
      <c r="N189" s="1" t="s">
        <v>20</v>
      </c>
      <c r="O189" s="1" t="s">
        <v>29</v>
      </c>
      <c r="P189" s="1" t="s">
        <v>30</v>
      </c>
      <c r="Q189" s="1" t="s">
        <v>31</v>
      </c>
      <c r="R189">
        <v>0.86016394207093705</v>
      </c>
    </row>
    <row r="190" spans="1:18" x14ac:dyDescent="0.2">
      <c r="A190" s="1">
        <v>199193</v>
      </c>
      <c r="B190" s="1" t="s">
        <v>257</v>
      </c>
      <c r="C190" s="1" t="s">
        <v>86</v>
      </c>
      <c r="D190" s="1">
        <v>0.41739999999999999</v>
      </c>
      <c r="E190" s="1">
        <v>27371</v>
      </c>
      <c r="F190" s="1">
        <v>32847</v>
      </c>
      <c r="G190" s="1">
        <v>0.84760000000000002</v>
      </c>
      <c r="H190" s="1">
        <v>0.94469999999999998</v>
      </c>
      <c r="I190" s="1">
        <v>0.1958</v>
      </c>
      <c r="J190" s="1">
        <v>68758</v>
      </c>
      <c r="K190" s="1">
        <v>20121</v>
      </c>
      <c r="L190" s="1">
        <v>12820</v>
      </c>
      <c r="M190" s="1">
        <v>15</v>
      </c>
      <c r="N190" s="1" t="s">
        <v>28</v>
      </c>
      <c r="O190" s="1" t="s">
        <v>29</v>
      </c>
      <c r="P190" s="1" t="s">
        <v>30</v>
      </c>
      <c r="Q190" s="1" t="s">
        <v>23</v>
      </c>
      <c r="R190">
        <v>0.85902003698580287</v>
      </c>
    </row>
    <row r="191" spans="1:18" x14ac:dyDescent="0.2">
      <c r="A191" s="1">
        <v>150455</v>
      </c>
      <c r="B191" s="1" t="s">
        <v>258</v>
      </c>
      <c r="C191" s="1" t="s">
        <v>102</v>
      </c>
      <c r="D191" s="1">
        <v>0.73109999999999997</v>
      </c>
      <c r="E191" s="1">
        <v>670</v>
      </c>
      <c r="F191" s="1">
        <v>53930</v>
      </c>
      <c r="G191" s="1">
        <v>0.69</v>
      </c>
      <c r="H191" s="1">
        <v>0.77229999999999999</v>
      </c>
      <c r="I191" s="1">
        <v>0.24410000000000001</v>
      </c>
      <c r="J191" s="1">
        <v>50797</v>
      </c>
      <c r="K191" s="1">
        <v>23488</v>
      </c>
      <c r="L191" s="1">
        <v>8169</v>
      </c>
      <c r="M191" s="1">
        <v>7</v>
      </c>
      <c r="N191" s="1" t="s">
        <v>20</v>
      </c>
      <c r="O191" s="1" t="s">
        <v>42</v>
      </c>
      <c r="P191" s="1" t="s">
        <v>22</v>
      </c>
      <c r="Q191" s="1" t="s">
        <v>23</v>
      </c>
      <c r="R191">
        <v>0.85835114961525183</v>
      </c>
    </row>
    <row r="192" spans="1:18" x14ac:dyDescent="0.2">
      <c r="A192" s="1">
        <v>149505</v>
      </c>
      <c r="B192" s="1" t="s">
        <v>259</v>
      </c>
      <c r="C192" s="1" t="s">
        <v>25</v>
      </c>
      <c r="D192" s="1">
        <v>0.84919999999999995</v>
      </c>
      <c r="E192" s="1">
        <v>820</v>
      </c>
      <c r="F192" s="1">
        <v>20605</v>
      </c>
      <c r="G192" s="1">
        <v>0.57520000000000004</v>
      </c>
      <c r="H192" s="1">
        <v>0.8145</v>
      </c>
      <c r="I192" s="1">
        <v>0.3458</v>
      </c>
      <c r="J192" s="1">
        <v>55700</v>
      </c>
      <c r="K192" s="1">
        <v>25009</v>
      </c>
      <c r="L192" s="1">
        <v>7524</v>
      </c>
      <c r="M192" s="1">
        <v>10</v>
      </c>
      <c r="N192" s="1" t="s">
        <v>20</v>
      </c>
      <c r="O192" s="1" t="s">
        <v>21</v>
      </c>
      <c r="P192" s="1" t="s">
        <v>22</v>
      </c>
      <c r="Q192" s="1" t="s">
        <v>23</v>
      </c>
      <c r="R192">
        <v>0.85688147125941549</v>
      </c>
    </row>
    <row r="193" spans="1:18" x14ac:dyDescent="0.2">
      <c r="A193" s="1">
        <v>164748</v>
      </c>
      <c r="B193" s="1" t="s">
        <v>260</v>
      </c>
      <c r="C193" s="1" t="s">
        <v>129</v>
      </c>
      <c r="D193" s="1">
        <v>0.43530000000000002</v>
      </c>
      <c r="E193" s="1">
        <v>7468</v>
      </c>
      <c r="F193" s="1">
        <v>52040</v>
      </c>
      <c r="G193" s="1">
        <v>0.67310000000000003</v>
      </c>
      <c r="H193" s="1">
        <v>0.88570000000000004</v>
      </c>
      <c r="I193" s="1">
        <v>0.1618</v>
      </c>
      <c r="J193" s="1">
        <v>33647</v>
      </c>
      <c r="K193" s="1">
        <v>25000</v>
      </c>
      <c r="L193" s="1">
        <v>10837</v>
      </c>
      <c r="M193" s="1">
        <v>9</v>
      </c>
      <c r="N193" s="1" t="s">
        <v>20</v>
      </c>
      <c r="O193" s="1" t="s">
        <v>29</v>
      </c>
      <c r="P193" s="1" t="s">
        <v>39</v>
      </c>
      <c r="Q193" s="1" t="s">
        <v>31</v>
      </c>
      <c r="R193">
        <v>0.85637760423468923</v>
      </c>
    </row>
    <row r="194" spans="1:18" x14ac:dyDescent="0.2">
      <c r="A194" s="1">
        <v>197133</v>
      </c>
      <c r="B194" s="1" t="s">
        <v>261</v>
      </c>
      <c r="C194" s="1" t="s">
        <v>58</v>
      </c>
      <c r="D194" s="1">
        <v>0.1857</v>
      </c>
      <c r="E194" s="1">
        <v>2444</v>
      </c>
      <c r="F194" s="1">
        <v>71030</v>
      </c>
      <c r="G194" s="1">
        <v>0.91080000000000005</v>
      </c>
      <c r="H194" s="1">
        <v>0.94899999999999995</v>
      </c>
      <c r="I194" s="1">
        <v>0.19239999999999999</v>
      </c>
      <c r="J194" s="1">
        <v>71366</v>
      </c>
      <c r="K194" s="1">
        <v>18625</v>
      </c>
      <c r="L194" s="1">
        <v>13587</v>
      </c>
      <c r="M194" s="1">
        <v>7</v>
      </c>
      <c r="N194" s="1" t="s">
        <v>20</v>
      </c>
      <c r="O194" s="1" t="s">
        <v>21</v>
      </c>
      <c r="P194" s="1" t="s">
        <v>39</v>
      </c>
      <c r="Q194" s="1" t="s">
        <v>23</v>
      </c>
      <c r="R194">
        <v>0.85532165273645067</v>
      </c>
    </row>
    <row r="195" spans="1:18" x14ac:dyDescent="0.2">
      <c r="A195" s="1">
        <v>177038</v>
      </c>
      <c r="B195" s="1" t="s">
        <v>262</v>
      </c>
      <c r="C195" s="1" t="s">
        <v>56</v>
      </c>
      <c r="D195" s="1">
        <v>0.69230000000000003</v>
      </c>
      <c r="E195" s="1">
        <v>95</v>
      </c>
      <c r="F195" s="1">
        <v>14400</v>
      </c>
      <c r="G195" s="1">
        <v>1</v>
      </c>
      <c r="H195" s="1">
        <v>0.5</v>
      </c>
      <c r="I195" s="1">
        <v>0.53490000000000004</v>
      </c>
      <c r="J195" s="1">
        <v>52304</v>
      </c>
      <c r="K195" s="1">
        <v>12500</v>
      </c>
      <c r="L195" s="1">
        <v>5918</v>
      </c>
      <c r="M195" s="1">
        <v>6</v>
      </c>
      <c r="N195" s="1" t="s">
        <v>20</v>
      </c>
      <c r="O195" s="1" t="s">
        <v>29</v>
      </c>
      <c r="P195" s="1" t="s">
        <v>22</v>
      </c>
      <c r="Q195" s="1" t="s">
        <v>23</v>
      </c>
      <c r="R195">
        <v>0.8553058750577015</v>
      </c>
    </row>
    <row r="196" spans="1:18" x14ac:dyDescent="0.2">
      <c r="A196" s="1">
        <v>196149</v>
      </c>
      <c r="B196" s="1" t="s">
        <v>263</v>
      </c>
      <c r="C196" s="1" t="s">
        <v>58</v>
      </c>
      <c r="D196" s="1">
        <v>0.59789999999999999</v>
      </c>
      <c r="E196" s="1">
        <v>5901</v>
      </c>
      <c r="F196" s="1">
        <v>18784</v>
      </c>
      <c r="G196" s="1">
        <v>0.68030000000000002</v>
      </c>
      <c r="H196" s="1">
        <v>0.81089999999999995</v>
      </c>
      <c r="I196" s="1">
        <v>0.2742</v>
      </c>
      <c r="J196" s="1">
        <v>60236</v>
      </c>
      <c r="K196" s="1">
        <v>21500</v>
      </c>
      <c r="L196" s="1">
        <v>7557</v>
      </c>
      <c r="M196" s="1">
        <v>15</v>
      </c>
      <c r="N196" s="1" t="s">
        <v>28</v>
      </c>
      <c r="O196" s="1" t="s">
        <v>42</v>
      </c>
      <c r="P196" s="1" t="s">
        <v>39</v>
      </c>
      <c r="Q196" s="1" t="s">
        <v>23</v>
      </c>
      <c r="R196">
        <v>0.85343695738044523</v>
      </c>
    </row>
    <row r="197" spans="1:18" x14ac:dyDescent="0.2">
      <c r="A197" s="1">
        <v>184694</v>
      </c>
      <c r="B197" s="1" t="s">
        <v>264</v>
      </c>
      <c r="C197" s="1" t="s">
        <v>66</v>
      </c>
      <c r="D197" s="1">
        <v>0.95189999999999997</v>
      </c>
      <c r="E197" s="1">
        <v>1990</v>
      </c>
      <c r="F197" s="1">
        <v>38004</v>
      </c>
      <c r="G197" s="1">
        <v>0.66620000000000001</v>
      </c>
      <c r="H197" s="1">
        <v>0.78210000000000002</v>
      </c>
      <c r="I197" s="1">
        <v>0.36449999999999999</v>
      </c>
      <c r="J197" s="1">
        <v>57273</v>
      </c>
      <c r="K197" s="1">
        <v>25000</v>
      </c>
      <c r="L197" s="1">
        <v>9429</v>
      </c>
      <c r="M197" s="1">
        <v>11</v>
      </c>
      <c r="N197" s="1" t="s">
        <v>20</v>
      </c>
      <c r="O197" s="1" t="s">
        <v>21</v>
      </c>
      <c r="P197" s="1" t="s">
        <v>39</v>
      </c>
      <c r="Q197" s="1" t="s">
        <v>23</v>
      </c>
      <c r="R197">
        <v>0.85244687188638879</v>
      </c>
    </row>
    <row r="198" spans="1:18" x14ac:dyDescent="0.2">
      <c r="A198" s="1">
        <v>181330</v>
      </c>
      <c r="B198" s="1" t="s">
        <v>265</v>
      </c>
      <c r="C198" s="1" t="s">
        <v>221</v>
      </c>
      <c r="D198" s="1">
        <v>0.66120000000000001</v>
      </c>
      <c r="E198" s="1">
        <v>1159</v>
      </c>
      <c r="F198" s="1">
        <v>42050</v>
      </c>
      <c r="G198" s="1">
        <v>0.42120000000000002</v>
      </c>
      <c r="H198" s="1">
        <v>0.69259999999999999</v>
      </c>
      <c r="I198" s="1">
        <v>0.28060000000000002</v>
      </c>
      <c r="J198" s="1">
        <v>52163</v>
      </c>
      <c r="K198" s="1">
        <v>26134</v>
      </c>
      <c r="L198" s="1">
        <v>6937</v>
      </c>
      <c r="M198" s="1">
        <v>14</v>
      </c>
      <c r="N198" s="1" t="s">
        <v>20</v>
      </c>
      <c r="O198" s="1" t="s">
        <v>42</v>
      </c>
      <c r="P198" s="1" t="s">
        <v>22</v>
      </c>
      <c r="Q198" s="1" t="s">
        <v>23</v>
      </c>
      <c r="R198">
        <v>0.85044083359846201</v>
      </c>
    </row>
    <row r="199" spans="1:18" x14ac:dyDescent="0.2">
      <c r="A199" s="1">
        <v>160630</v>
      </c>
      <c r="B199" s="1" t="s">
        <v>266</v>
      </c>
      <c r="C199" s="1" t="s">
        <v>46</v>
      </c>
      <c r="D199" s="1">
        <v>0.78900000000000003</v>
      </c>
      <c r="E199" s="1">
        <v>1055</v>
      </c>
      <c r="F199" s="1">
        <v>16954</v>
      </c>
      <c r="G199" s="1">
        <v>0.13109999999999999</v>
      </c>
      <c r="H199" s="1">
        <v>0.52</v>
      </c>
      <c r="I199" s="1">
        <v>0.41739999999999999</v>
      </c>
      <c r="J199" s="1">
        <v>34042</v>
      </c>
      <c r="K199" s="1">
        <v>31000</v>
      </c>
      <c r="L199" s="1">
        <v>6898</v>
      </c>
      <c r="M199" s="1">
        <v>13</v>
      </c>
      <c r="N199" s="1" t="s">
        <v>28</v>
      </c>
      <c r="O199" s="1" t="s">
        <v>29</v>
      </c>
      <c r="P199" s="1" t="s">
        <v>30</v>
      </c>
      <c r="Q199" s="1" t="s">
        <v>31</v>
      </c>
      <c r="R199">
        <v>0.85025311414000027</v>
      </c>
    </row>
    <row r="200" spans="1:18" x14ac:dyDescent="0.2">
      <c r="A200" s="1">
        <v>112075</v>
      </c>
      <c r="B200" s="1" t="s">
        <v>267</v>
      </c>
      <c r="C200" s="1" t="s">
        <v>33</v>
      </c>
      <c r="D200" s="1">
        <v>0.65990000000000004</v>
      </c>
      <c r="E200" s="1">
        <v>1536</v>
      </c>
      <c r="F200" s="1">
        <v>43480</v>
      </c>
      <c r="G200" s="1">
        <v>0.58309999999999995</v>
      </c>
      <c r="H200" s="1">
        <v>0.74829999999999997</v>
      </c>
      <c r="I200" s="1">
        <v>0.24229999999999999</v>
      </c>
      <c r="J200" s="1">
        <v>65083</v>
      </c>
      <c r="K200" s="1">
        <v>24247</v>
      </c>
      <c r="L200" s="1">
        <v>8069</v>
      </c>
      <c r="M200" s="1">
        <v>13</v>
      </c>
      <c r="N200" s="1" t="s">
        <v>20</v>
      </c>
      <c r="O200" s="1" t="s">
        <v>29</v>
      </c>
      <c r="P200" s="1" t="s">
        <v>22</v>
      </c>
      <c r="Q200" s="1" t="s">
        <v>23</v>
      </c>
      <c r="R200">
        <v>0.85002225727383429</v>
      </c>
    </row>
    <row r="201" spans="1:18" x14ac:dyDescent="0.2">
      <c r="A201" s="1">
        <v>218229</v>
      </c>
      <c r="B201" s="1" t="s">
        <v>268</v>
      </c>
      <c r="C201" s="1" t="s">
        <v>155</v>
      </c>
      <c r="D201" s="1">
        <v>0.81310000000000004</v>
      </c>
      <c r="E201" s="1">
        <v>3397</v>
      </c>
      <c r="F201" s="1">
        <v>21300</v>
      </c>
      <c r="G201" s="1">
        <v>0.49769999999999998</v>
      </c>
      <c r="H201" s="1">
        <v>0.69610000000000005</v>
      </c>
      <c r="I201" s="1">
        <v>0.38729999999999998</v>
      </c>
      <c r="J201" s="1">
        <v>42396</v>
      </c>
      <c r="K201" s="1">
        <v>25000</v>
      </c>
      <c r="L201" s="1">
        <v>7527</v>
      </c>
      <c r="M201" s="1">
        <v>18</v>
      </c>
      <c r="N201" s="1" t="s">
        <v>28</v>
      </c>
      <c r="O201" s="1" t="s">
        <v>42</v>
      </c>
      <c r="P201" s="1" t="s">
        <v>30</v>
      </c>
      <c r="Q201" s="1" t="s">
        <v>31</v>
      </c>
      <c r="R201">
        <v>0.84970699715025966</v>
      </c>
    </row>
    <row r="202" spans="1:18" x14ac:dyDescent="0.2">
      <c r="A202" s="1">
        <v>107877</v>
      </c>
      <c r="B202" s="1" t="s">
        <v>269</v>
      </c>
      <c r="C202" s="1" t="s">
        <v>70</v>
      </c>
      <c r="D202" s="1">
        <v>0.83420000000000005</v>
      </c>
      <c r="E202" s="1">
        <v>478</v>
      </c>
      <c r="F202" s="1">
        <v>21070</v>
      </c>
      <c r="G202" s="1">
        <v>0.25640000000000002</v>
      </c>
      <c r="H202" s="1">
        <v>0.70150000000000001</v>
      </c>
      <c r="I202" s="1">
        <v>0.54379999999999995</v>
      </c>
      <c r="J202" s="1">
        <v>38484</v>
      </c>
      <c r="K202" s="1">
        <v>21820</v>
      </c>
      <c r="L202" s="1">
        <v>5570</v>
      </c>
      <c r="M202" s="1">
        <v>14</v>
      </c>
      <c r="N202" s="1" t="s">
        <v>20</v>
      </c>
      <c r="O202" s="1" t="s">
        <v>42</v>
      </c>
      <c r="P202" s="1" t="s">
        <v>30</v>
      </c>
      <c r="Q202" s="1" t="s">
        <v>31</v>
      </c>
      <c r="R202">
        <v>0.8493721595063991</v>
      </c>
    </row>
    <row r="203" spans="1:18" x14ac:dyDescent="0.2">
      <c r="A203" s="1">
        <v>154013</v>
      </c>
      <c r="B203" s="1" t="s">
        <v>270</v>
      </c>
      <c r="C203" s="1" t="s">
        <v>81</v>
      </c>
      <c r="D203" s="1">
        <v>0.82520000000000004</v>
      </c>
      <c r="E203" s="1">
        <v>1107</v>
      </c>
      <c r="F203" s="1">
        <v>40878</v>
      </c>
      <c r="G203" s="1">
        <v>0.57740000000000002</v>
      </c>
      <c r="H203" s="1">
        <v>0.72770000000000001</v>
      </c>
      <c r="I203" s="1">
        <v>0.26669999999999999</v>
      </c>
      <c r="J203" s="1">
        <v>60787</v>
      </c>
      <c r="K203" s="1">
        <v>23699</v>
      </c>
      <c r="L203" s="1">
        <v>6815</v>
      </c>
      <c r="M203" s="1">
        <v>14</v>
      </c>
      <c r="N203" s="1" t="s">
        <v>20</v>
      </c>
      <c r="O203" s="1" t="s">
        <v>29</v>
      </c>
      <c r="P203" s="1" t="s">
        <v>22</v>
      </c>
      <c r="Q203" s="1" t="s">
        <v>23</v>
      </c>
      <c r="R203">
        <v>0.84924650521551515</v>
      </c>
    </row>
    <row r="204" spans="1:18" x14ac:dyDescent="0.2">
      <c r="A204" s="1">
        <v>118693</v>
      </c>
      <c r="B204" s="1" t="s">
        <v>271</v>
      </c>
      <c r="C204" s="1" t="s">
        <v>33</v>
      </c>
      <c r="D204" s="1">
        <v>0.68469999999999998</v>
      </c>
      <c r="E204" s="1">
        <v>752</v>
      </c>
      <c r="F204" s="1">
        <v>53630</v>
      </c>
      <c r="G204" s="1">
        <v>0.53500000000000003</v>
      </c>
      <c r="H204" s="1">
        <v>0.69940000000000002</v>
      </c>
      <c r="I204" s="1">
        <v>0.3105</v>
      </c>
      <c r="J204" s="1">
        <v>76419</v>
      </c>
      <c r="K204" s="1">
        <v>21750</v>
      </c>
      <c r="L204" s="1">
        <v>10344</v>
      </c>
      <c r="M204" s="1">
        <v>14</v>
      </c>
      <c r="N204" s="1" t="s">
        <v>20</v>
      </c>
      <c r="O204" s="1" t="s">
        <v>21</v>
      </c>
      <c r="P204" s="1" t="s">
        <v>22</v>
      </c>
      <c r="Q204" s="1" t="s">
        <v>23</v>
      </c>
      <c r="R204">
        <v>0.84913413204217936</v>
      </c>
    </row>
    <row r="205" spans="1:18" x14ac:dyDescent="0.2">
      <c r="A205" s="1">
        <v>157809</v>
      </c>
      <c r="B205" s="1" t="s">
        <v>272</v>
      </c>
      <c r="C205" s="1" t="s">
        <v>104</v>
      </c>
      <c r="D205" s="1">
        <v>0.90349999999999997</v>
      </c>
      <c r="E205" s="1">
        <v>1293</v>
      </c>
      <c r="F205" s="1">
        <v>39800</v>
      </c>
      <c r="G205" s="1">
        <v>0.40500000000000003</v>
      </c>
      <c r="H205" s="1">
        <v>0.66749999999999998</v>
      </c>
      <c r="I205" s="1">
        <v>0.23050000000000001</v>
      </c>
      <c r="J205" s="1">
        <v>59384</v>
      </c>
      <c r="K205" s="1">
        <v>26236</v>
      </c>
      <c r="L205" s="1">
        <v>6727</v>
      </c>
      <c r="M205" s="1">
        <v>14</v>
      </c>
      <c r="N205" s="1" t="s">
        <v>20</v>
      </c>
      <c r="O205" s="1" t="s">
        <v>21</v>
      </c>
      <c r="P205" s="1" t="s">
        <v>30</v>
      </c>
      <c r="Q205" s="1" t="s">
        <v>23</v>
      </c>
      <c r="R205">
        <v>0.84909214451655624</v>
      </c>
    </row>
    <row r="206" spans="1:18" x14ac:dyDescent="0.2">
      <c r="A206" s="1">
        <v>173647</v>
      </c>
      <c r="B206" s="1" t="s">
        <v>273</v>
      </c>
      <c r="C206" s="1" t="s">
        <v>54</v>
      </c>
      <c r="D206" s="1">
        <v>0.6099</v>
      </c>
      <c r="E206" s="1">
        <v>1878</v>
      </c>
      <c r="F206" s="1">
        <v>56076</v>
      </c>
      <c r="G206" s="1">
        <v>0.76649999999999996</v>
      </c>
      <c r="H206" s="1">
        <v>0.87980000000000003</v>
      </c>
      <c r="I206" s="1">
        <v>0.20699999999999999</v>
      </c>
      <c r="J206" s="1">
        <v>65607</v>
      </c>
      <c r="K206" s="1">
        <v>26774</v>
      </c>
      <c r="L206" s="1">
        <v>8374</v>
      </c>
      <c r="M206" s="1">
        <v>12</v>
      </c>
      <c r="N206" s="1" t="s">
        <v>20</v>
      </c>
      <c r="O206" s="1" t="s">
        <v>42</v>
      </c>
      <c r="P206" s="1" t="s">
        <v>22</v>
      </c>
      <c r="Q206" s="1" t="s">
        <v>23</v>
      </c>
      <c r="R206">
        <v>0.84854151449304693</v>
      </c>
    </row>
    <row r="207" spans="1:18" x14ac:dyDescent="0.2">
      <c r="A207" s="1">
        <v>238324</v>
      </c>
      <c r="B207" s="1" t="s">
        <v>274</v>
      </c>
      <c r="C207" s="1" t="s">
        <v>50</v>
      </c>
      <c r="D207" s="1">
        <v>0.9718</v>
      </c>
      <c r="E207" s="1">
        <v>372</v>
      </c>
      <c r="F207" s="1">
        <v>30952</v>
      </c>
      <c r="G207" s="1">
        <v>0.63039999999999996</v>
      </c>
      <c r="H207" s="1">
        <v>0.94640000000000002</v>
      </c>
      <c r="I207" s="1">
        <v>0.1258</v>
      </c>
      <c r="J207" s="1">
        <v>76222</v>
      </c>
      <c r="K207" s="1">
        <v>18000</v>
      </c>
      <c r="L207" s="1">
        <v>8323</v>
      </c>
      <c r="M207" s="1">
        <v>10</v>
      </c>
      <c r="N207" s="1" t="s">
        <v>20</v>
      </c>
      <c r="O207" s="1" t="s">
        <v>21</v>
      </c>
      <c r="P207" s="1" t="s">
        <v>22</v>
      </c>
      <c r="Q207" s="1" t="s">
        <v>23</v>
      </c>
      <c r="R207">
        <v>0.84802514192815714</v>
      </c>
    </row>
    <row r="208" spans="1:18" x14ac:dyDescent="0.2">
      <c r="A208" s="1">
        <v>163268</v>
      </c>
      <c r="B208" s="1" t="s">
        <v>275</v>
      </c>
      <c r="C208" s="1" t="s">
        <v>61</v>
      </c>
      <c r="D208" s="1">
        <v>0.72430000000000005</v>
      </c>
      <c r="E208" s="1">
        <v>10701</v>
      </c>
      <c r="F208" s="1">
        <v>31275</v>
      </c>
      <c r="G208" s="1">
        <v>0.70009999999999994</v>
      </c>
      <c r="H208" s="1">
        <v>0.85050000000000003</v>
      </c>
      <c r="I208" s="1">
        <v>0.3004</v>
      </c>
      <c r="J208" s="1">
        <v>69960</v>
      </c>
      <c r="K208" s="1">
        <v>19500</v>
      </c>
      <c r="L208" s="1">
        <v>13145</v>
      </c>
      <c r="M208" s="1">
        <v>17</v>
      </c>
      <c r="N208" s="1" t="s">
        <v>28</v>
      </c>
      <c r="O208" s="1" t="s">
        <v>21</v>
      </c>
      <c r="P208" s="1" t="s">
        <v>30</v>
      </c>
      <c r="Q208" s="1" t="s">
        <v>23</v>
      </c>
      <c r="R208">
        <v>0.84768611512061309</v>
      </c>
    </row>
    <row r="209" spans="1:18" x14ac:dyDescent="0.2">
      <c r="A209" s="1">
        <v>165015</v>
      </c>
      <c r="B209" s="1" t="s">
        <v>276</v>
      </c>
      <c r="C209" s="1" t="s">
        <v>129</v>
      </c>
      <c r="D209" s="1">
        <v>0.40500000000000003</v>
      </c>
      <c r="E209" s="1">
        <v>3618</v>
      </c>
      <c r="F209" s="1">
        <v>68080</v>
      </c>
      <c r="G209" s="1">
        <v>0.86029999999999995</v>
      </c>
      <c r="H209" s="1">
        <v>0.87019999999999997</v>
      </c>
      <c r="I209" s="1">
        <v>0.1497</v>
      </c>
      <c r="J209" s="1">
        <v>77231</v>
      </c>
      <c r="K209" s="1">
        <v>25648</v>
      </c>
      <c r="L209" s="1">
        <v>14570</v>
      </c>
      <c r="M209" s="1">
        <v>10</v>
      </c>
      <c r="N209" s="1" t="s">
        <v>20</v>
      </c>
      <c r="O209" s="1" t="s">
        <v>29</v>
      </c>
      <c r="P209" s="1" t="s">
        <v>39</v>
      </c>
      <c r="Q209" s="1" t="s">
        <v>23</v>
      </c>
      <c r="R209">
        <v>0.84667885399158005</v>
      </c>
    </row>
    <row r="210" spans="1:18" x14ac:dyDescent="0.2">
      <c r="A210" s="1">
        <v>102094</v>
      </c>
      <c r="B210" s="1" t="s">
        <v>277</v>
      </c>
      <c r="C210" s="1" t="s">
        <v>177</v>
      </c>
      <c r="D210" s="1">
        <v>0.70960000000000001</v>
      </c>
      <c r="E210" s="1">
        <v>8879</v>
      </c>
      <c r="F210" s="1">
        <v>19092</v>
      </c>
      <c r="G210" s="1">
        <v>0.52669999999999995</v>
      </c>
      <c r="H210" s="1">
        <v>0.75739999999999996</v>
      </c>
      <c r="I210" s="1">
        <v>0.37959999999999999</v>
      </c>
      <c r="J210" s="1">
        <v>49379</v>
      </c>
      <c r="K210" s="1">
        <v>24929</v>
      </c>
      <c r="L210" s="1">
        <v>7761</v>
      </c>
      <c r="M210" s="1">
        <v>19</v>
      </c>
      <c r="N210" s="1" t="s">
        <v>28</v>
      </c>
      <c r="O210" s="1" t="s">
        <v>29</v>
      </c>
      <c r="P210" s="1" t="s">
        <v>30</v>
      </c>
      <c r="Q210" s="1" t="s">
        <v>31</v>
      </c>
      <c r="R210">
        <v>0.84658671459796109</v>
      </c>
    </row>
    <row r="211" spans="1:18" x14ac:dyDescent="0.2">
      <c r="A211" s="1">
        <v>211291</v>
      </c>
      <c r="B211" s="1" t="s">
        <v>278</v>
      </c>
      <c r="C211" s="1" t="s">
        <v>98</v>
      </c>
      <c r="D211" s="1">
        <v>0.2893</v>
      </c>
      <c r="E211" s="1">
        <v>3876</v>
      </c>
      <c r="F211" s="1">
        <v>67812</v>
      </c>
      <c r="G211" s="1">
        <v>0.86319999999999997</v>
      </c>
      <c r="H211" s="1">
        <v>0.93679999999999997</v>
      </c>
      <c r="I211" s="1">
        <v>0.12379999999999999</v>
      </c>
      <c r="J211" s="1">
        <v>93807</v>
      </c>
      <c r="K211" s="1">
        <v>27000</v>
      </c>
      <c r="L211" s="1">
        <v>13254</v>
      </c>
      <c r="M211" s="1">
        <v>9</v>
      </c>
      <c r="N211" s="1" t="s">
        <v>20</v>
      </c>
      <c r="O211" s="1" t="s">
        <v>42</v>
      </c>
      <c r="P211" s="1" t="s">
        <v>39</v>
      </c>
      <c r="Q211" s="1" t="s">
        <v>23</v>
      </c>
      <c r="R211">
        <v>0.84604626512750991</v>
      </c>
    </row>
    <row r="212" spans="1:18" x14ac:dyDescent="0.2">
      <c r="A212" s="1">
        <v>160065</v>
      </c>
      <c r="B212" s="1" t="s">
        <v>279</v>
      </c>
      <c r="C212" s="1" t="s">
        <v>46</v>
      </c>
      <c r="D212" s="1">
        <v>0.73660000000000003</v>
      </c>
      <c r="E212" s="1">
        <v>471</v>
      </c>
      <c r="F212" s="1">
        <v>16576</v>
      </c>
      <c r="G212" s="1">
        <v>0.48570000000000002</v>
      </c>
      <c r="H212" s="1">
        <v>0.7097</v>
      </c>
      <c r="I212" s="1">
        <v>0.27529999999999999</v>
      </c>
      <c r="J212" s="1">
        <v>49316</v>
      </c>
      <c r="K212" s="1">
        <v>26995</v>
      </c>
      <c r="L212" s="1">
        <v>7708</v>
      </c>
      <c r="M212" s="1">
        <v>7</v>
      </c>
      <c r="N212" s="1" t="s">
        <v>20</v>
      </c>
      <c r="O212" s="1" t="s">
        <v>29</v>
      </c>
      <c r="P212" s="1" t="s">
        <v>30</v>
      </c>
      <c r="Q212" s="1" t="s">
        <v>31</v>
      </c>
      <c r="R212">
        <v>0.84594258669905531</v>
      </c>
    </row>
    <row r="213" spans="1:18" x14ac:dyDescent="0.2">
      <c r="A213" s="1">
        <v>233897</v>
      </c>
      <c r="B213" s="1" t="s">
        <v>280</v>
      </c>
      <c r="C213" s="1" t="s">
        <v>52</v>
      </c>
      <c r="D213" s="1">
        <v>0.28539999999999999</v>
      </c>
      <c r="E213" s="1">
        <v>1101</v>
      </c>
      <c r="F213" s="1">
        <v>28010</v>
      </c>
      <c r="G213" s="1">
        <v>0.47060000000000002</v>
      </c>
      <c r="H213" s="1">
        <v>0.7157</v>
      </c>
      <c r="I213" s="1">
        <v>0.3977</v>
      </c>
      <c r="J213" s="1">
        <v>45325</v>
      </c>
      <c r="K213" s="1">
        <v>16750</v>
      </c>
      <c r="L213" s="1">
        <v>9197</v>
      </c>
      <c r="M213" s="1">
        <v>14</v>
      </c>
      <c r="N213" s="1" t="s">
        <v>28</v>
      </c>
      <c r="O213" s="1" t="s">
        <v>42</v>
      </c>
      <c r="P213" s="1" t="s">
        <v>30</v>
      </c>
      <c r="Q213" s="1" t="s">
        <v>31</v>
      </c>
      <c r="R213">
        <v>0.84544635678620239</v>
      </c>
    </row>
    <row r="214" spans="1:18" x14ac:dyDescent="0.2">
      <c r="A214" s="1">
        <v>193973</v>
      </c>
      <c r="B214" s="1" t="s">
        <v>281</v>
      </c>
      <c r="C214" s="1" t="s">
        <v>58</v>
      </c>
      <c r="D214" s="1">
        <v>0.87370000000000003</v>
      </c>
      <c r="E214" s="1">
        <v>2653</v>
      </c>
      <c r="F214" s="1">
        <v>39345</v>
      </c>
      <c r="G214" s="1">
        <v>0.74509999999999998</v>
      </c>
      <c r="H214" s="1">
        <v>0.80379999999999996</v>
      </c>
      <c r="I214" s="1">
        <v>0.27189999999999998</v>
      </c>
      <c r="J214" s="1">
        <v>56196</v>
      </c>
      <c r="K214" s="1">
        <v>25475</v>
      </c>
      <c r="L214" s="1">
        <v>9724</v>
      </c>
      <c r="M214" s="1">
        <v>10</v>
      </c>
      <c r="N214" s="1" t="s">
        <v>20</v>
      </c>
      <c r="O214" s="1" t="s">
        <v>21</v>
      </c>
      <c r="P214" s="1" t="s">
        <v>39</v>
      </c>
      <c r="Q214" s="1" t="s">
        <v>23</v>
      </c>
      <c r="R214">
        <v>0.84407331028905008</v>
      </c>
    </row>
    <row r="215" spans="1:18" x14ac:dyDescent="0.2">
      <c r="A215" s="1">
        <v>139144</v>
      </c>
      <c r="B215" s="1" t="s">
        <v>282</v>
      </c>
      <c r="C215" s="1" t="s">
        <v>126</v>
      </c>
      <c r="D215" s="1">
        <v>0.64</v>
      </c>
      <c r="E215" s="1">
        <v>2245</v>
      </c>
      <c r="F215" s="1">
        <v>41686</v>
      </c>
      <c r="G215" s="1">
        <v>0.69489999999999996</v>
      </c>
      <c r="H215" s="1">
        <v>0.83509999999999995</v>
      </c>
      <c r="I215" s="1">
        <v>0.26769999999999999</v>
      </c>
      <c r="J215" s="1">
        <v>53800</v>
      </c>
      <c r="K215" s="1">
        <v>23250</v>
      </c>
      <c r="L215" s="1">
        <v>9319</v>
      </c>
      <c r="M215" s="1">
        <v>12</v>
      </c>
      <c r="N215" s="1" t="s">
        <v>20</v>
      </c>
      <c r="O215" s="1" t="s">
        <v>21</v>
      </c>
      <c r="P215" s="1" t="s">
        <v>30</v>
      </c>
      <c r="Q215" s="1" t="s">
        <v>23</v>
      </c>
      <c r="R215">
        <v>0.84366946073805438</v>
      </c>
    </row>
    <row r="216" spans="1:18" x14ac:dyDescent="0.2">
      <c r="A216" s="1">
        <v>454245</v>
      </c>
      <c r="B216" s="1" t="s">
        <v>283</v>
      </c>
      <c r="C216" s="1" t="s">
        <v>216</v>
      </c>
      <c r="D216" s="1">
        <v>0.90910000000000002</v>
      </c>
      <c r="E216" s="1">
        <v>693</v>
      </c>
      <c r="F216" s="1">
        <v>20785</v>
      </c>
      <c r="G216" s="1">
        <v>0.5</v>
      </c>
      <c r="H216" s="1">
        <v>0.66669999999999996</v>
      </c>
      <c r="I216" s="1">
        <v>0.46850000000000003</v>
      </c>
      <c r="J216" s="1">
        <v>92405</v>
      </c>
      <c r="K216" s="1">
        <v>20919</v>
      </c>
      <c r="L216" s="1">
        <v>8978</v>
      </c>
      <c r="M216" s="1">
        <v>10</v>
      </c>
      <c r="N216" s="1" t="s">
        <v>142</v>
      </c>
      <c r="O216" s="1" t="s">
        <v>29</v>
      </c>
      <c r="P216" s="1" t="s">
        <v>22</v>
      </c>
      <c r="Q216" s="1" t="s">
        <v>23</v>
      </c>
      <c r="R216">
        <v>0.84281850482971288</v>
      </c>
    </row>
    <row r="217" spans="1:18" x14ac:dyDescent="0.2">
      <c r="A217" s="1">
        <v>232566</v>
      </c>
      <c r="B217" s="1" t="s">
        <v>284</v>
      </c>
      <c r="C217" s="1" t="s">
        <v>52</v>
      </c>
      <c r="D217" s="1">
        <v>0.9022</v>
      </c>
      <c r="E217" s="1">
        <v>3015</v>
      </c>
      <c r="F217" s="1">
        <v>27978</v>
      </c>
      <c r="G217" s="1">
        <v>0.61229999999999996</v>
      </c>
      <c r="H217" s="1">
        <v>0.79769999999999996</v>
      </c>
      <c r="I217" s="1">
        <v>0.27710000000000001</v>
      </c>
      <c r="J217" s="1">
        <v>52347</v>
      </c>
      <c r="K217" s="1">
        <v>25000</v>
      </c>
      <c r="L217" s="1">
        <v>9246</v>
      </c>
      <c r="M217" s="1">
        <v>15</v>
      </c>
      <c r="N217" s="1" t="s">
        <v>28</v>
      </c>
      <c r="O217" s="1" t="s">
        <v>42</v>
      </c>
      <c r="P217" s="1" t="s">
        <v>30</v>
      </c>
      <c r="Q217" s="1" t="s">
        <v>23</v>
      </c>
      <c r="R217">
        <v>0.8425124773128615</v>
      </c>
    </row>
    <row r="218" spans="1:18" x14ac:dyDescent="0.2">
      <c r="A218" s="1">
        <v>230038</v>
      </c>
      <c r="B218" s="1" t="s">
        <v>285</v>
      </c>
      <c r="C218" s="1" t="s">
        <v>286</v>
      </c>
      <c r="D218" s="1">
        <v>0.67779999999999996</v>
      </c>
      <c r="E218" s="1">
        <v>32952</v>
      </c>
      <c r="F218" s="1">
        <v>6688</v>
      </c>
      <c r="G218" s="1">
        <v>0.80979999999999996</v>
      </c>
      <c r="H218" s="1">
        <v>0.90969999999999995</v>
      </c>
      <c r="I218" s="1">
        <v>0.32100000000000001</v>
      </c>
      <c r="J218" s="1">
        <v>75790</v>
      </c>
      <c r="K218" s="1">
        <v>11069</v>
      </c>
      <c r="L218" s="1">
        <v>14370</v>
      </c>
      <c r="M218" s="1">
        <v>21</v>
      </c>
      <c r="N218" s="1" t="s">
        <v>20</v>
      </c>
      <c r="O218" s="1" t="s">
        <v>29</v>
      </c>
      <c r="P218" s="1" t="s">
        <v>22</v>
      </c>
      <c r="Q218" s="1" t="s">
        <v>23</v>
      </c>
      <c r="R218">
        <v>0.84228754341562195</v>
      </c>
    </row>
    <row r="219" spans="1:18" x14ac:dyDescent="0.2">
      <c r="A219" s="1">
        <v>206491</v>
      </c>
      <c r="B219" s="1" t="s">
        <v>287</v>
      </c>
      <c r="C219" s="1" t="s">
        <v>19</v>
      </c>
      <c r="D219" s="1">
        <v>0.40500000000000003</v>
      </c>
      <c r="E219" s="1">
        <v>822</v>
      </c>
      <c r="F219" s="1">
        <v>16448</v>
      </c>
      <c r="G219" s="1">
        <v>0.1202</v>
      </c>
      <c r="H219" s="1">
        <v>0.74170000000000003</v>
      </c>
      <c r="I219" s="1">
        <v>0.7409</v>
      </c>
      <c r="J219" s="1">
        <v>38298</v>
      </c>
      <c r="K219" s="1">
        <v>26468</v>
      </c>
      <c r="L219" s="1">
        <v>7300</v>
      </c>
      <c r="M219" s="1">
        <v>12</v>
      </c>
      <c r="N219" s="1" t="s">
        <v>20</v>
      </c>
      <c r="O219" s="1" t="s">
        <v>42</v>
      </c>
      <c r="P219" s="1" t="s">
        <v>22</v>
      </c>
      <c r="Q219" s="1" t="s">
        <v>31</v>
      </c>
      <c r="R219">
        <v>0.84206325426391215</v>
      </c>
    </row>
    <row r="220" spans="1:18" x14ac:dyDescent="0.2">
      <c r="A220" s="1">
        <v>198969</v>
      </c>
      <c r="B220" s="1" t="s">
        <v>288</v>
      </c>
      <c r="C220" s="1" t="s">
        <v>86</v>
      </c>
      <c r="D220" s="1">
        <v>0.75139999999999996</v>
      </c>
      <c r="E220" s="1">
        <v>1448</v>
      </c>
      <c r="F220" s="1">
        <v>41250</v>
      </c>
      <c r="G220" s="1">
        <v>0.43509999999999999</v>
      </c>
      <c r="H220" s="1">
        <v>0.65100000000000002</v>
      </c>
      <c r="I220" s="1">
        <v>0.41299999999999998</v>
      </c>
      <c r="J220" s="1">
        <v>48050</v>
      </c>
      <c r="K220" s="1">
        <v>27000</v>
      </c>
      <c r="L220" s="1">
        <v>8728</v>
      </c>
      <c r="M220" s="1">
        <v>11</v>
      </c>
      <c r="N220" s="1" t="s">
        <v>20</v>
      </c>
      <c r="O220" s="1" t="s">
        <v>29</v>
      </c>
      <c r="P220" s="1" t="s">
        <v>30</v>
      </c>
      <c r="Q220" s="1" t="s">
        <v>31</v>
      </c>
      <c r="R220">
        <v>0.84037557450660805</v>
      </c>
    </row>
    <row r="221" spans="1:18" x14ac:dyDescent="0.2">
      <c r="A221" s="1">
        <v>188429</v>
      </c>
      <c r="B221" s="1" t="s">
        <v>289</v>
      </c>
      <c r="C221" s="1" t="s">
        <v>58</v>
      </c>
      <c r="D221" s="1">
        <v>0.65910000000000002</v>
      </c>
      <c r="E221" s="1">
        <v>5276</v>
      </c>
      <c r="F221" s="1">
        <v>49110</v>
      </c>
      <c r="G221" s="1">
        <v>0.67149999999999999</v>
      </c>
      <c r="H221" s="1">
        <v>0.8286</v>
      </c>
      <c r="I221" s="1">
        <v>0.31030000000000002</v>
      </c>
      <c r="J221" s="1">
        <v>75482</v>
      </c>
      <c r="K221" s="1">
        <v>25000</v>
      </c>
      <c r="L221" s="1">
        <v>13657</v>
      </c>
      <c r="M221" s="1">
        <v>12</v>
      </c>
      <c r="N221" s="1" t="s">
        <v>20</v>
      </c>
      <c r="O221" s="1" t="s">
        <v>21</v>
      </c>
      <c r="P221" s="1" t="s">
        <v>39</v>
      </c>
      <c r="Q221" s="1" t="s">
        <v>23</v>
      </c>
      <c r="R221">
        <v>0.8382167247870993</v>
      </c>
    </row>
    <row r="222" spans="1:18" x14ac:dyDescent="0.2">
      <c r="A222" s="1">
        <v>198613</v>
      </c>
      <c r="B222" s="1" t="s">
        <v>290</v>
      </c>
      <c r="C222" s="1" t="s">
        <v>86</v>
      </c>
      <c r="D222" s="1">
        <v>0.8</v>
      </c>
      <c r="E222" s="1">
        <v>1001</v>
      </c>
      <c r="F222" s="1">
        <v>41362</v>
      </c>
      <c r="G222" s="1">
        <v>0.45810000000000001</v>
      </c>
      <c r="H222" s="1">
        <v>0.6492</v>
      </c>
      <c r="I222" s="1">
        <v>0.43709999999999999</v>
      </c>
      <c r="J222" s="1">
        <v>47590</v>
      </c>
      <c r="K222" s="1">
        <v>26000</v>
      </c>
      <c r="L222" s="1">
        <v>7005</v>
      </c>
      <c r="M222" s="1">
        <v>12</v>
      </c>
      <c r="N222" s="1" t="s">
        <v>20</v>
      </c>
      <c r="O222" s="1" t="s">
        <v>29</v>
      </c>
      <c r="P222" s="1" t="s">
        <v>30</v>
      </c>
      <c r="Q222" s="1" t="s">
        <v>31</v>
      </c>
      <c r="R222">
        <v>0.83794304313221291</v>
      </c>
    </row>
    <row r="223" spans="1:18" x14ac:dyDescent="0.2">
      <c r="A223" s="1">
        <v>169798</v>
      </c>
      <c r="B223" s="1" t="s">
        <v>291</v>
      </c>
      <c r="C223" s="1" t="s">
        <v>109</v>
      </c>
      <c r="D223" s="1">
        <v>0.7964</v>
      </c>
      <c r="E223" s="1">
        <v>10055</v>
      </c>
      <c r="F223" s="1">
        <v>16240</v>
      </c>
      <c r="G223" s="1">
        <v>0.46439999999999998</v>
      </c>
      <c r="H223" s="1">
        <v>0.6875</v>
      </c>
      <c r="I223" s="1">
        <v>0.3664</v>
      </c>
      <c r="J223" s="1">
        <v>51793</v>
      </c>
      <c r="K223" s="1">
        <v>25000</v>
      </c>
      <c r="L223" s="1">
        <v>10472</v>
      </c>
      <c r="M223" s="1">
        <v>14</v>
      </c>
      <c r="N223" s="1" t="s">
        <v>28</v>
      </c>
      <c r="O223" s="1" t="s">
        <v>21</v>
      </c>
      <c r="P223" s="1" t="s">
        <v>22</v>
      </c>
      <c r="Q223" s="1" t="s">
        <v>23</v>
      </c>
      <c r="R223">
        <v>0.83745993728228929</v>
      </c>
    </row>
    <row r="224" spans="1:18" x14ac:dyDescent="0.2">
      <c r="A224" s="1">
        <v>220862</v>
      </c>
      <c r="B224" s="1" t="s">
        <v>292</v>
      </c>
      <c r="C224" s="1" t="s">
        <v>163</v>
      </c>
      <c r="D224" s="1">
        <v>0.72030000000000005</v>
      </c>
      <c r="E224" s="1">
        <v>12701</v>
      </c>
      <c r="F224" s="1">
        <v>15384</v>
      </c>
      <c r="G224" s="1">
        <v>0.50890000000000002</v>
      </c>
      <c r="H224" s="1">
        <v>0.77380000000000004</v>
      </c>
      <c r="I224" s="1">
        <v>0.41220000000000001</v>
      </c>
      <c r="J224" s="1">
        <v>48458</v>
      </c>
      <c r="K224" s="1">
        <v>23300</v>
      </c>
      <c r="L224" s="1">
        <v>9632</v>
      </c>
      <c r="M224" s="1">
        <v>16</v>
      </c>
      <c r="N224" s="1" t="s">
        <v>28</v>
      </c>
      <c r="O224" s="1" t="s">
        <v>29</v>
      </c>
      <c r="P224" s="1" t="s">
        <v>30</v>
      </c>
      <c r="Q224" s="1" t="s">
        <v>31</v>
      </c>
      <c r="R224">
        <v>0.83742790167285108</v>
      </c>
    </row>
    <row r="225" spans="1:18" x14ac:dyDescent="0.2">
      <c r="A225" s="1">
        <v>216357</v>
      </c>
      <c r="B225" s="1" t="s">
        <v>293</v>
      </c>
      <c r="C225" s="1" t="s">
        <v>98</v>
      </c>
      <c r="D225" s="1">
        <v>0.71550000000000002</v>
      </c>
      <c r="E225" s="1">
        <v>788</v>
      </c>
      <c r="F225" s="1">
        <v>38344</v>
      </c>
      <c r="G225" s="1">
        <v>0.48730000000000001</v>
      </c>
      <c r="H225" s="1">
        <v>0.73270000000000002</v>
      </c>
      <c r="I225" s="1">
        <v>0.4078</v>
      </c>
      <c r="J225" s="1">
        <v>49714</v>
      </c>
      <c r="K225" s="1">
        <v>27000</v>
      </c>
      <c r="L225" s="1">
        <v>7413</v>
      </c>
      <c r="M225" s="1">
        <v>12</v>
      </c>
      <c r="N225" s="1" t="s">
        <v>20</v>
      </c>
      <c r="O225" s="1" t="s">
        <v>42</v>
      </c>
      <c r="P225" s="1" t="s">
        <v>39</v>
      </c>
      <c r="Q225" s="1" t="s">
        <v>31</v>
      </c>
      <c r="R225">
        <v>0.83687992435853409</v>
      </c>
    </row>
    <row r="226" spans="1:18" x14ac:dyDescent="0.2">
      <c r="A226" s="1">
        <v>169248</v>
      </c>
      <c r="B226" s="1" t="s">
        <v>294</v>
      </c>
      <c r="C226" s="1" t="s">
        <v>109</v>
      </c>
      <c r="D226" s="1">
        <v>0.8982</v>
      </c>
      <c r="E226" s="1">
        <v>10035</v>
      </c>
      <c r="F226" s="1">
        <v>14760</v>
      </c>
      <c r="G226" s="1">
        <v>0.58720000000000006</v>
      </c>
      <c r="H226" s="1">
        <v>0.75360000000000005</v>
      </c>
      <c r="I226" s="1">
        <v>0.31430000000000002</v>
      </c>
      <c r="J226" s="1">
        <v>55874</v>
      </c>
      <c r="K226" s="1">
        <v>27000</v>
      </c>
      <c r="L226" s="1">
        <v>10682</v>
      </c>
      <c r="M226" s="1">
        <v>16</v>
      </c>
      <c r="N226" s="1" t="s">
        <v>28</v>
      </c>
      <c r="O226" s="1" t="s">
        <v>42</v>
      </c>
      <c r="P226" s="1" t="s">
        <v>22</v>
      </c>
      <c r="Q226" s="1" t="s">
        <v>23</v>
      </c>
      <c r="R226">
        <v>0.83653280845338351</v>
      </c>
    </row>
    <row r="227" spans="1:18" x14ac:dyDescent="0.2">
      <c r="A227" s="1">
        <v>498562</v>
      </c>
      <c r="B227" s="1" t="s">
        <v>295</v>
      </c>
      <c r="C227" s="1" t="s">
        <v>98</v>
      </c>
      <c r="D227" s="1">
        <v>0.93089999999999995</v>
      </c>
      <c r="E227" s="1">
        <v>9210</v>
      </c>
      <c r="F227" s="1">
        <v>22870</v>
      </c>
      <c r="G227" s="1">
        <v>0.54479999999999995</v>
      </c>
      <c r="H227" s="1">
        <v>0.77569999999999995</v>
      </c>
      <c r="I227" s="1">
        <v>0.31790000000000002</v>
      </c>
      <c r="J227" s="1">
        <v>52416</v>
      </c>
      <c r="K227" s="1">
        <v>26000</v>
      </c>
      <c r="L227" s="1">
        <v>11730</v>
      </c>
      <c r="M227" s="1">
        <v>19</v>
      </c>
      <c r="N227" s="1" t="s">
        <v>28</v>
      </c>
      <c r="O227" s="1" t="s">
        <v>42</v>
      </c>
      <c r="P227" s="1" t="s">
        <v>39</v>
      </c>
      <c r="Q227" s="1" t="s">
        <v>23</v>
      </c>
      <c r="R227">
        <v>0.83532873532599217</v>
      </c>
    </row>
    <row r="228" spans="1:18" x14ac:dyDescent="0.2">
      <c r="A228" s="1">
        <v>217776</v>
      </c>
      <c r="B228" s="1" t="s">
        <v>296</v>
      </c>
      <c r="C228" s="1" t="s">
        <v>155</v>
      </c>
      <c r="D228" s="1">
        <v>0.99529999999999996</v>
      </c>
      <c r="E228" s="1">
        <v>747</v>
      </c>
      <c r="F228" s="1">
        <v>29800</v>
      </c>
      <c r="G228" s="1">
        <v>0.52359999999999995</v>
      </c>
      <c r="H228" s="1">
        <v>0.68989999999999996</v>
      </c>
      <c r="I228" s="1">
        <v>0.43070000000000003</v>
      </c>
      <c r="J228" s="1">
        <v>47756</v>
      </c>
      <c r="K228" s="1">
        <v>26000</v>
      </c>
      <c r="L228" s="1">
        <v>5744</v>
      </c>
      <c r="M228" s="1">
        <v>10</v>
      </c>
      <c r="N228" s="1" t="s">
        <v>20</v>
      </c>
      <c r="O228" s="1" t="s">
        <v>21</v>
      </c>
      <c r="P228" s="1" t="s">
        <v>30</v>
      </c>
      <c r="Q228" s="1" t="s">
        <v>31</v>
      </c>
      <c r="R228">
        <v>0.83523602337827052</v>
      </c>
    </row>
    <row r="229" spans="1:18" x14ac:dyDescent="0.2">
      <c r="A229" s="1">
        <v>139199</v>
      </c>
      <c r="B229" s="1" t="s">
        <v>297</v>
      </c>
      <c r="C229" s="1" t="s">
        <v>126</v>
      </c>
      <c r="D229" s="1">
        <v>0.87780000000000002</v>
      </c>
      <c r="E229" s="1">
        <v>1029</v>
      </c>
      <c r="F229" s="1">
        <v>34027</v>
      </c>
      <c r="G229" s="1">
        <v>0.3291</v>
      </c>
      <c r="H229" s="1">
        <v>0.64970000000000006</v>
      </c>
      <c r="I229" s="1">
        <v>0.45860000000000001</v>
      </c>
      <c r="J229" s="1">
        <v>54003</v>
      </c>
      <c r="K229" s="1">
        <v>27000</v>
      </c>
      <c r="L229" s="1">
        <v>7783</v>
      </c>
      <c r="M229" s="1">
        <v>11</v>
      </c>
      <c r="N229" s="1" t="s">
        <v>20</v>
      </c>
      <c r="O229" s="1" t="s">
        <v>29</v>
      </c>
      <c r="P229" s="1" t="s">
        <v>30</v>
      </c>
      <c r="Q229" s="1" t="s">
        <v>23</v>
      </c>
      <c r="R229">
        <v>0.83501022782227807</v>
      </c>
    </row>
    <row r="230" spans="1:18" x14ac:dyDescent="0.2">
      <c r="A230" s="1">
        <v>139393</v>
      </c>
      <c r="B230" s="1" t="s">
        <v>298</v>
      </c>
      <c r="C230" s="1" t="s">
        <v>126</v>
      </c>
      <c r="D230" s="1">
        <v>0.86509999999999998</v>
      </c>
      <c r="E230" s="1">
        <v>939</v>
      </c>
      <c r="F230" s="1">
        <v>42040</v>
      </c>
      <c r="G230" s="1">
        <v>0.71489999999999998</v>
      </c>
      <c r="H230" s="1">
        <v>0.8821</v>
      </c>
      <c r="I230" s="1">
        <v>0.1905</v>
      </c>
      <c r="J230" s="1">
        <v>50412</v>
      </c>
      <c r="K230" s="1">
        <v>22500</v>
      </c>
      <c r="L230" s="1">
        <v>8555</v>
      </c>
      <c r="M230" s="1">
        <v>13</v>
      </c>
      <c r="N230" s="1" t="s">
        <v>20</v>
      </c>
      <c r="O230" s="1" t="s">
        <v>21</v>
      </c>
      <c r="P230" s="1" t="s">
        <v>30</v>
      </c>
      <c r="Q230" s="1" t="s">
        <v>23</v>
      </c>
      <c r="R230">
        <v>0.83426095517028143</v>
      </c>
    </row>
    <row r="231" spans="1:18" x14ac:dyDescent="0.2">
      <c r="A231" s="1">
        <v>126614</v>
      </c>
      <c r="B231" s="1" t="s">
        <v>299</v>
      </c>
      <c r="C231" s="1" t="s">
        <v>161</v>
      </c>
      <c r="D231" s="1">
        <v>0.78080000000000005</v>
      </c>
      <c r="E231" s="1">
        <v>31939</v>
      </c>
      <c r="F231" s="1">
        <v>44918</v>
      </c>
      <c r="G231" s="1">
        <v>0.7419</v>
      </c>
      <c r="H231" s="1">
        <v>0.90149999999999997</v>
      </c>
      <c r="I231" s="1">
        <v>0.1449</v>
      </c>
      <c r="J231" s="1">
        <v>69738</v>
      </c>
      <c r="K231" s="1">
        <v>19500</v>
      </c>
      <c r="L231" s="1">
        <v>13324</v>
      </c>
      <c r="M231" s="1">
        <v>19</v>
      </c>
      <c r="N231" s="1" t="s">
        <v>28</v>
      </c>
      <c r="O231" s="1" t="s">
        <v>29</v>
      </c>
      <c r="P231" s="1" t="s">
        <v>22</v>
      </c>
      <c r="Q231" s="1" t="s">
        <v>23</v>
      </c>
      <c r="R231">
        <v>0.8332952731261527</v>
      </c>
    </row>
    <row r="232" spans="1:18" x14ac:dyDescent="0.2">
      <c r="A232" s="1">
        <v>163976</v>
      </c>
      <c r="B232" s="1" t="s">
        <v>300</v>
      </c>
      <c r="C232" s="1" t="s">
        <v>61</v>
      </c>
      <c r="D232" s="1">
        <v>0.5524</v>
      </c>
      <c r="E232" s="1">
        <v>471</v>
      </c>
      <c r="F232" s="1">
        <v>40684</v>
      </c>
      <c r="G232" s="1">
        <v>0.71430000000000005</v>
      </c>
      <c r="H232" s="1">
        <v>0.82709999999999995</v>
      </c>
      <c r="I232" s="1">
        <v>0.20080000000000001</v>
      </c>
      <c r="J232" s="1">
        <v>51584</v>
      </c>
      <c r="K232" s="1">
        <v>27000</v>
      </c>
      <c r="L232" s="1">
        <v>8919</v>
      </c>
      <c r="M232" s="1">
        <v>8</v>
      </c>
      <c r="N232" s="1" t="s">
        <v>20</v>
      </c>
      <c r="O232" s="1" t="s">
        <v>21</v>
      </c>
      <c r="P232" s="1" t="s">
        <v>30</v>
      </c>
      <c r="Q232" s="1" t="s">
        <v>23</v>
      </c>
      <c r="R232">
        <v>0.83323871071596911</v>
      </c>
    </row>
    <row r="233" spans="1:18" x14ac:dyDescent="0.2">
      <c r="A233" s="1">
        <v>159382</v>
      </c>
      <c r="B233" s="1" t="s">
        <v>301</v>
      </c>
      <c r="C233" s="1" t="s">
        <v>46</v>
      </c>
      <c r="D233" s="1">
        <v>0.92079999999999995</v>
      </c>
      <c r="E233" s="1">
        <v>5632</v>
      </c>
      <c r="F233" s="1">
        <v>14650</v>
      </c>
      <c r="G233" s="1">
        <v>0.3422</v>
      </c>
      <c r="H233" s="1">
        <v>0.69520000000000004</v>
      </c>
      <c r="I233" s="1">
        <v>0.3538</v>
      </c>
      <c r="J233" s="1">
        <v>42205</v>
      </c>
      <c r="K233" s="1">
        <v>19000</v>
      </c>
      <c r="L233" s="1">
        <v>7220</v>
      </c>
      <c r="M233" s="1">
        <v>33</v>
      </c>
      <c r="N233" s="1" t="s">
        <v>28</v>
      </c>
      <c r="O233" s="1" t="s">
        <v>42</v>
      </c>
      <c r="P233" s="1" t="s">
        <v>30</v>
      </c>
      <c r="Q233" s="1" t="s">
        <v>31</v>
      </c>
      <c r="R233">
        <v>0.83265954856083457</v>
      </c>
    </row>
    <row r="234" spans="1:18" x14ac:dyDescent="0.2">
      <c r="A234" s="1">
        <v>210304</v>
      </c>
      <c r="B234" s="1" t="s">
        <v>302</v>
      </c>
      <c r="C234" s="1" t="s">
        <v>79</v>
      </c>
      <c r="D234" s="1">
        <v>0.71140000000000003</v>
      </c>
      <c r="E234" s="1">
        <v>375</v>
      </c>
      <c r="F234" s="1">
        <v>22220</v>
      </c>
      <c r="G234" s="1">
        <v>0.49180000000000001</v>
      </c>
      <c r="H234" s="1">
        <v>0.91669999999999996</v>
      </c>
      <c r="I234" s="1">
        <v>0.47860000000000003</v>
      </c>
      <c r="J234" s="1">
        <v>55204</v>
      </c>
      <c r="K234" s="1">
        <v>25000</v>
      </c>
      <c r="L234" s="1">
        <v>6822</v>
      </c>
      <c r="M234" s="1">
        <v>14</v>
      </c>
      <c r="N234" s="1" t="s">
        <v>20</v>
      </c>
      <c r="O234" s="1" t="s">
        <v>29</v>
      </c>
      <c r="P234" s="1" t="s">
        <v>22</v>
      </c>
      <c r="Q234" s="1" t="s">
        <v>23</v>
      </c>
      <c r="R234">
        <v>0.83094833944266544</v>
      </c>
    </row>
    <row r="235" spans="1:18" x14ac:dyDescent="0.2">
      <c r="A235" s="1">
        <v>226231</v>
      </c>
      <c r="B235" s="1" t="s">
        <v>303</v>
      </c>
      <c r="C235" s="1" t="s">
        <v>36</v>
      </c>
      <c r="D235" s="1">
        <v>0.38009999999999999</v>
      </c>
      <c r="E235" s="1">
        <v>1468</v>
      </c>
      <c r="F235" s="1">
        <v>37160</v>
      </c>
      <c r="G235" s="1">
        <v>0.58579999999999999</v>
      </c>
      <c r="H235" s="1">
        <v>0.80779999999999996</v>
      </c>
      <c r="I235" s="1">
        <v>0.13289999999999999</v>
      </c>
      <c r="J235" s="1">
        <v>57103</v>
      </c>
      <c r="K235" s="1">
        <v>26000</v>
      </c>
      <c r="L235" s="1">
        <v>6550</v>
      </c>
      <c r="M235" s="1">
        <v>11</v>
      </c>
      <c r="N235" s="1" t="s">
        <v>20</v>
      </c>
      <c r="O235" s="1" t="s">
        <v>29</v>
      </c>
      <c r="P235" s="1" t="s">
        <v>30</v>
      </c>
      <c r="Q235" s="1" t="s">
        <v>23</v>
      </c>
      <c r="R235">
        <v>0.82976612049330201</v>
      </c>
    </row>
    <row r="236" spans="1:18" x14ac:dyDescent="0.2">
      <c r="A236" s="1">
        <v>171571</v>
      </c>
      <c r="B236" s="1" t="s">
        <v>304</v>
      </c>
      <c r="C236" s="1" t="s">
        <v>109</v>
      </c>
      <c r="D236" s="1">
        <v>0.87839999999999996</v>
      </c>
      <c r="E236" s="1">
        <v>12351</v>
      </c>
      <c r="F236" s="1">
        <v>23188</v>
      </c>
      <c r="G236" s="1">
        <v>0.5756</v>
      </c>
      <c r="H236" s="1">
        <v>0.77939999999999998</v>
      </c>
      <c r="I236" s="1">
        <v>0.31979999999999997</v>
      </c>
      <c r="J236" s="1">
        <v>58612</v>
      </c>
      <c r="K236" s="1">
        <v>22750</v>
      </c>
      <c r="L236" s="1">
        <v>10527</v>
      </c>
      <c r="M236" s="1">
        <v>17</v>
      </c>
      <c r="N236" s="1" t="s">
        <v>28</v>
      </c>
      <c r="O236" s="1" t="s">
        <v>21</v>
      </c>
      <c r="P236" s="1" t="s">
        <v>22</v>
      </c>
      <c r="Q236" s="1" t="s">
        <v>23</v>
      </c>
      <c r="R236">
        <v>0.82963694423282974</v>
      </c>
    </row>
    <row r="237" spans="1:18" x14ac:dyDescent="0.2">
      <c r="A237" s="1">
        <v>133711</v>
      </c>
      <c r="B237" s="1" t="s">
        <v>305</v>
      </c>
      <c r="C237" s="1" t="s">
        <v>27</v>
      </c>
      <c r="D237" s="1">
        <v>0.80759999999999998</v>
      </c>
      <c r="E237" s="1">
        <v>2391</v>
      </c>
      <c r="F237" s="1">
        <v>29900</v>
      </c>
      <c r="G237" s="1">
        <v>0.55979999999999996</v>
      </c>
      <c r="H237" s="1">
        <v>0.75529999999999997</v>
      </c>
      <c r="I237" s="1">
        <v>0.29070000000000001</v>
      </c>
      <c r="J237" s="1">
        <v>49483</v>
      </c>
      <c r="K237" s="1">
        <v>24250</v>
      </c>
      <c r="L237" s="1">
        <v>7796</v>
      </c>
      <c r="M237" s="1">
        <v>15</v>
      </c>
      <c r="N237" s="1" t="s">
        <v>20</v>
      </c>
      <c r="O237" s="1" t="s">
        <v>21</v>
      </c>
      <c r="P237" s="1" t="s">
        <v>30</v>
      </c>
      <c r="Q237" s="1" t="s">
        <v>31</v>
      </c>
      <c r="R237">
        <v>0.8292190570838508</v>
      </c>
    </row>
    <row r="238" spans="1:18" x14ac:dyDescent="0.2">
      <c r="A238" s="1">
        <v>238193</v>
      </c>
      <c r="B238" s="1" t="s">
        <v>306</v>
      </c>
      <c r="C238" s="1" t="s">
        <v>50</v>
      </c>
      <c r="D238" s="1">
        <v>0.85740000000000005</v>
      </c>
      <c r="E238" s="1">
        <v>631</v>
      </c>
      <c r="F238" s="1">
        <v>34086</v>
      </c>
      <c r="G238" s="1">
        <v>0.49180000000000001</v>
      </c>
      <c r="H238" s="1">
        <v>0.60960000000000003</v>
      </c>
      <c r="I238" s="1">
        <v>0.45100000000000001</v>
      </c>
      <c r="J238" s="1">
        <v>53145</v>
      </c>
      <c r="K238" s="1">
        <v>27000</v>
      </c>
      <c r="L238" s="1">
        <v>6282</v>
      </c>
      <c r="M238" s="1">
        <v>13</v>
      </c>
      <c r="N238" s="1" t="s">
        <v>20</v>
      </c>
      <c r="O238" s="1" t="s">
        <v>29</v>
      </c>
      <c r="P238" s="1" t="s">
        <v>22</v>
      </c>
      <c r="Q238" s="1" t="s">
        <v>23</v>
      </c>
      <c r="R238">
        <v>0.82866246094957619</v>
      </c>
    </row>
    <row r="239" spans="1:18" x14ac:dyDescent="0.2">
      <c r="A239" s="1">
        <v>198419</v>
      </c>
      <c r="B239" s="1" t="s">
        <v>307</v>
      </c>
      <c r="C239" s="1" t="s">
        <v>86</v>
      </c>
      <c r="D239" s="1">
        <v>5.7099999999999998E-2</v>
      </c>
      <c r="E239" s="1">
        <v>6442</v>
      </c>
      <c r="F239" s="1">
        <v>68758</v>
      </c>
      <c r="G239" s="1">
        <v>0.96779999999999999</v>
      </c>
      <c r="H239" s="1">
        <v>0.97929999999999995</v>
      </c>
      <c r="I239" s="1">
        <v>0.14030000000000001</v>
      </c>
      <c r="J239" s="1">
        <v>97800</v>
      </c>
      <c r="K239" s="1">
        <v>13000</v>
      </c>
      <c r="L239" s="1">
        <v>19001</v>
      </c>
      <c r="M239" s="1">
        <v>5</v>
      </c>
      <c r="N239" s="1" t="s">
        <v>20</v>
      </c>
      <c r="O239" s="1" t="s">
        <v>29</v>
      </c>
      <c r="P239" s="1" t="s">
        <v>30</v>
      </c>
      <c r="Q239" s="1" t="s">
        <v>23</v>
      </c>
      <c r="R239">
        <v>0.82853010742431399</v>
      </c>
    </row>
    <row r="240" spans="1:18" x14ac:dyDescent="0.2">
      <c r="A240" s="1">
        <v>228723</v>
      </c>
      <c r="B240" s="1" t="s">
        <v>308</v>
      </c>
      <c r="C240" s="1" t="s">
        <v>36</v>
      </c>
      <c r="D240" s="1">
        <v>0.57430000000000003</v>
      </c>
      <c r="E240" s="1">
        <v>59615</v>
      </c>
      <c r="F240" s="1">
        <v>40124</v>
      </c>
      <c r="G240" s="1">
        <v>0.83909999999999996</v>
      </c>
      <c r="H240" s="1">
        <v>0.94310000000000005</v>
      </c>
      <c r="I240" s="1">
        <v>0.19639999999999999</v>
      </c>
      <c r="J240" s="1">
        <v>72097</v>
      </c>
      <c r="K240" s="1">
        <v>17804</v>
      </c>
      <c r="L240" s="1">
        <v>14776</v>
      </c>
      <c r="M240" s="1">
        <v>20</v>
      </c>
      <c r="N240" s="1" t="s">
        <v>28</v>
      </c>
      <c r="O240" s="1" t="s">
        <v>29</v>
      </c>
      <c r="P240" s="1" t="s">
        <v>30</v>
      </c>
      <c r="Q240" s="1" t="s">
        <v>23</v>
      </c>
      <c r="R240">
        <v>0.82784180704178212</v>
      </c>
    </row>
    <row r="241" spans="1:18" x14ac:dyDescent="0.2">
      <c r="A241" s="1">
        <v>487524</v>
      </c>
      <c r="B241" s="1" t="s">
        <v>309</v>
      </c>
      <c r="C241" s="1" t="s">
        <v>74</v>
      </c>
      <c r="D241" s="1">
        <v>0.8095</v>
      </c>
      <c r="E241" s="1">
        <v>2618</v>
      </c>
      <c r="F241" s="1">
        <v>23304</v>
      </c>
      <c r="G241" s="1">
        <v>0.59350000000000003</v>
      </c>
      <c r="H241" s="1">
        <v>0.75349999999999995</v>
      </c>
      <c r="I241" s="1">
        <v>0.3881</v>
      </c>
      <c r="J241" s="1">
        <v>45025</v>
      </c>
      <c r="K241" s="1">
        <v>27000</v>
      </c>
      <c r="L241" s="1">
        <v>7935</v>
      </c>
      <c r="M241" s="1">
        <v>15</v>
      </c>
      <c r="N241" s="1" t="s">
        <v>20</v>
      </c>
      <c r="O241" s="1" t="s">
        <v>29</v>
      </c>
      <c r="P241" s="1" t="s">
        <v>39</v>
      </c>
      <c r="Q241" s="1" t="s">
        <v>31</v>
      </c>
      <c r="R241">
        <v>0.82612645518755567</v>
      </c>
    </row>
    <row r="242" spans="1:18" x14ac:dyDescent="0.2">
      <c r="A242" s="1">
        <v>214625</v>
      </c>
      <c r="B242" s="1" t="s">
        <v>310</v>
      </c>
      <c r="C242" s="1" t="s">
        <v>98</v>
      </c>
      <c r="D242" s="1">
        <v>0.95289999999999997</v>
      </c>
      <c r="E242" s="1">
        <v>416</v>
      </c>
      <c r="F242" s="1">
        <v>24134</v>
      </c>
      <c r="G242" s="1">
        <v>0.27610000000000001</v>
      </c>
      <c r="H242" s="1">
        <v>0.85440000000000005</v>
      </c>
      <c r="I242" s="1">
        <v>0.318</v>
      </c>
      <c r="J242" s="1">
        <v>63435</v>
      </c>
      <c r="K242" s="1">
        <v>25000</v>
      </c>
      <c r="L242" s="1">
        <v>9403</v>
      </c>
      <c r="M242" s="1">
        <v>9</v>
      </c>
      <c r="N242" s="1" t="s">
        <v>28</v>
      </c>
      <c r="O242" s="1" t="s">
        <v>42</v>
      </c>
      <c r="P242" s="1" t="s">
        <v>39</v>
      </c>
      <c r="Q242" s="1" t="s">
        <v>23</v>
      </c>
      <c r="R242">
        <v>0.82546594439530718</v>
      </c>
    </row>
    <row r="243" spans="1:18" x14ac:dyDescent="0.2">
      <c r="A243" s="1">
        <v>107512</v>
      </c>
      <c r="B243" s="1" t="s">
        <v>311</v>
      </c>
      <c r="C243" s="1" t="s">
        <v>70</v>
      </c>
      <c r="D243" s="1">
        <v>0.67520000000000002</v>
      </c>
      <c r="E243" s="1">
        <v>1602</v>
      </c>
      <c r="F243" s="1">
        <v>34500</v>
      </c>
      <c r="G243" s="1">
        <v>0.61399999999999999</v>
      </c>
      <c r="H243" s="1">
        <v>0.82540000000000002</v>
      </c>
      <c r="I243" s="1">
        <v>0.2341</v>
      </c>
      <c r="J243" s="1">
        <v>51673</v>
      </c>
      <c r="K243" s="1">
        <v>21050</v>
      </c>
      <c r="L243" s="1">
        <v>7702</v>
      </c>
      <c r="M243" s="1">
        <v>14</v>
      </c>
      <c r="N243" s="1" t="s">
        <v>20</v>
      </c>
      <c r="O243" s="1" t="s">
        <v>42</v>
      </c>
      <c r="P243" s="1" t="s">
        <v>30</v>
      </c>
      <c r="Q243" s="1" t="s">
        <v>23</v>
      </c>
      <c r="R243">
        <v>0.82501880672664518</v>
      </c>
    </row>
    <row r="244" spans="1:18" x14ac:dyDescent="0.2">
      <c r="A244" s="1">
        <v>110671</v>
      </c>
      <c r="B244" s="1" t="s">
        <v>312</v>
      </c>
      <c r="C244" s="1" t="s">
        <v>33</v>
      </c>
      <c r="D244" s="1">
        <v>0.76390000000000002</v>
      </c>
      <c r="E244" s="1">
        <v>22593</v>
      </c>
      <c r="F244" s="1">
        <v>49806</v>
      </c>
      <c r="G244" s="1">
        <v>0.75960000000000005</v>
      </c>
      <c r="H244" s="1">
        <v>0.876</v>
      </c>
      <c r="I244" s="1">
        <v>0.46949999999999997</v>
      </c>
      <c r="J244" s="1">
        <v>67699</v>
      </c>
      <c r="K244" s="1">
        <v>17500</v>
      </c>
      <c r="L244" s="1">
        <v>17096</v>
      </c>
      <c r="M244" s="1">
        <v>22</v>
      </c>
      <c r="N244" s="1" t="s">
        <v>28</v>
      </c>
      <c r="O244" s="1" t="s">
        <v>29</v>
      </c>
      <c r="P244" s="1" t="s">
        <v>22</v>
      </c>
      <c r="Q244" s="1" t="s">
        <v>23</v>
      </c>
      <c r="R244">
        <v>0.82453856754575161</v>
      </c>
    </row>
    <row r="245" spans="1:18" x14ac:dyDescent="0.2">
      <c r="A245" s="1">
        <v>213358</v>
      </c>
      <c r="B245" s="1" t="s">
        <v>313</v>
      </c>
      <c r="C245" s="1" t="s">
        <v>98</v>
      </c>
      <c r="D245" s="1">
        <v>0.75760000000000005</v>
      </c>
      <c r="E245" s="1">
        <v>751</v>
      </c>
      <c r="F245" s="1">
        <v>34052</v>
      </c>
      <c r="G245" s="1">
        <v>0.57210000000000005</v>
      </c>
      <c r="H245" s="1">
        <v>0.68820000000000003</v>
      </c>
      <c r="I245" s="1">
        <v>0.1009</v>
      </c>
      <c r="J245" s="1">
        <v>52341</v>
      </c>
      <c r="K245" s="1">
        <v>25000</v>
      </c>
      <c r="L245" s="1">
        <v>7208</v>
      </c>
      <c r="M245" s="1">
        <v>11</v>
      </c>
      <c r="N245" s="1" t="s">
        <v>20</v>
      </c>
      <c r="O245" s="1" t="s">
        <v>21</v>
      </c>
      <c r="P245" s="1" t="s">
        <v>39</v>
      </c>
      <c r="Q245" s="1" t="s">
        <v>23</v>
      </c>
      <c r="R245">
        <v>0.82434876681314795</v>
      </c>
    </row>
    <row r="246" spans="1:18" x14ac:dyDescent="0.2">
      <c r="A246" s="1">
        <v>117168</v>
      </c>
      <c r="B246" s="1" t="s">
        <v>314</v>
      </c>
      <c r="C246" s="1" t="s">
        <v>33</v>
      </c>
      <c r="D246" s="1">
        <v>0.94320000000000004</v>
      </c>
      <c r="E246" s="1">
        <v>746</v>
      </c>
      <c r="F246" s="1">
        <v>37500</v>
      </c>
      <c r="G246" s="1">
        <v>0.51719999999999999</v>
      </c>
      <c r="H246" s="1">
        <v>0.84209999999999996</v>
      </c>
      <c r="I246" s="1">
        <v>0.29899999999999999</v>
      </c>
      <c r="J246" s="1">
        <v>47867</v>
      </c>
      <c r="K246" s="1">
        <v>27000</v>
      </c>
      <c r="L246" s="1">
        <v>8099</v>
      </c>
      <c r="M246" s="1">
        <v>9</v>
      </c>
      <c r="N246" s="1" t="s">
        <v>20</v>
      </c>
      <c r="O246" s="1" t="s">
        <v>42</v>
      </c>
      <c r="P246" s="1" t="s">
        <v>22</v>
      </c>
      <c r="Q246" s="1" t="s">
        <v>31</v>
      </c>
      <c r="R246">
        <v>0.82428522198804866</v>
      </c>
    </row>
    <row r="247" spans="1:18" x14ac:dyDescent="0.2">
      <c r="A247" s="1">
        <v>157863</v>
      </c>
      <c r="B247" s="1" t="s">
        <v>315</v>
      </c>
      <c r="C247" s="1" t="s">
        <v>104</v>
      </c>
      <c r="D247" s="1">
        <v>0.63149999999999995</v>
      </c>
      <c r="E247" s="1">
        <v>746</v>
      </c>
      <c r="F247" s="1">
        <v>30946</v>
      </c>
      <c r="G247" s="1">
        <v>0.32129999999999997</v>
      </c>
      <c r="H247" s="1">
        <v>0.63780000000000003</v>
      </c>
      <c r="I247" s="1">
        <v>0.52700000000000002</v>
      </c>
      <c r="J247" s="1">
        <v>42002</v>
      </c>
      <c r="K247" s="1">
        <v>24250</v>
      </c>
      <c r="L247" s="1">
        <v>5687</v>
      </c>
      <c r="M247" s="1">
        <v>14</v>
      </c>
      <c r="N247" s="1" t="s">
        <v>20</v>
      </c>
      <c r="O247" s="1" t="s">
        <v>42</v>
      </c>
      <c r="P247" s="1" t="s">
        <v>30</v>
      </c>
      <c r="Q247" s="1" t="s">
        <v>31</v>
      </c>
      <c r="R247">
        <v>0.8234670250341436</v>
      </c>
    </row>
    <row r="248" spans="1:18" x14ac:dyDescent="0.2">
      <c r="A248" s="1">
        <v>169363</v>
      </c>
      <c r="B248" s="1" t="s">
        <v>316</v>
      </c>
      <c r="C248" s="1" t="s">
        <v>109</v>
      </c>
      <c r="D248" s="1">
        <v>0.6925</v>
      </c>
      <c r="E248" s="1">
        <v>702</v>
      </c>
      <c r="F248" s="1">
        <v>35410</v>
      </c>
      <c r="G248" s="1">
        <v>0.47639999999999999</v>
      </c>
      <c r="H248" s="1">
        <v>0.44640000000000002</v>
      </c>
      <c r="I248" s="1">
        <v>0.2414</v>
      </c>
      <c r="J248" s="1">
        <v>56075</v>
      </c>
      <c r="K248" s="1">
        <v>25750</v>
      </c>
      <c r="L248" s="1">
        <v>6511</v>
      </c>
      <c r="M248" s="1">
        <v>21</v>
      </c>
      <c r="N248" s="1" t="s">
        <v>20</v>
      </c>
      <c r="O248" s="1" t="s">
        <v>29</v>
      </c>
      <c r="P248" s="1" t="s">
        <v>22</v>
      </c>
      <c r="Q248" s="1" t="s">
        <v>23</v>
      </c>
      <c r="R248">
        <v>0.82229431703763878</v>
      </c>
    </row>
    <row r="249" spans="1:18" x14ac:dyDescent="0.2">
      <c r="A249" s="1">
        <v>183822</v>
      </c>
      <c r="B249" s="1" t="s">
        <v>317</v>
      </c>
      <c r="C249" s="1" t="s">
        <v>66</v>
      </c>
      <c r="D249" s="1">
        <v>0.69740000000000002</v>
      </c>
      <c r="E249" s="1">
        <v>781</v>
      </c>
      <c r="F249" s="1">
        <v>26022</v>
      </c>
      <c r="G249" s="1">
        <v>0.38109999999999999</v>
      </c>
      <c r="H249" s="1">
        <v>0.59440000000000004</v>
      </c>
      <c r="I249" s="1">
        <v>0.7036</v>
      </c>
      <c r="J249" s="1">
        <v>61415</v>
      </c>
      <c r="K249" s="1">
        <v>22000</v>
      </c>
      <c r="L249" s="1">
        <v>9925</v>
      </c>
      <c r="M249" s="1">
        <v>12</v>
      </c>
      <c r="N249" s="1" t="s">
        <v>28</v>
      </c>
      <c r="O249" s="1" t="s">
        <v>21</v>
      </c>
      <c r="P249" s="1" t="s">
        <v>39</v>
      </c>
      <c r="Q249" s="1" t="s">
        <v>23</v>
      </c>
      <c r="R249">
        <v>0.8215376561265586</v>
      </c>
    </row>
    <row r="250" spans="1:18" x14ac:dyDescent="0.2">
      <c r="A250" s="1">
        <v>131876</v>
      </c>
      <c r="B250" s="1" t="s">
        <v>318</v>
      </c>
      <c r="C250" s="1" t="s">
        <v>84</v>
      </c>
      <c r="D250" s="1">
        <v>0.99519999999999997</v>
      </c>
      <c r="E250" s="1">
        <v>1414</v>
      </c>
      <c r="F250" s="1">
        <v>26610</v>
      </c>
      <c r="G250" s="1">
        <v>0.4929</v>
      </c>
      <c r="H250" s="1">
        <v>0.69230000000000003</v>
      </c>
      <c r="I250" s="1">
        <v>0.54490000000000005</v>
      </c>
      <c r="J250" s="1">
        <v>53804</v>
      </c>
      <c r="K250" s="1">
        <v>28250</v>
      </c>
      <c r="L250" s="1">
        <v>8291</v>
      </c>
      <c r="M250" s="1">
        <v>9</v>
      </c>
      <c r="N250" s="1" t="s">
        <v>20</v>
      </c>
      <c r="O250" s="1" t="s">
        <v>29</v>
      </c>
      <c r="P250" s="1" t="s">
        <v>30</v>
      </c>
      <c r="Q250" s="1" t="s">
        <v>23</v>
      </c>
      <c r="R250">
        <v>0.82145899661955069</v>
      </c>
    </row>
    <row r="251" spans="1:18" x14ac:dyDescent="0.2">
      <c r="A251" s="1">
        <v>211583</v>
      </c>
      <c r="B251" s="1" t="s">
        <v>319</v>
      </c>
      <c r="C251" s="1" t="s">
        <v>98</v>
      </c>
      <c r="D251" s="1">
        <v>0.74460000000000004</v>
      </c>
      <c r="E251" s="1">
        <v>815</v>
      </c>
      <c r="F251" s="1">
        <v>39870</v>
      </c>
      <c r="G251" s="1">
        <v>0.48780000000000001</v>
      </c>
      <c r="H251" s="1">
        <v>0.62429999999999997</v>
      </c>
      <c r="I251" s="1">
        <v>0.52080000000000004</v>
      </c>
      <c r="J251" s="1">
        <v>52015</v>
      </c>
      <c r="K251" s="1">
        <v>26389</v>
      </c>
      <c r="L251" s="1">
        <v>5821</v>
      </c>
      <c r="M251" s="1">
        <v>10</v>
      </c>
      <c r="N251" s="1" t="s">
        <v>20</v>
      </c>
      <c r="O251" s="1" t="s">
        <v>29</v>
      </c>
      <c r="P251" s="1" t="s">
        <v>39</v>
      </c>
      <c r="Q251" s="1" t="s">
        <v>23</v>
      </c>
      <c r="R251">
        <v>0.82033873504560595</v>
      </c>
    </row>
    <row r="252" spans="1:18" x14ac:dyDescent="0.2">
      <c r="A252" s="1">
        <v>454236</v>
      </c>
      <c r="B252" s="1" t="s">
        <v>320</v>
      </c>
      <c r="C252" s="1" t="s">
        <v>19</v>
      </c>
      <c r="D252" s="1">
        <v>0.875</v>
      </c>
      <c r="E252" s="1">
        <v>257</v>
      </c>
      <c r="F252" s="1">
        <v>19975</v>
      </c>
      <c r="G252" s="1">
        <v>0.28570000000000001</v>
      </c>
      <c r="H252" s="1">
        <v>0.33329999999999999</v>
      </c>
      <c r="I252" s="1">
        <v>0.5</v>
      </c>
      <c r="J252" s="1">
        <v>92405</v>
      </c>
      <c r="K252" s="1">
        <v>20919</v>
      </c>
      <c r="L252" s="1">
        <v>8978</v>
      </c>
      <c r="M252" s="1">
        <v>8</v>
      </c>
      <c r="N252" s="1" t="s">
        <v>142</v>
      </c>
      <c r="O252" s="1" t="s">
        <v>29</v>
      </c>
      <c r="P252" s="1" t="s">
        <v>22</v>
      </c>
      <c r="Q252" s="1" t="s">
        <v>23</v>
      </c>
      <c r="R252">
        <v>0.81999520812437143</v>
      </c>
    </row>
    <row r="253" spans="1:18" x14ac:dyDescent="0.2">
      <c r="A253" s="1">
        <v>218733</v>
      </c>
      <c r="B253" s="1" t="s">
        <v>321</v>
      </c>
      <c r="C253" s="1" t="s">
        <v>155</v>
      </c>
      <c r="D253" s="1">
        <v>0.82620000000000005</v>
      </c>
      <c r="E253" s="1">
        <v>2934</v>
      </c>
      <c r="F253" s="1">
        <v>21750</v>
      </c>
      <c r="G253" s="1">
        <v>0.36630000000000001</v>
      </c>
      <c r="H253" s="1">
        <v>0.56459999999999999</v>
      </c>
      <c r="I253" s="1">
        <v>0.70489999999999997</v>
      </c>
      <c r="J253" s="1">
        <v>38262</v>
      </c>
      <c r="K253" s="1">
        <v>31000</v>
      </c>
      <c r="L253" s="1">
        <v>8174</v>
      </c>
      <c r="M253" s="1">
        <v>19</v>
      </c>
      <c r="N253" s="1" t="s">
        <v>28</v>
      </c>
      <c r="O253" s="1" t="s">
        <v>42</v>
      </c>
      <c r="P253" s="1" t="s">
        <v>30</v>
      </c>
      <c r="Q253" s="1" t="s">
        <v>31</v>
      </c>
      <c r="R253">
        <v>0.81863565965585028</v>
      </c>
    </row>
    <row r="254" spans="1:18" x14ac:dyDescent="0.2">
      <c r="A254" s="1">
        <v>150604</v>
      </c>
      <c r="B254" s="1" t="s">
        <v>322</v>
      </c>
      <c r="C254" s="1" t="s">
        <v>102</v>
      </c>
      <c r="D254" s="1">
        <v>0.69799999999999995</v>
      </c>
      <c r="E254" s="1">
        <v>900</v>
      </c>
      <c r="F254" s="1">
        <v>38710</v>
      </c>
      <c r="G254" s="1">
        <v>0.60299999999999998</v>
      </c>
      <c r="H254" s="1">
        <v>0.72940000000000005</v>
      </c>
      <c r="I254" s="1">
        <v>0.3644</v>
      </c>
      <c r="J254" s="1">
        <v>55376</v>
      </c>
      <c r="K254" s="1">
        <v>27000</v>
      </c>
      <c r="L254" s="1">
        <v>7146</v>
      </c>
      <c r="M254" s="1">
        <v>12</v>
      </c>
      <c r="N254" s="1" t="s">
        <v>20</v>
      </c>
      <c r="O254" s="1" t="s">
        <v>21</v>
      </c>
      <c r="P254" s="1" t="s">
        <v>22</v>
      </c>
      <c r="Q254" s="1" t="s">
        <v>23</v>
      </c>
      <c r="R254">
        <v>0.81738163951082976</v>
      </c>
    </row>
    <row r="255" spans="1:18" x14ac:dyDescent="0.2">
      <c r="A255" s="1">
        <v>170082</v>
      </c>
      <c r="B255" s="1" t="s">
        <v>323</v>
      </c>
      <c r="C255" s="1" t="s">
        <v>109</v>
      </c>
      <c r="D255" s="1">
        <v>0.83020000000000005</v>
      </c>
      <c r="E255" s="1">
        <v>18854</v>
      </c>
      <c r="F255" s="1">
        <v>21548</v>
      </c>
      <c r="G255" s="1">
        <v>0.67010000000000003</v>
      </c>
      <c r="H255" s="1">
        <v>0.76319999999999999</v>
      </c>
      <c r="I255" s="1">
        <v>0.2923</v>
      </c>
      <c r="J255" s="1">
        <v>56118</v>
      </c>
      <c r="K255" s="1">
        <v>24500</v>
      </c>
      <c r="L255" s="1">
        <v>10156</v>
      </c>
      <c r="M255" s="1">
        <v>15</v>
      </c>
      <c r="N255" s="1" t="s">
        <v>28</v>
      </c>
      <c r="O255" s="1" t="s">
        <v>42</v>
      </c>
      <c r="P255" s="1" t="s">
        <v>22</v>
      </c>
      <c r="Q255" s="1" t="s">
        <v>23</v>
      </c>
      <c r="R255">
        <v>0.81657570729991735</v>
      </c>
    </row>
    <row r="256" spans="1:18" x14ac:dyDescent="0.2">
      <c r="A256" s="1">
        <v>218070</v>
      </c>
      <c r="B256" s="1" t="s">
        <v>324</v>
      </c>
      <c r="C256" s="1" t="s">
        <v>155</v>
      </c>
      <c r="D256" s="1">
        <v>0.42949999999999999</v>
      </c>
      <c r="E256" s="1">
        <v>2379</v>
      </c>
      <c r="F256" s="1">
        <v>59770</v>
      </c>
      <c r="G256" s="1">
        <v>0.78759999999999997</v>
      </c>
      <c r="H256" s="1">
        <v>0.90610000000000002</v>
      </c>
      <c r="I256" s="1">
        <v>0.13189999999999999</v>
      </c>
      <c r="J256" s="1">
        <v>68635</v>
      </c>
      <c r="K256" s="1">
        <v>23250</v>
      </c>
      <c r="L256" s="1">
        <v>10399</v>
      </c>
      <c r="M256" s="1">
        <v>10</v>
      </c>
      <c r="N256" s="1" t="s">
        <v>20</v>
      </c>
      <c r="O256" s="1" t="s">
        <v>21</v>
      </c>
      <c r="P256" s="1" t="s">
        <v>30</v>
      </c>
      <c r="Q256" s="1" t="s">
        <v>23</v>
      </c>
      <c r="R256">
        <v>0.81631847999177531</v>
      </c>
    </row>
    <row r="257" spans="1:18" x14ac:dyDescent="0.2">
      <c r="A257" s="1">
        <v>234207</v>
      </c>
      <c r="B257" s="1" t="s">
        <v>325</v>
      </c>
      <c r="C257" s="1" t="s">
        <v>52</v>
      </c>
      <c r="D257" s="1">
        <v>0.13969999999999999</v>
      </c>
      <c r="E257" s="1">
        <v>1881</v>
      </c>
      <c r="F257" s="1">
        <v>68045</v>
      </c>
      <c r="G257" s="1">
        <v>0.93879999999999997</v>
      </c>
      <c r="H257" s="1">
        <v>0.96609999999999996</v>
      </c>
      <c r="I257" s="1">
        <v>0.1133</v>
      </c>
      <c r="J257" s="1">
        <v>94810</v>
      </c>
      <c r="K257" s="1">
        <v>19500</v>
      </c>
      <c r="L257" s="1">
        <v>14155</v>
      </c>
      <c r="M257" s="1">
        <v>7</v>
      </c>
      <c r="N257" s="1" t="s">
        <v>20</v>
      </c>
      <c r="O257" s="1" t="s">
        <v>42</v>
      </c>
      <c r="P257" s="1" t="s">
        <v>30</v>
      </c>
      <c r="Q257" s="1" t="s">
        <v>23</v>
      </c>
      <c r="R257">
        <v>0.81569339006980957</v>
      </c>
    </row>
    <row r="258" spans="1:18" x14ac:dyDescent="0.2">
      <c r="A258" s="1">
        <v>200004</v>
      </c>
      <c r="B258" s="1" t="s">
        <v>326</v>
      </c>
      <c r="C258" s="1" t="s">
        <v>86</v>
      </c>
      <c r="D258" s="1">
        <v>0.81830000000000003</v>
      </c>
      <c r="E258" s="1">
        <v>10024</v>
      </c>
      <c r="F258" s="1">
        <v>8630</v>
      </c>
      <c r="G258" s="1">
        <v>0.60260000000000002</v>
      </c>
      <c r="H258" s="1">
        <v>0.79110000000000003</v>
      </c>
      <c r="I258" s="1">
        <v>0.34639999999999999</v>
      </c>
      <c r="J258" s="1">
        <v>49458</v>
      </c>
      <c r="K258" s="1">
        <v>21868</v>
      </c>
      <c r="L258" s="1">
        <v>9069</v>
      </c>
      <c r="M258" s="1">
        <v>16</v>
      </c>
      <c r="N258" s="1" t="s">
        <v>28</v>
      </c>
      <c r="O258" s="1" t="s">
        <v>42</v>
      </c>
      <c r="P258" s="1" t="s">
        <v>30</v>
      </c>
      <c r="Q258" s="1" t="s">
        <v>31</v>
      </c>
      <c r="R258">
        <v>0.81535240541815135</v>
      </c>
    </row>
    <row r="259" spans="1:18" x14ac:dyDescent="0.2">
      <c r="A259" s="1">
        <v>138293</v>
      </c>
      <c r="B259" s="1" t="s">
        <v>327</v>
      </c>
      <c r="C259" s="1" t="s">
        <v>27</v>
      </c>
      <c r="D259" s="1">
        <v>0.69399999999999995</v>
      </c>
      <c r="E259" s="1">
        <v>813</v>
      </c>
      <c r="F259" s="1">
        <v>33770</v>
      </c>
      <c r="G259" s="1">
        <v>0.27960000000000002</v>
      </c>
      <c r="H259" s="1">
        <v>0.4118</v>
      </c>
      <c r="I259" s="1">
        <v>0.47670000000000001</v>
      </c>
      <c r="J259" s="1">
        <v>45606</v>
      </c>
      <c r="K259" s="1">
        <v>25250</v>
      </c>
      <c r="L259" s="1">
        <v>5063</v>
      </c>
      <c r="M259" s="1">
        <v>17</v>
      </c>
      <c r="N259" s="1" t="s">
        <v>20</v>
      </c>
      <c r="O259" s="1" t="s">
        <v>42</v>
      </c>
      <c r="P259" s="1" t="s">
        <v>30</v>
      </c>
      <c r="Q259" s="1" t="s">
        <v>31</v>
      </c>
      <c r="R259">
        <v>0.81372423625691248</v>
      </c>
    </row>
    <row r="260" spans="1:18" x14ac:dyDescent="0.2">
      <c r="A260" s="1">
        <v>221892</v>
      </c>
      <c r="B260" s="1" t="s">
        <v>328</v>
      </c>
      <c r="C260" s="1" t="s">
        <v>163</v>
      </c>
      <c r="D260" s="1">
        <v>0.69440000000000002</v>
      </c>
      <c r="E260" s="1">
        <v>1737</v>
      </c>
      <c r="F260" s="1">
        <v>31300</v>
      </c>
      <c r="G260" s="1">
        <v>0.53149999999999997</v>
      </c>
      <c r="H260" s="1">
        <v>0.73599999999999999</v>
      </c>
      <c r="I260" s="1">
        <v>0.32290000000000002</v>
      </c>
      <c r="J260" s="1">
        <v>49378</v>
      </c>
      <c r="K260" s="1">
        <v>18744</v>
      </c>
      <c r="L260" s="1">
        <v>7392</v>
      </c>
      <c r="M260" s="1">
        <v>20</v>
      </c>
      <c r="N260" s="1" t="s">
        <v>20</v>
      </c>
      <c r="O260" s="1" t="s">
        <v>29</v>
      </c>
      <c r="P260" s="1" t="s">
        <v>30</v>
      </c>
      <c r="Q260" s="1" t="s">
        <v>31</v>
      </c>
      <c r="R260">
        <v>0.81167989554609699</v>
      </c>
    </row>
    <row r="261" spans="1:18" x14ac:dyDescent="0.2">
      <c r="A261" s="1">
        <v>198756</v>
      </c>
      <c r="B261" s="1" t="s">
        <v>329</v>
      </c>
      <c r="C261" s="1" t="s">
        <v>86</v>
      </c>
      <c r="D261" s="1">
        <v>0.4521</v>
      </c>
      <c r="E261" s="1">
        <v>1244</v>
      </c>
      <c r="F261" s="1">
        <v>21300</v>
      </c>
      <c r="G261" s="1">
        <v>0.34289999999999998</v>
      </c>
      <c r="H261" s="1">
        <v>0.71330000000000005</v>
      </c>
      <c r="I261" s="1">
        <v>0.69469999999999998</v>
      </c>
      <c r="J261" s="1">
        <v>42680</v>
      </c>
      <c r="K261" s="1">
        <v>30000</v>
      </c>
      <c r="L261" s="1">
        <v>7806</v>
      </c>
      <c r="M261" s="1">
        <v>12</v>
      </c>
      <c r="N261" s="1" t="s">
        <v>20</v>
      </c>
      <c r="O261" s="1" t="s">
        <v>29</v>
      </c>
      <c r="P261" s="1" t="s">
        <v>30</v>
      </c>
      <c r="Q261" s="1" t="s">
        <v>31</v>
      </c>
      <c r="R261">
        <v>0.81068559155103626</v>
      </c>
    </row>
    <row r="262" spans="1:18" x14ac:dyDescent="0.2">
      <c r="A262" s="1">
        <v>228042</v>
      </c>
      <c r="B262" s="1" t="s">
        <v>330</v>
      </c>
      <c r="C262" s="1" t="s">
        <v>36</v>
      </c>
      <c r="D262" s="1">
        <v>0.88200000000000001</v>
      </c>
      <c r="E262" s="1">
        <v>1053</v>
      </c>
      <c r="F262" s="1">
        <v>39266</v>
      </c>
      <c r="G262" s="1">
        <v>0.43180000000000002</v>
      </c>
      <c r="H262" s="1">
        <v>0.66790000000000005</v>
      </c>
      <c r="I262" s="1">
        <v>0.43790000000000001</v>
      </c>
      <c r="J262" s="1">
        <v>52228</v>
      </c>
      <c r="K262" s="1">
        <v>23250</v>
      </c>
      <c r="L262" s="1">
        <v>7796</v>
      </c>
      <c r="M262" s="1">
        <v>13</v>
      </c>
      <c r="N262" s="1" t="s">
        <v>20</v>
      </c>
      <c r="O262" s="1" t="s">
        <v>42</v>
      </c>
      <c r="P262" s="1" t="s">
        <v>30</v>
      </c>
      <c r="Q262" s="1" t="s">
        <v>23</v>
      </c>
      <c r="R262">
        <v>0.81020744457849625</v>
      </c>
    </row>
    <row r="263" spans="1:18" x14ac:dyDescent="0.2">
      <c r="A263" s="1">
        <v>227757</v>
      </c>
      <c r="B263" s="1" t="s">
        <v>331</v>
      </c>
      <c r="C263" s="1" t="s">
        <v>36</v>
      </c>
      <c r="D263" s="1">
        <v>0.08</v>
      </c>
      <c r="E263" s="1">
        <v>4776</v>
      </c>
      <c r="F263" s="1">
        <v>64144</v>
      </c>
      <c r="G263" s="1">
        <v>0.94640000000000002</v>
      </c>
      <c r="H263" s="1">
        <v>0.97409999999999997</v>
      </c>
      <c r="I263" s="1">
        <v>0.17030000000000001</v>
      </c>
      <c r="J263" s="1">
        <v>89718</v>
      </c>
      <c r="K263" s="1">
        <v>11000</v>
      </c>
      <c r="L263" s="1">
        <v>18454</v>
      </c>
      <c r="M263" s="1">
        <v>6</v>
      </c>
      <c r="N263" s="1" t="s">
        <v>20</v>
      </c>
      <c r="O263" s="1" t="s">
        <v>29</v>
      </c>
      <c r="P263" s="1" t="s">
        <v>30</v>
      </c>
      <c r="Q263" s="1" t="s">
        <v>23</v>
      </c>
      <c r="R263">
        <v>0.80954362687467796</v>
      </c>
    </row>
    <row r="264" spans="1:18" x14ac:dyDescent="0.2">
      <c r="A264" s="1">
        <v>172644</v>
      </c>
      <c r="B264" s="1" t="s">
        <v>332</v>
      </c>
      <c r="C264" s="1" t="s">
        <v>109</v>
      </c>
      <c r="D264" s="1">
        <v>0.81159999999999999</v>
      </c>
      <c r="E264" s="1">
        <v>15587</v>
      </c>
      <c r="F264" s="1">
        <v>32037</v>
      </c>
      <c r="G264" s="1">
        <v>0.58440000000000003</v>
      </c>
      <c r="H264" s="1">
        <v>0.82650000000000001</v>
      </c>
      <c r="I264" s="1">
        <v>0.45689999999999997</v>
      </c>
      <c r="J264" s="1">
        <v>53493</v>
      </c>
      <c r="K264" s="1">
        <v>21250</v>
      </c>
      <c r="L264" s="1">
        <v>12166</v>
      </c>
      <c r="M264" s="1">
        <v>14</v>
      </c>
      <c r="N264" s="1" t="s">
        <v>28</v>
      </c>
      <c r="O264" s="1" t="s">
        <v>29</v>
      </c>
      <c r="P264" s="1" t="s">
        <v>22</v>
      </c>
      <c r="Q264" s="1" t="s">
        <v>23</v>
      </c>
      <c r="R264">
        <v>0.80775813511921313</v>
      </c>
    </row>
    <row r="265" spans="1:18" x14ac:dyDescent="0.2">
      <c r="A265" s="1">
        <v>218973</v>
      </c>
      <c r="B265" s="1" t="s">
        <v>333</v>
      </c>
      <c r="C265" s="1" t="s">
        <v>155</v>
      </c>
      <c r="D265" s="1">
        <v>0.51939999999999997</v>
      </c>
      <c r="E265" s="1">
        <v>1816</v>
      </c>
      <c r="F265" s="1">
        <v>56005</v>
      </c>
      <c r="G265" s="1">
        <v>0.84199999999999997</v>
      </c>
      <c r="H265" s="1">
        <v>0.90980000000000005</v>
      </c>
      <c r="I265" s="1">
        <v>0.15640000000000001</v>
      </c>
      <c r="J265" s="1">
        <v>68964</v>
      </c>
      <c r="K265" s="1">
        <v>25732</v>
      </c>
      <c r="L265" s="1">
        <v>9083</v>
      </c>
      <c r="M265" s="1">
        <v>12</v>
      </c>
      <c r="N265" s="1" t="s">
        <v>20</v>
      </c>
      <c r="O265" s="1" t="s">
        <v>29</v>
      </c>
      <c r="P265" s="1" t="s">
        <v>30</v>
      </c>
      <c r="Q265" s="1" t="s">
        <v>23</v>
      </c>
      <c r="R265">
        <v>0.8070866522570439</v>
      </c>
    </row>
    <row r="266" spans="1:18" x14ac:dyDescent="0.2">
      <c r="A266" s="1">
        <v>122755</v>
      </c>
      <c r="B266" s="1" t="s">
        <v>334</v>
      </c>
      <c r="C266" s="1" t="s">
        <v>33</v>
      </c>
      <c r="D266" s="1">
        <v>0.84609999999999996</v>
      </c>
      <c r="E266" s="1">
        <v>27601</v>
      </c>
      <c r="F266" s="1">
        <v>21010</v>
      </c>
      <c r="G266" s="1">
        <v>0.69220000000000004</v>
      </c>
      <c r="H266" s="1">
        <v>0.86839999999999995</v>
      </c>
      <c r="I266" s="1">
        <v>0.35239999999999999</v>
      </c>
      <c r="J266" s="1">
        <v>78988</v>
      </c>
      <c r="K266" s="1">
        <v>15000</v>
      </c>
      <c r="L266" s="1">
        <v>12896</v>
      </c>
      <c r="M266" s="1">
        <v>25</v>
      </c>
      <c r="N266" s="1" t="s">
        <v>28</v>
      </c>
      <c r="O266" s="1" t="s">
        <v>29</v>
      </c>
      <c r="P266" s="1" t="s">
        <v>22</v>
      </c>
      <c r="Q266" s="1" t="s">
        <v>23</v>
      </c>
      <c r="R266">
        <v>0.8066079901493689</v>
      </c>
    </row>
    <row r="267" spans="1:18" x14ac:dyDescent="0.2">
      <c r="A267" s="1">
        <v>486938</v>
      </c>
      <c r="B267" s="1" t="s">
        <v>335</v>
      </c>
      <c r="C267" s="1" t="s">
        <v>336</v>
      </c>
      <c r="D267" s="1">
        <v>0.76470000000000005</v>
      </c>
      <c r="E267" s="1">
        <v>652</v>
      </c>
      <c r="F267" s="1">
        <v>19975</v>
      </c>
      <c r="G267" s="1">
        <v>0.2</v>
      </c>
      <c r="H267" s="1">
        <v>0.75</v>
      </c>
      <c r="I267" s="1">
        <v>0.48520000000000002</v>
      </c>
      <c r="J267" s="1">
        <v>92405</v>
      </c>
      <c r="K267" s="1">
        <v>20919</v>
      </c>
      <c r="L267" s="1">
        <v>8978</v>
      </c>
      <c r="M267" s="1">
        <v>15</v>
      </c>
      <c r="N267" s="1" t="s">
        <v>142</v>
      </c>
      <c r="O267" s="1" t="s">
        <v>29</v>
      </c>
      <c r="P267" s="1" t="s">
        <v>22</v>
      </c>
      <c r="Q267" s="1" t="s">
        <v>23</v>
      </c>
      <c r="R267">
        <v>0.80604851750255702</v>
      </c>
    </row>
    <row r="268" spans="1:18" x14ac:dyDescent="0.2">
      <c r="A268" s="1">
        <v>209542</v>
      </c>
      <c r="B268" s="1" t="s">
        <v>337</v>
      </c>
      <c r="C268" s="1" t="s">
        <v>79</v>
      </c>
      <c r="D268" s="1">
        <v>0.77300000000000002</v>
      </c>
      <c r="E268" s="1">
        <v>30743</v>
      </c>
      <c r="F268" s="1">
        <v>38190</v>
      </c>
      <c r="G268" s="1">
        <v>0.70109999999999995</v>
      </c>
      <c r="H268" s="1">
        <v>0.87760000000000005</v>
      </c>
      <c r="I268" s="1">
        <v>0.22770000000000001</v>
      </c>
      <c r="J268" s="1">
        <v>64010</v>
      </c>
      <c r="K268" s="1">
        <v>21221</v>
      </c>
      <c r="L268" s="1">
        <v>11437</v>
      </c>
      <c r="M268" s="1">
        <v>18</v>
      </c>
      <c r="N268" s="1" t="s">
        <v>28</v>
      </c>
      <c r="O268" s="1" t="s">
        <v>29</v>
      </c>
      <c r="P268" s="1" t="s">
        <v>22</v>
      </c>
      <c r="Q268" s="1" t="s">
        <v>23</v>
      </c>
      <c r="R268">
        <v>0.80563453475438673</v>
      </c>
    </row>
    <row r="269" spans="1:18" x14ac:dyDescent="0.2">
      <c r="A269" s="1">
        <v>122612</v>
      </c>
      <c r="B269" s="1" t="s">
        <v>338</v>
      </c>
      <c r="C269" s="1" t="s">
        <v>33</v>
      </c>
      <c r="D269" s="1">
        <v>0.61709999999999998</v>
      </c>
      <c r="E269" s="1">
        <v>5287</v>
      </c>
      <c r="F269" s="1">
        <v>60492</v>
      </c>
      <c r="G269" s="1">
        <v>0.7006</v>
      </c>
      <c r="H269" s="1">
        <v>0.83689999999999998</v>
      </c>
      <c r="I269" s="1">
        <v>0.27960000000000002</v>
      </c>
      <c r="J269" s="1">
        <v>89812</v>
      </c>
      <c r="K269" s="1">
        <v>23000</v>
      </c>
      <c r="L269" s="1">
        <v>14860</v>
      </c>
      <c r="M269" s="1">
        <v>11</v>
      </c>
      <c r="N269" s="1" t="s">
        <v>20</v>
      </c>
      <c r="O269" s="1" t="s">
        <v>29</v>
      </c>
      <c r="P269" s="1" t="s">
        <v>22</v>
      </c>
      <c r="Q269" s="1" t="s">
        <v>23</v>
      </c>
      <c r="R269">
        <v>0.8055034284305771</v>
      </c>
    </row>
    <row r="270" spans="1:18" x14ac:dyDescent="0.2">
      <c r="A270" s="1">
        <v>230764</v>
      </c>
      <c r="B270" s="1" t="s">
        <v>339</v>
      </c>
      <c r="C270" s="1" t="s">
        <v>286</v>
      </c>
      <c r="D270" s="1">
        <v>0.85980000000000001</v>
      </c>
      <c r="E270" s="1">
        <v>27264</v>
      </c>
      <c r="F270" s="1">
        <v>30860</v>
      </c>
      <c r="G270" s="1">
        <v>0.65049999999999997</v>
      </c>
      <c r="H270" s="1">
        <v>0.8619</v>
      </c>
      <c r="I270" s="1">
        <v>0.19589999999999999</v>
      </c>
      <c r="J270" s="1">
        <v>67170</v>
      </c>
      <c r="K270" s="1">
        <v>19000</v>
      </c>
      <c r="L270" s="1">
        <v>12776</v>
      </c>
      <c r="M270" s="1">
        <v>19</v>
      </c>
      <c r="N270" s="1" t="s">
        <v>28</v>
      </c>
      <c r="O270" s="1" t="s">
        <v>29</v>
      </c>
      <c r="P270" s="1" t="s">
        <v>22</v>
      </c>
      <c r="Q270" s="1" t="s">
        <v>23</v>
      </c>
      <c r="R270">
        <v>0.80545139969951085</v>
      </c>
    </row>
    <row r="271" spans="1:18" x14ac:dyDescent="0.2">
      <c r="A271" s="1">
        <v>190725</v>
      </c>
      <c r="B271" s="1" t="s">
        <v>340</v>
      </c>
      <c r="C271" s="1" t="s">
        <v>58</v>
      </c>
      <c r="D271" s="1">
        <v>0.68259999999999998</v>
      </c>
      <c r="E271" s="1">
        <v>1643</v>
      </c>
      <c r="F271" s="1">
        <v>35218</v>
      </c>
      <c r="G271" s="1">
        <v>0.58879999999999999</v>
      </c>
      <c r="H271" s="1">
        <v>0.75670000000000004</v>
      </c>
      <c r="I271" s="1">
        <v>0.46179999999999999</v>
      </c>
      <c r="J271" s="1">
        <v>61808</v>
      </c>
      <c r="K271" s="1">
        <v>22091</v>
      </c>
      <c r="L271" s="1">
        <v>7103</v>
      </c>
      <c r="M271" s="1">
        <v>12</v>
      </c>
      <c r="N271" s="1" t="s">
        <v>20</v>
      </c>
      <c r="O271" s="1" t="s">
        <v>21</v>
      </c>
      <c r="P271" s="1" t="s">
        <v>39</v>
      </c>
      <c r="Q271" s="1" t="s">
        <v>23</v>
      </c>
      <c r="R271">
        <v>0.8051166322621558</v>
      </c>
    </row>
    <row r="272" spans="1:18" x14ac:dyDescent="0.2">
      <c r="A272" s="1">
        <v>181020</v>
      </c>
      <c r="B272" s="1" t="s">
        <v>341</v>
      </c>
      <c r="C272" s="1" t="s">
        <v>221</v>
      </c>
      <c r="D272" s="1">
        <v>0.98009999999999997</v>
      </c>
      <c r="E272" s="1">
        <v>978</v>
      </c>
      <c r="F272" s="1">
        <v>43985</v>
      </c>
      <c r="G272" s="1">
        <v>0.57140000000000002</v>
      </c>
      <c r="H272" s="1">
        <v>0.79249999999999998</v>
      </c>
      <c r="I272" s="1">
        <v>0.26779999999999998</v>
      </c>
      <c r="J272" s="1">
        <v>53316</v>
      </c>
      <c r="K272" s="1">
        <v>25000</v>
      </c>
      <c r="L272" s="1">
        <v>7775</v>
      </c>
      <c r="M272" s="1">
        <v>11</v>
      </c>
      <c r="N272" s="1" t="s">
        <v>20</v>
      </c>
      <c r="O272" s="1" t="s">
        <v>42</v>
      </c>
      <c r="P272" s="1" t="s">
        <v>22</v>
      </c>
      <c r="Q272" s="1" t="s">
        <v>23</v>
      </c>
      <c r="R272">
        <v>0.80489552011585896</v>
      </c>
    </row>
    <row r="273" spans="1:18" x14ac:dyDescent="0.2">
      <c r="A273" s="1">
        <v>218654</v>
      </c>
      <c r="B273" s="1" t="s">
        <v>342</v>
      </c>
      <c r="C273" s="1" t="s">
        <v>155</v>
      </c>
      <c r="D273" s="1">
        <v>0.72499999999999998</v>
      </c>
      <c r="E273" s="1">
        <v>2052</v>
      </c>
      <c r="F273" s="1">
        <v>21776</v>
      </c>
      <c r="G273" s="1">
        <v>0.33989999999999998</v>
      </c>
      <c r="H273" s="1">
        <v>0.61260000000000003</v>
      </c>
      <c r="I273" s="1">
        <v>0.40110000000000001</v>
      </c>
      <c r="J273" s="1">
        <v>48088</v>
      </c>
      <c r="K273" s="1">
        <v>24000</v>
      </c>
      <c r="L273" s="1">
        <v>8392</v>
      </c>
      <c r="M273" s="1">
        <v>15</v>
      </c>
      <c r="N273" s="1" t="s">
        <v>28</v>
      </c>
      <c r="O273" s="1" t="s">
        <v>42</v>
      </c>
      <c r="P273" s="1" t="s">
        <v>30</v>
      </c>
      <c r="Q273" s="1" t="s">
        <v>31</v>
      </c>
      <c r="R273">
        <v>0.80444015149772907</v>
      </c>
    </row>
    <row r="274" spans="1:18" x14ac:dyDescent="0.2">
      <c r="A274" s="1">
        <v>141237</v>
      </c>
      <c r="B274" s="1" t="s">
        <v>343</v>
      </c>
      <c r="C274" s="1" t="s">
        <v>126</v>
      </c>
      <c r="D274" s="1">
        <v>0.78259999999999996</v>
      </c>
      <c r="E274" s="1">
        <v>744</v>
      </c>
      <c r="F274" s="1">
        <v>26792</v>
      </c>
      <c r="G274" s="1">
        <v>0.37809999999999999</v>
      </c>
      <c r="H274" s="1">
        <v>0.66979999999999995</v>
      </c>
      <c r="I274" s="1">
        <v>0.10150000000000001</v>
      </c>
      <c r="J274" s="1">
        <v>46700</v>
      </c>
      <c r="K274" s="1">
        <v>23439</v>
      </c>
      <c r="L274" s="1">
        <v>4901</v>
      </c>
      <c r="M274" s="1">
        <v>15</v>
      </c>
      <c r="N274" s="1" t="s">
        <v>20</v>
      </c>
      <c r="O274" s="1" t="s">
        <v>42</v>
      </c>
      <c r="P274" s="1" t="s">
        <v>30</v>
      </c>
      <c r="Q274" s="1" t="s">
        <v>31</v>
      </c>
      <c r="R274">
        <v>0.80422413745015864</v>
      </c>
    </row>
    <row r="275" spans="1:18" x14ac:dyDescent="0.2">
      <c r="A275" s="1">
        <v>228787</v>
      </c>
      <c r="B275" s="1" t="s">
        <v>344</v>
      </c>
      <c r="C275" s="1" t="s">
        <v>36</v>
      </c>
      <c r="D275" s="1">
        <v>0.65129999999999999</v>
      </c>
      <c r="E275" s="1">
        <v>21751</v>
      </c>
      <c r="F275" s="1">
        <v>40144</v>
      </c>
      <c r="G275" s="1">
        <v>0.75690000000000002</v>
      </c>
      <c r="H275" s="1">
        <v>0.89949999999999997</v>
      </c>
      <c r="I275" s="1">
        <v>0.29970000000000002</v>
      </c>
      <c r="J275" s="1">
        <v>68227</v>
      </c>
      <c r="K275" s="1">
        <v>18000</v>
      </c>
      <c r="L275" s="1">
        <v>15085</v>
      </c>
      <c r="M275" s="1">
        <v>23</v>
      </c>
      <c r="N275" s="1" t="s">
        <v>28</v>
      </c>
      <c r="O275" s="1" t="s">
        <v>29</v>
      </c>
      <c r="P275" s="1" t="s">
        <v>30</v>
      </c>
      <c r="Q275" s="1" t="s">
        <v>23</v>
      </c>
      <c r="R275">
        <v>0.80396815378749442</v>
      </c>
    </row>
    <row r="276" spans="1:18" x14ac:dyDescent="0.2">
      <c r="A276" s="1">
        <v>214272</v>
      </c>
      <c r="B276" s="1" t="s">
        <v>345</v>
      </c>
      <c r="C276" s="1" t="s">
        <v>98</v>
      </c>
      <c r="D276" s="1">
        <v>0.81279999999999997</v>
      </c>
      <c r="E276" s="1">
        <v>1533</v>
      </c>
      <c r="F276" s="1">
        <v>39100</v>
      </c>
      <c r="G276" s="1">
        <v>0.53680000000000005</v>
      </c>
      <c r="H276" s="1">
        <v>0.72089999999999999</v>
      </c>
      <c r="I276" s="1">
        <v>0.42770000000000002</v>
      </c>
      <c r="J276" s="1">
        <v>57817</v>
      </c>
      <c r="K276" s="1">
        <v>27000</v>
      </c>
      <c r="L276" s="1">
        <v>7550</v>
      </c>
      <c r="M276" s="1">
        <v>13</v>
      </c>
      <c r="N276" s="1" t="s">
        <v>20</v>
      </c>
      <c r="O276" s="1" t="s">
        <v>21</v>
      </c>
      <c r="P276" s="1" t="s">
        <v>39</v>
      </c>
      <c r="Q276" s="1" t="s">
        <v>23</v>
      </c>
      <c r="R276">
        <v>0.80335415162743851</v>
      </c>
    </row>
    <row r="277" spans="1:18" x14ac:dyDescent="0.2">
      <c r="A277" s="1">
        <v>151290</v>
      </c>
      <c r="B277" s="1" t="s">
        <v>346</v>
      </c>
      <c r="C277" s="1" t="s">
        <v>102</v>
      </c>
      <c r="D277" s="1">
        <v>0.70389999999999997</v>
      </c>
      <c r="E277" s="1">
        <v>1441</v>
      </c>
      <c r="F277" s="1">
        <v>31361</v>
      </c>
      <c r="G277" s="1">
        <v>0.47789999999999999</v>
      </c>
      <c r="H277" s="1">
        <v>0.59409999999999996</v>
      </c>
      <c r="I277" s="1">
        <v>0.3518</v>
      </c>
      <c r="J277" s="1">
        <v>47327</v>
      </c>
      <c r="K277" s="1">
        <v>26391</v>
      </c>
      <c r="L277" s="1">
        <v>9234</v>
      </c>
      <c r="M277" s="1">
        <v>16</v>
      </c>
      <c r="N277" s="1" t="s">
        <v>20</v>
      </c>
      <c r="O277" s="1" t="s">
        <v>29</v>
      </c>
      <c r="P277" s="1" t="s">
        <v>22</v>
      </c>
      <c r="Q277" s="1" t="s">
        <v>31</v>
      </c>
      <c r="R277">
        <v>0.80277841984587073</v>
      </c>
    </row>
    <row r="278" spans="1:18" x14ac:dyDescent="0.2">
      <c r="A278" s="1">
        <v>219356</v>
      </c>
      <c r="B278" s="1" t="s">
        <v>347</v>
      </c>
      <c r="C278" s="1" t="s">
        <v>41</v>
      </c>
      <c r="D278" s="1">
        <v>0.98340000000000005</v>
      </c>
      <c r="E278" s="1">
        <v>9198</v>
      </c>
      <c r="F278" s="1">
        <v>12809</v>
      </c>
      <c r="G278" s="1">
        <v>0.62350000000000005</v>
      </c>
      <c r="H278" s="1">
        <v>0.83809999999999996</v>
      </c>
      <c r="I278" s="1">
        <v>0.16819999999999999</v>
      </c>
      <c r="J278" s="1">
        <v>55070</v>
      </c>
      <c r="K278" s="1">
        <v>23250</v>
      </c>
      <c r="L278" s="1">
        <v>10231</v>
      </c>
      <c r="M278" s="1">
        <v>17</v>
      </c>
      <c r="N278" s="1" t="s">
        <v>28</v>
      </c>
      <c r="O278" s="1" t="s">
        <v>42</v>
      </c>
      <c r="P278" s="1" t="s">
        <v>22</v>
      </c>
      <c r="Q278" s="1" t="s">
        <v>23</v>
      </c>
      <c r="R278">
        <v>0.80183801954828082</v>
      </c>
    </row>
    <row r="279" spans="1:18" x14ac:dyDescent="0.2">
      <c r="A279" s="1">
        <v>189705</v>
      </c>
      <c r="B279" s="1" t="s">
        <v>348</v>
      </c>
      <c r="C279" s="1" t="s">
        <v>58</v>
      </c>
      <c r="D279" s="1">
        <v>0.72360000000000002</v>
      </c>
      <c r="E279" s="1">
        <v>1685</v>
      </c>
      <c r="F279" s="1">
        <v>34500</v>
      </c>
      <c r="G279" s="1">
        <v>0.66390000000000005</v>
      </c>
      <c r="H279" s="1">
        <v>0.72619999999999996</v>
      </c>
      <c r="I279" s="1">
        <v>0.32200000000000001</v>
      </c>
      <c r="J279" s="1">
        <v>60681</v>
      </c>
      <c r="K279" s="1">
        <v>24250</v>
      </c>
      <c r="L279" s="1">
        <v>8691</v>
      </c>
      <c r="M279" s="1">
        <v>11</v>
      </c>
      <c r="N279" s="1" t="s">
        <v>20</v>
      </c>
      <c r="O279" s="1" t="s">
        <v>29</v>
      </c>
      <c r="P279" s="1" t="s">
        <v>39</v>
      </c>
      <c r="Q279" s="1" t="s">
        <v>23</v>
      </c>
      <c r="R279">
        <v>0.80172487093625877</v>
      </c>
    </row>
    <row r="280" spans="1:18" x14ac:dyDescent="0.2">
      <c r="A280" s="1">
        <v>238458</v>
      </c>
      <c r="B280" s="1" t="s">
        <v>349</v>
      </c>
      <c r="C280" s="1" t="s">
        <v>50</v>
      </c>
      <c r="D280" s="1">
        <v>0.66839999999999999</v>
      </c>
      <c r="E280" s="1">
        <v>2523</v>
      </c>
      <c r="F280" s="1">
        <v>38890</v>
      </c>
      <c r="G280" s="1">
        <v>0.70699999999999996</v>
      </c>
      <c r="H280" s="1">
        <v>0.78249999999999997</v>
      </c>
      <c r="I280" s="1">
        <v>0.2291</v>
      </c>
      <c r="J280" s="1">
        <v>58009</v>
      </c>
      <c r="K280" s="1">
        <v>27000</v>
      </c>
      <c r="L280" s="1">
        <v>8605</v>
      </c>
      <c r="M280" s="1">
        <v>14</v>
      </c>
      <c r="N280" s="1" t="s">
        <v>20</v>
      </c>
      <c r="O280" s="1" t="s">
        <v>29</v>
      </c>
      <c r="P280" s="1" t="s">
        <v>22</v>
      </c>
      <c r="Q280" s="1" t="s">
        <v>23</v>
      </c>
      <c r="R280">
        <v>0.80172316057902315</v>
      </c>
    </row>
    <row r="281" spans="1:18" x14ac:dyDescent="0.2">
      <c r="A281" s="1">
        <v>198835</v>
      </c>
      <c r="B281" s="1" t="s">
        <v>350</v>
      </c>
      <c r="C281" s="1" t="s">
        <v>86</v>
      </c>
      <c r="D281" s="1">
        <v>0.84589999999999999</v>
      </c>
      <c r="E281" s="1">
        <v>1359</v>
      </c>
      <c r="F281" s="1">
        <v>31900</v>
      </c>
      <c r="G281" s="1">
        <v>0.4778</v>
      </c>
      <c r="H281" s="1">
        <v>0.75529999999999997</v>
      </c>
      <c r="I281" s="1">
        <v>0.39200000000000002</v>
      </c>
      <c r="J281" s="1">
        <v>45543</v>
      </c>
      <c r="K281" s="1">
        <v>26000</v>
      </c>
      <c r="L281" s="1">
        <v>7780</v>
      </c>
      <c r="M281" s="1">
        <v>15</v>
      </c>
      <c r="N281" s="1" t="s">
        <v>20</v>
      </c>
      <c r="O281" s="1" t="s">
        <v>29</v>
      </c>
      <c r="P281" s="1" t="s">
        <v>30</v>
      </c>
      <c r="Q281" s="1" t="s">
        <v>31</v>
      </c>
      <c r="R281">
        <v>0.80130056606481148</v>
      </c>
    </row>
    <row r="282" spans="1:18" x14ac:dyDescent="0.2">
      <c r="A282" s="1">
        <v>130314</v>
      </c>
      <c r="B282" s="1" t="s">
        <v>351</v>
      </c>
      <c r="C282" s="1" t="s">
        <v>147</v>
      </c>
      <c r="D282" s="1">
        <v>0.78590000000000004</v>
      </c>
      <c r="E282" s="1">
        <v>838</v>
      </c>
      <c r="F282" s="1">
        <v>47278</v>
      </c>
      <c r="G282" s="1">
        <v>0.63759999999999994</v>
      </c>
      <c r="H282" s="1">
        <v>0.82079999999999997</v>
      </c>
      <c r="I282" s="1">
        <v>0.32650000000000001</v>
      </c>
      <c r="J282" s="1">
        <v>59908</v>
      </c>
      <c r="K282" s="1">
        <v>27000</v>
      </c>
      <c r="L282" s="1">
        <v>8639</v>
      </c>
      <c r="M282" s="1">
        <v>10</v>
      </c>
      <c r="N282" s="1" t="s">
        <v>20</v>
      </c>
      <c r="O282" s="1" t="s">
        <v>29</v>
      </c>
      <c r="P282" s="1" t="s">
        <v>39</v>
      </c>
      <c r="Q282" s="1" t="s">
        <v>23</v>
      </c>
      <c r="R282">
        <v>0.80089831539253298</v>
      </c>
    </row>
    <row r="283" spans="1:18" x14ac:dyDescent="0.2">
      <c r="A283" s="1">
        <v>197984</v>
      </c>
      <c r="B283" s="1" t="s">
        <v>352</v>
      </c>
      <c r="C283" s="1" t="s">
        <v>86</v>
      </c>
      <c r="D283" s="1">
        <v>0.74650000000000005</v>
      </c>
      <c r="E283" s="1">
        <v>1276</v>
      </c>
      <c r="F283" s="1">
        <v>19500</v>
      </c>
      <c r="G283" s="1">
        <v>0.46679999999999999</v>
      </c>
      <c r="H283" s="1">
        <v>0.70440000000000003</v>
      </c>
      <c r="I283" s="1">
        <v>0.24210000000000001</v>
      </c>
      <c r="J283" s="1">
        <v>47937</v>
      </c>
      <c r="K283" s="1">
        <v>26000</v>
      </c>
      <c r="L283" s="1">
        <v>7019</v>
      </c>
      <c r="M283" s="1">
        <v>12</v>
      </c>
      <c r="N283" s="1" t="s">
        <v>20</v>
      </c>
      <c r="O283" s="1" t="s">
        <v>21</v>
      </c>
      <c r="P283" s="1" t="s">
        <v>30</v>
      </c>
      <c r="Q283" s="1" t="s">
        <v>31</v>
      </c>
      <c r="R283">
        <v>0.79916168413921906</v>
      </c>
    </row>
    <row r="284" spans="1:18" x14ac:dyDescent="0.2">
      <c r="A284" s="1">
        <v>214786</v>
      </c>
      <c r="B284" s="1" t="s">
        <v>353</v>
      </c>
      <c r="C284" s="1" t="s">
        <v>98</v>
      </c>
      <c r="D284" s="1">
        <v>0.9647</v>
      </c>
      <c r="E284" s="1">
        <v>349</v>
      </c>
      <c r="F284" s="1">
        <v>24134</v>
      </c>
      <c r="G284" s="1">
        <v>0.18970000000000001</v>
      </c>
      <c r="H284" s="1">
        <v>0.77880000000000005</v>
      </c>
      <c r="I284" s="1">
        <v>0.41270000000000001</v>
      </c>
      <c r="J284" s="1">
        <v>63435</v>
      </c>
      <c r="K284" s="1">
        <v>25000</v>
      </c>
      <c r="L284" s="1">
        <v>10177</v>
      </c>
      <c r="M284" s="1">
        <v>9</v>
      </c>
      <c r="N284" s="1" t="s">
        <v>28</v>
      </c>
      <c r="O284" s="1" t="s">
        <v>21</v>
      </c>
      <c r="P284" s="1" t="s">
        <v>39</v>
      </c>
      <c r="Q284" s="1" t="s">
        <v>23</v>
      </c>
      <c r="R284">
        <v>0.79836816060055615</v>
      </c>
    </row>
    <row r="285" spans="1:18" x14ac:dyDescent="0.2">
      <c r="A285" s="1">
        <v>193654</v>
      </c>
      <c r="B285" s="1" t="s">
        <v>354</v>
      </c>
      <c r="C285" s="1" t="s">
        <v>58</v>
      </c>
      <c r="D285" s="1">
        <v>0.63470000000000004</v>
      </c>
      <c r="E285" s="1">
        <v>6563</v>
      </c>
      <c r="F285" s="1">
        <v>58694</v>
      </c>
      <c r="G285" s="1">
        <v>0.69369999999999998</v>
      </c>
      <c r="H285" s="1">
        <v>0.84760000000000002</v>
      </c>
      <c r="I285" s="1">
        <v>0.15010000000000001</v>
      </c>
      <c r="J285" s="1">
        <v>52901</v>
      </c>
      <c r="K285" s="1">
        <v>22266</v>
      </c>
      <c r="L285" s="1">
        <v>13417</v>
      </c>
      <c r="M285" s="1">
        <v>9</v>
      </c>
      <c r="N285" s="1" t="s">
        <v>20</v>
      </c>
      <c r="O285" s="1" t="s">
        <v>29</v>
      </c>
      <c r="P285" s="1" t="s">
        <v>39</v>
      </c>
      <c r="Q285" s="1" t="s">
        <v>23</v>
      </c>
      <c r="R285">
        <v>0.79834444434324026</v>
      </c>
    </row>
    <row r="286" spans="1:18" x14ac:dyDescent="0.2">
      <c r="A286" s="1">
        <v>126678</v>
      </c>
      <c r="B286" s="1" t="s">
        <v>355</v>
      </c>
      <c r="C286" s="1" t="s">
        <v>161</v>
      </c>
      <c r="D286" s="1">
        <v>0.1847</v>
      </c>
      <c r="E286" s="1">
        <v>2014</v>
      </c>
      <c r="F286" s="1">
        <v>70734</v>
      </c>
      <c r="G286" s="1">
        <v>0.87660000000000005</v>
      </c>
      <c r="H286" s="1">
        <v>0.93620000000000003</v>
      </c>
      <c r="I286" s="1">
        <v>0.14449999999999999</v>
      </c>
      <c r="J286" s="1">
        <v>65222</v>
      </c>
      <c r="K286" s="1">
        <v>18257</v>
      </c>
      <c r="L286" s="1">
        <v>12786</v>
      </c>
      <c r="M286" s="1">
        <v>9</v>
      </c>
      <c r="N286" s="1" t="s">
        <v>20</v>
      </c>
      <c r="O286" s="1" t="s">
        <v>29</v>
      </c>
      <c r="P286" s="1" t="s">
        <v>22</v>
      </c>
      <c r="Q286" s="1" t="s">
        <v>23</v>
      </c>
      <c r="R286">
        <v>0.79667047274062353</v>
      </c>
    </row>
    <row r="287" spans="1:18" x14ac:dyDescent="0.2">
      <c r="A287" s="1">
        <v>198215</v>
      </c>
      <c r="B287" s="1" t="s">
        <v>356</v>
      </c>
      <c r="C287" s="1" t="s">
        <v>86</v>
      </c>
      <c r="D287" s="1">
        <v>0.75209999999999999</v>
      </c>
      <c r="E287" s="1">
        <v>1235</v>
      </c>
      <c r="F287" s="1">
        <v>34300</v>
      </c>
      <c r="G287" s="1">
        <v>0.47289999999999999</v>
      </c>
      <c r="H287" s="1">
        <v>0.77300000000000002</v>
      </c>
      <c r="I287" s="1">
        <v>0.41</v>
      </c>
      <c r="J287" s="1">
        <v>48793</v>
      </c>
      <c r="K287" s="1">
        <v>25000</v>
      </c>
      <c r="L287" s="1">
        <v>8682</v>
      </c>
      <c r="M287" s="1">
        <v>13</v>
      </c>
      <c r="N287" s="1" t="s">
        <v>20</v>
      </c>
      <c r="O287" s="1" t="s">
        <v>21</v>
      </c>
      <c r="P287" s="1" t="s">
        <v>30</v>
      </c>
      <c r="Q287" s="1" t="s">
        <v>31</v>
      </c>
      <c r="R287">
        <v>0.79634442274721129</v>
      </c>
    </row>
    <row r="288" spans="1:18" x14ac:dyDescent="0.2">
      <c r="A288" s="1">
        <v>211431</v>
      </c>
      <c r="B288" s="1" t="s">
        <v>357</v>
      </c>
      <c r="C288" s="1" t="s">
        <v>98</v>
      </c>
      <c r="D288" s="1">
        <v>0.86950000000000005</v>
      </c>
      <c r="E288" s="1">
        <v>1348</v>
      </c>
      <c r="F288" s="1">
        <v>35874</v>
      </c>
      <c r="G288" s="1">
        <v>0.59919999999999995</v>
      </c>
      <c r="H288" s="1">
        <v>0.84430000000000005</v>
      </c>
      <c r="I288" s="1">
        <v>0.43009999999999998</v>
      </c>
      <c r="J288" s="1">
        <v>51051</v>
      </c>
      <c r="K288" s="1">
        <v>25500</v>
      </c>
      <c r="L288" s="1">
        <v>7520</v>
      </c>
      <c r="M288" s="1">
        <v>12</v>
      </c>
      <c r="N288" s="1" t="s">
        <v>20</v>
      </c>
      <c r="O288" s="1" t="s">
        <v>29</v>
      </c>
      <c r="P288" s="1" t="s">
        <v>39</v>
      </c>
      <c r="Q288" s="1" t="s">
        <v>23</v>
      </c>
      <c r="R288">
        <v>0.79597044366410108</v>
      </c>
    </row>
    <row r="289" spans="1:18" x14ac:dyDescent="0.2">
      <c r="A289" s="1">
        <v>163338</v>
      </c>
      <c r="B289" s="1" t="s">
        <v>358</v>
      </c>
      <c r="C289" s="1" t="s">
        <v>61</v>
      </c>
      <c r="D289" s="1">
        <v>0.96409999999999996</v>
      </c>
      <c r="E289" s="1">
        <v>2391</v>
      </c>
      <c r="F289" s="1">
        <v>20122</v>
      </c>
      <c r="G289" s="1">
        <v>0.3533</v>
      </c>
      <c r="H289" s="1">
        <v>0.6179</v>
      </c>
      <c r="I289" s="1">
        <v>0.55710000000000004</v>
      </c>
      <c r="J289" s="1">
        <v>47697</v>
      </c>
      <c r="K289" s="1">
        <v>27000</v>
      </c>
      <c r="L289" s="1">
        <v>10872</v>
      </c>
      <c r="M289" s="1">
        <v>11</v>
      </c>
      <c r="N289" s="1" t="s">
        <v>28</v>
      </c>
      <c r="O289" s="1" t="s">
        <v>42</v>
      </c>
      <c r="P289" s="1" t="s">
        <v>30</v>
      </c>
      <c r="Q289" s="1" t="s">
        <v>31</v>
      </c>
      <c r="R289">
        <v>0.79401745047448402</v>
      </c>
    </row>
    <row r="290" spans="1:18" x14ac:dyDescent="0.2">
      <c r="A290" s="1">
        <v>166850</v>
      </c>
      <c r="B290" s="1" t="s">
        <v>359</v>
      </c>
      <c r="C290" s="1" t="s">
        <v>129</v>
      </c>
      <c r="D290" s="1">
        <v>0.70020000000000004</v>
      </c>
      <c r="E290" s="1">
        <v>3916</v>
      </c>
      <c r="F290" s="1">
        <v>53962</v>
      </c>
      <c r="G290" s="1">
        <v>0.70050000000000001</v>
      </c>
      <c r="H290" s="1">
        <v>0.79269999999999996</v>
      </c>
      <c r="I290" s="1">
        <v>0.15579999999999999</v>
      </c>
      <c r="J290" s="1">
        <v>75584</v>
      </c>
      <c r="K290" s="1">
        <v>27000</v>
      </c>
      <c r="L290" s="1">
        <v>12316</v>
      </c>
      <c r="M290" s="1">
        <v>13</v>
      </c>
      <c r="N290" s="1" t="s">
        <v>20</v>
      </c>
      <c r="O290" s="1" t="s">
        <v>21</v>
      </c>
      <c r="P290" s="1" t="s">
        <v>39</v>
      </c>
      <c r="Q290" s="1" t="s">
        <v>23</v>
      </c>
      <c r="R290">
        <v>0.79312991873399097</v>
      </c>
    </row>
    <row r="291" spans="1:18" x14ac:dyDescent="0.2">
      <c r="A291" s="1">
        <v>219347</v>
      </c>
      <c r="B291" s="1" t="s">
        <v>360</v>
      </c>
      <c r="C291" s="1" t="s">
        <v>41</v>
      </c>
      <c r="D291" s="1">
        <v>0.79869999999999997</v>
      </c>
      <c r="E291" s="1">
        <v>2071</v>
      </c>
      <c r="F291" s="1">
        <v>14900</v>
      </c>
      <c r="G291" s="1">
        <v>0.52949999999999997</v>
      </c>
      <c r="H291" s="1">
        <v>0.84089999999999998</v>
      </c>
      <c r="I291" s="1">
        <v>0.16869999999999999</v>
      </c>
      <c r="J291" s="1">
        <v>72257</v>
      </c>
      <c r="K291" s="1">
        <v>27000</v>
      </c>
      <c r="L291" s="1">
        <v>11245</v>
      </c>
      <c r="M291" s="1">
        <v>12</v>
      </c>
      <c r="N291" s="1" t="s">
        <v>28</v>
      </c>
      <c r="O291" s="1" t="s">
        <v>29</v>
      </c>
      <c r="P291" s="1" t="s">
        <v>22</v>
      </c>
      <c r="Q291" s="1" t="s">
        <v>23</v>
      </c>
      <c r="R291">
        <v>0.7909418856915762</v>
      </c>
    </row>
    <row r="292" spans="1:18" x14ac:dyDescent="0.2">
      <c r="A292" s="1">
        <v>243780</v>
      </c>
      <c r="B292" s="1" t="s">
        <v>361</v>
      </c>
      <c r="C292" s="1" t="s">
        <v>102</v>
      </c>
      <c r="D292" s="1">
        <v>0.49869999999999998</v>
      </c>
      <c r="E292" s="1">
        <v>44503</v>
      </c>
      <c r="F292" s="1">
        <v>28794</v>
      </c>
      <c r="G292" s="1">
        <v>0.83099999999999996</v>
      </c>
      <c r="H292" s="1">
        <v>0.92700000000000005</v>
      </c>
      <c r="I292" s="1">
        <v>0.1298</v>
      </c>
      <c r="J292" s="1">
        <v>72424</v>
      </c>
      <c r="K292" s="1">
        <v>19500</v>
      </c>
      <c r="L292" s="1">
        <v>14473</v>
      </c>
      <c r="M292" s="1">
        <v>14</v>
      </c>
      <c r="N292" s="1" t="s">
        <v>28</v>
      </c>
      <c r="O292" s="1" t="s">
        <v>29</v>
      </c>
      <c r="P292" s="1" t="s">
        <v>22</v>
      </c>
      <c r="Q292" s="1" t="s">
        <v>23</v>
      </c>
      <c r="R292">
        <v>0.78917426861995743</v>
      </c>
    </row>
    <row r="293" spans="1:18" x14ac:dyDescent="0.2">
      <c r="A293" s="1">
        <v>196088</v>
      </c>
      <c r="B293" s="1" t="s">
        <v>362</v>
      </c>
      <c r="C293" s="1" t="s">
        <v>58</v>
      </c>
      <c r="D293" s="1">
        <v>0.74180000000000001</v>
      </c>
      <c r="E293" s="1">
        <v>20112</v>
      </c>
      <c r="F293" s="1">
        <v>31536</v>
      </c>
      <c r="G293" s="1">
        <v>0.75180000000000002</v>
      </c>
      <c r="H293" s="1">
        <v>0.85209999999999997</v>
      </c>
      <c r="I293" s="1">
        <v>0.33129999999999998</v>
      </c>
      <c r="J293" s="1">
        <v>70814</v>
      </c>
      <c r="K293" s="1">
        <v>19000</v>
      </c>
      <c r="L293" s="1">
        <v>12415</v>
      </c>
      <c r="M293" s="1">
        <v>11</v>
      </c>
      <c r="N293" s="1" t="s">
        <v>28</v>
      </c>
      <c r="O293" s="1" t="s">
        <v>21</v>
      </c>
      <c r="P293" s="1" t="s">
        <v>39</v>
      </c>
      <c r="Q293" s="1" t="s">
        <v>23</v>
      </c>
      <c r="R293">
        <v>0.78895486004653204</v>
      </c>
    </row>
    <row r="294" spans="1:18" x14ac:dyDescent="0.2">
      <c r="A294" s="1">
        <v>239716</v>
      </c>
      <c r="B294" s="1" t="s">
        <v>363</v>
      </c>
      <c r="C294" s="1" t="s">
        <v>50</v>
      </c>
      <c r="D294" s="1">
        <v>0.85740000000000005</v>
      </c>
      <c r="E294" s="1">
        <v>1662</v>
      </c>
      <c r="F294" s="1">
        <v>45580</v>
      </c>
      <c r="G294" s="1">
        <v>0.71289999999999998</v>
      </c>
      <c r="H294" s="1">
        <v>0.8367</v>
      </c>
      <c r="I294" s="1">
        <v>0.14699999999999999</v>
      </c>
      <c r="J294" s="1">
        <v>58363</v>
      </c>
      <c r="K294" s="1">
        <v>26731</v>
      </c>
      <c r="L294" s="1">
        <v>9440</v>
      </c>
      <c r="M294" s="1">
        <v>14</v>
      </c>
      <c r="N294" s="1" t="s">
        <v>20</v>
      </c>
      <c r="O294" s="1" t="s">
        <v>21</v>
      </c>
      <c r="P294" s="1" t="s">
        <v>22</v>
      </c>
      <c r="Q294" s="1" t="s">
        <v>23</v>
      </c>
      <c r="R294">
        <v>0.78683923865272176</v>
      </c>
    </row>
    <row r="295" spans="1:18" x14ac:dyDescent="0.2">
      <c r="A295" s="1">
        <v>433004</v>
      </c>
      <c r="B295" s="1" t="s">
        <v>364</v>
      </c>
      <c r="C295" s="1" t="s">
        <v>33</v>
      </c>
      <c r="D295" s="1">
        <v>0.5</v>
      </c>
      <c r="E295" s="1">
        <v>351</v>
      </c>
      <c r="F295" s="1">
        <v>24575</v>
      </c>
      <c r="G295" s="1">
        <v>0.5</v>
      </c>
      <c r="H295" s="1">
        <v>1</v>
      </c>
      <c r="I295" s="1">
        <v>0.45600000000000002</v>
      </c>
      <c r="J295" s="1">
        <v>93610</v>
      </c>
      <c r="K295" s="1">
        <v>40326</v>
      </c>
      <c r="L295" s="1">
        <v>11448</v>
      </c>
      <c r="M295" s="1">
        <v>16</v>
      </c>
      <c r="N295" s="1" t="s">
        <v>142</v>
      </c>
      <c r="O295" s="1" t="s">
        <v>21</v>
      </c>
      <c r="P295" s="1" t="s">
        <v>22</v>
      </c>
      <c r="Q295" s="1" t="s">
        <v>23</v>
      </c>
      <c r="R295">
        <v>0.78662524242999687</v>
      </c>
    </row>
    <row r="296" spans="1:18" x14ac:dyDescent="0.2">
      <c r="A296" s="1">
        <v>214731</v>
      </c>
      <c r="B296" s="1" t="s">
        <v>365</v>
      </c>
      <c r="C296" s="1" t="s">
        <v>98</v>
      </c>
      <c r="D296" s="1">
        <v>0.98109999999999997</v>
      </c>
      <c r="E296" s="1">
        <v>1223</v>
      </c>
      <c r="F296" s="1">
        <v>25392</v>
      </c>
      <c r="G296" s="1">
        <v>0.25979999999999998</v>
      </c>
      <c r="H296" s="1">
        <v>0.72619999999999996</v>
      </c>
      <c r="I296" s="1">
        <v>0.33689999999999998</v>
      </c>
      <c r="J296" s="1">
        <v>63435</v>
      </c>
      <c r="K296" s="1">
        <v>25000</v>
      </c>
      <c r="L296" s="1">
        <v>9857</v>
      </c>
      <c r="M296" s="1">
        <v>15</v>
      </c>
      <c r="N296" s="1" t="s">
        <v>28</v>
      </c>
      <c r="O296" s="1" t="s">
        <v>21</v>
      </c>
      <c r="P296" s="1" t="s">
        <v>39</v>
      </c>
      <c r="Q296" s="1" t="s">
        <v>23</v>
      </c>
      <c r="R296">
        <v>0.78640759564555685</v>
      </c>
    </row>
    <row r="297" spans="1:18" x14ac:dyDescent="0.2">
      <c r="A297" s="1">
        <v>153658</v>
      </c>
      <c r="B297" s="1" t="s">
        <v>366</v>
      </c>
      <c r="C297" s="1" t="s">
        <v>81</v>
      </c>
      <c r="D297" s="1">
        <v>0.83620000000000005</v>
      </c>
      <c r="E297" s="1">
        <v>22264</v>
      </c>
      <c r="F297" s="1">
        <v>33371</v>
      </c>
      <c r="G297" s="1">
        <v>0.74629999999999996</v>
      </c>
      <c r="H297" s="1">
        <v>0.90359999999999996</v>
      </c>
      <c r="I297" s="1">
        <v>0.1835</v>
      </c>
      <c r="J297" s="1">
        <v>64762</v>
      </c>
      <c r="K297" s="1">
        <v>22500</v>
      </c>
      <c r="L297" s="1">
        <v>12922</v>
      </c>
      <c r="M297" s="1">
        <v>16</v>
      </c>
      <c r="N297" s="1" t="s">
        <v>28</v>
      </c>
      <c r="O297" s="1" t="s">
        <v>29</v>
      </c>
      <c r="P297" s="1" t="s">
        <v>22</v>
      </c>
      <c r="Q297" s="1" t="s">
        <v>23</v>
      </c>
      <c r="R297">
        <v>0.78601205202725921</v>
      </c>
    </row>
    <row r="298" spans="1:18" x14ac:dyDescent="0.2">
      <c r="A298" s="1">
        <v>151342</v>
      </c>
      <c r="B298" s="1" t="s">
        <v>367</v>
      </c>
      <c r="C298" s="1" t="s">
        <v>102</v>
      </c>
      <c r="D298" s="1">
        <v>0.83840000000000003</v>
      </c>
      <c r="E298" s="1">
        <v>3933</v>
      </c>
      <c r="F298" s="1">
        <v>22811</v>
      </c>
      <c r="G298" s="1">
        <v>0.40089999999999998</v>
      </c>
      <c r="H298" s="1">
        <v>0.65090000000000003</v>
      </c>
      <c r="I298" s="1">
        <v>0.42670000000000002</v>
      </c>
      <c r="J298" s="1">
        <v>44947</v>
      </c>
      <c r="K298" s="1">
        <v>21355</v>
      </c>
      <c r="L298" s="1">
        <v>7053</v>
      </c>
      <c r="M298" s="1">
        <v>15</v>
      </c>
      <c r="N298" s="1" t="s">
        <v>28</v>
      </c>
      <c r="O298" s="1" t="s">
        <v>29</v>
      </c>
      <c r="P298" s="1" t="s">
        <v>22</v>
      </c>
      <c r="Q298" s="1" t="s">
        <v>31</v>
      </c>
      <c r="R298">
        <v>0.78557499275973042</v>
      </c>
    </row>
    <row r="299" spans="1:18" x14ac:dyDescent="0.2">
      <c r="A299" s="1">
        <v>198950</v>
      </c>
      <c r="B299" s="1" t="s">
        <v>368</v>
      </c>
      <c r="C299" s="1" t="s">
        <v>86</v>
      </c>
      <c r="D299" s="1">
        <v>0.74180000000000001</v>
      </c>
      <c r="E299" s="1">
        <v>1188</v>
      </c>
      <c r="F299" s="1">
        <v>45630</v>
      </c>
      <c r="G299" s="1">
        <v>0.70069999999999999</v>
      </c>
      <c r="H299" s="1">
        <v>0.79379999999999995</v>
      </c>
      <c r="I299" s="1">
        <v>0.35909999999999997</v>
      </c>
      <c r="J299" s="1">
        <v>51539</v>
      </c>
      <c r="K299" s="1">
        <v>25000</v>
      </c>
      <c r="L299" s="1">
        <v>7652</v>
      </c>
      <c r="M299" s="1">
        <v>10</v>
      </c>
      <c r="N299" s="1" t="s">
        <v>20</v>
      </c>
      <c r="O299" s="1" t="s">
        <v>29</v>
      </c>
      <c r="P299" s="1" t="s">
        <v>30</v>
      </c>
      <c r="Q299" s="1" t="s">
        <v>23</v>
      </c>
      <c r="R299">
        <v>0.78550979406323729</v>
      </c>
    </row>
    <row r="300" spans="1:18" x14ac:dyDescent="0.2">
      <c r="A300" s="1">
        <v>146339</v>
      </c>
      <c r="B300" s="1" t="s">
        <v>369</v>
      </c>
      <c r="C300" s="1" t="s">
        <v>25</v>
      </c>
      <c r="D300" s="1">
        <v>0.47589999999999999</v>
      </c>
      <c r="E300" s="1">
        <v>708</v>
      </c>
      <c r="F300" s="1">
        <v>31360</v>
      </c>
      <c r="G300" s="1">
        <v>0.59870000000000001</v>
      </c>
      <c r="H300" s="1">
        <v>0.5917</v>
      </c>
      <c r="I300" s="1">
        <v>0.3871</v>
      </c>
      <c r="J300" s="1">
        <v>56313</v>
      </c>
      <c r="K300" s="1">
        <v>25000</v>
      </c>
      <c r="L300" s="1">
        <v>6024</v>
      </c>
      <c r="M300" s="1">
        <v>10</v>
      </c>
      <c r="N300" s="1" t="s">
        <v>20</v>
      </c>
      <c r="O300" s="1" t="s">
        <v>29</v>
      </c>
      <c r="P300" s="1" t="s">
        <v>22</v>
      </c>
      <c r="Q300" s="1" t="s">
        <v>23</v>
      </c>
      <c r="R300">
        <v>0.78536350421445156</v>
      </c>
    </row>
    <row r="301" spans="1:18" x14ac:dyDescent="0.2">
      <c r="A301" s="1">
        <v>213826</v>
      </c>
      <c r="B301" s="1" t="s">
        <v>370</v>
      </c>
      <c r="C301" s="1" t="s">
        <v>98</v>
      </c>
      <c r="D301" s="1">
        <v>0.60580000000000001</v>
      </c>
      <c r="E301" s="1">
        <v>1784</v>
      </c>
      <c r="F301" s="1">
        <v>41420</v>
      </c>
      <c r="G301" s="1">
        <v>0.71650000000000003</v>
      </c>
      <c r="H301" s="1">
        <v>0.79810000000000003</v>
      </c>
      <c r="I301" s="1">
        <v>0.3196</v>
      </c>
      <c r="J301" s="1">
        <v>55817</v>
      </c>
      <c r="K301" s="1">
        <v>26186</v>
      </c>
      <c r="L301" s="1">
        <v>7773</v>
      </c>
      <c r="M301" s="1">
        <v>11</v>
      </c>
      <c r="N301" s="1" t="s">
        <v>20</v>
      </c>
      <c r="O301" s="1" t="s">
        <v>29</v>
      </c>
      <c r="P301" s="1" t="s">
        <v>39</v>
      </c>
      <c r="Q301" s="1" t="s">
        <v>23</v>
      </c>
      <c r="R301">
        <v>0.78505440294465711</v>
      </c>
    </row>
    <row r="302" spans="1:18" x14ac:dyDescent="0.2">
      <c r="A302" s="1">
        <v>126775</v>
      </c>
      <c r="B302" s="1" t="s">
        <v>371</v>
      </c>
      <c r="C302" s="1" t="s">
        <v>161</v>
      </c>
      <c r="D302" s="1">
        <v>0.6069</v>
      </c>
      <c r="E302" s="1">
        <v>6155</v>
      </c>
      <c r="F302" s="1">
        <v>45824</v>
      </c>
      <c r="G302" s="1">
        <v>0.81710000000000005</v>
      </c>
      <c r="H302" s="1">
        <v>0.92789999999999995</v>
      </c>
      <c r="I302" s="1">
        <v>0.13569999999999999</v>
      </c>
      <c r="J302" s="1">
        <v>97335</v>
      </c>
      <c r="K302" s="1">
        <v>23000</v>
      </c>
      <c r="L302" s="1">
        <v>14000</v>
      </c>
      <c r="M302" s="1">
        <v>18</v>
      </c>
      <c r="N302" s="1" t="s">
        <v>28</v>
      </c>
      <c r="O302" s="1" t="s">
        <v>21</v>
      </c>
      <c r="P302" s="1" t="s">
        <v>22</v>
      </c>
      <c r="Q302" s="1" t="s">
        <v>23</v>
      </c>
      <c r="R302">
        <v>0.78498659709922325</v>
      </c>
    </row>
    <row r="303" spans="1:18" x14ac:dyDescent="0.2">
      <c r="A303" s="1">
        <v>486947</v>
      </c>
      <c r="B303" s="1" t="s">
        <v>372</v>
      </c>
      <c r="C303" s="1" t="s">
        <v>109</v>
      </c>
      <c r="D303" s="1">
        <v>0.85709999999999997</v>
      </c>
      <c r="E303" s="1">
        <v>629</v>
      </c>
      <c r="F303" s="1">
        <v>20785</v>
      </c>
      <c r="G303" s="1">
        <v>1</v>
      </c>
      <c r="H303" s="1">
        <v>0.6</v>
      </c>
      <c r="I303" s="1">
        <v>0.49919999999999998</v>
      </c>
      <c r="J303" s="1">
        <v>92405</v>
      </c>
      <c r="K303" s="1">
        <v>20919</v>
      </c>
      <c r="L303" s="1">
        <v>8978</v>
      </c>
      <c r="M303" s="1">
        <v>9</v>
      </c>
      <c r="N303" s="1" t="s">
        <v>142</v>
      </c>
      <c r="O303" s="1" t="s">
        <v>29</v>
      </c>
      <c r="P303" s="1" t="s">
        <v>22</v>
      </c>
      <c r="Q303" s="1" t="s">
        <v>23</v>
      </c>
      <c r="R303">
        <v>0.78420759857191591</v>
      </c>
    </row>
    <row r="304" spans="1:18" x14ac:dyDescent="0.2">
      <c r="A304" s="1">
        <v>127565</v>
      </c>
      <c r="B304" s="1" t="s">
        <v>373</v>
      </c>
      <c r="C304" s="1" t="s">
        <v>161</v>
      </c>
      <c r="D304" s="1">
        <v>0.98799999999999999</v>
      </c>
      <c r="E304" s="1">
        <v>15002</v>
      </c>
      <c r="F304" s="1">
        <v>30684</v>
      </c>
      <c r="G304" s="1">
        <v>0.31540000000000001</v>
      </c>
      <c r="H304" s="1">
        <v>0.62890000000000001</v>
      </c>
      <c r="I304" s="1">
        <v>0.35510000000000003</v>
      </c>
      <c r="J304" s="1">
        <v>52093</v>
      </c>
      <c r="K304" s="1">
        <v>21500</v>
      </c>
      <c r="L304" s="1">
        <v>10105</v>
      </c>
      <c r="M304" s="1">
        <v>14</v>
      </c>
      <c r="N304" s="1" t="s">
        <v>28</v>
      </c>
      <c r="O304" s="1" t="s">
        <v>29</v>
      </c>
      <c r="P304" s="1" t="s">
        <v>22</v>
      </c>
      <c r="Q304" s="1" t="s">
        <v>23</v>
      </c>
      <c r="R304">
        <v>0.78284874398576432</v>
      </c>
    </row>
    <row r="305" spans="1:18" x14ac:dyDescent="0.2">
      <c r="A305" s="1">
        <v>166939</v>
      </c>
      <c r="B305" s="1" t="s">
        <v>374</v>
      </c>
      <c r="C305" s="1" t="s">
        <v>129</v>
      </c>
      <c r="D305" s="1">
        <v>0.36030000000000001</v>
      </c>
      <c r="E305" s="1">
        <v>2169</v>
      </c>
      <c r="F305" s="1">
        <v>67018</v>
      </c>
      <c r="G305" s="1">
        <v>0.84389999999999998</v>
      </c>
      <c r="H305" s="1">
        <v>0.88590000000000002</v>
      </c>
      <c r="I305" s="1">
        <v>0.21890000000000001</v>
      </c>
      <c r="J305" s="1">
        <v>58418</v>
      </c>
      <c r="K305" s="1">
        <v>22902</v>
      </c>
      <c r="L305" s="1">
        <v>13140</v>
      </c>
      <c r="M305" s="1">
        <v>9</v>
      </c>
      <c r="N305" s="1" t="s">
        <v>20</v>
      </c>
      <c r="O305" s="1" t="s">
        <v>21</v>
      </c>
      <c r="P305" s="1" t="s">
        <v>39</v>
      </c>
      <c r="Q305" s="1" t="s">
        <v>23</v>
      </c>
      <c r="R305">
        <v>0.78193077943196776</v>
      </c>
    </row>
    <row r="306" spans="1:18" x14ac:dyDescent="0.2">
      <c r="A306" s="1">
        <v>120537</v>
      </c>
      <c r="B306" s="1" t="s">
        <v>375</v>
      </c>
      <c r="C306" s="1" t="s">
        <v>33</v>
      </c>
      <c r="D306" s="1">
        <v>0.32979999999999998</v>
      </c>
      <c r="E306" s="1">
        <v>564</v>
      </c>
      <c r="F306" s="1">
        <v>38050</v>
      </c>
      <c r="G306" s="1">
        <v>0.49440000000000001</v>
      </c>
      <c r="H306" s="1">
        <v>0.52439999999999998</v>
      </c>
      <c r="I306" s="1">
        <v>0.44259999999999999</v>
      </c>
      <c r="J306" s="1">
        <v>49697</v>
      </c>
      <c r="K306" s="1">
        <v>23000</v>
      </c>
      <c r="L306" s="1">
        <v>7734</v>
      </c>
      <c r="M306" s="1">
        <v>13</v>
      </c>
      <c r="N306" s="1" t="s">
        <v>20</v>
      </c>
      <c r="O306" s="1" t="s">
        <v>21</v>
      </c>
      <c r="P306" s="1" t="s">
        <v>22</v>
      </c>
      <c r="Q306" s="1" t="s">
        <v>31</v>
      </c>
      <c r="R306">
        <v>0.78084009253360709</v>
      </c>
    </row>
    <row r="307" spans="1:18" x14ac:dyDescent="0.2">
      <c r="A307" s="1">
        <v>191931</v>
      </c>
      <c r="B307" s="1" t="s">
        <v>376</v>
      </c>
      <c r="C307" s="1" t="s">
        <v>58</v>
      </c>
      <c r="D307" s="1">
        <v>0.86939999999999995</v>
      </c>
      <c r="E307" s="1">
        <v>2951</v>
      </c>
      <c r="F307" s="1">
        <v>47260</v>
      </c>
      <c r="G307" s="1">
        <v>0.56000000000000005</v>
      </c>
      <c r="H307" s="1">
        <v>0.76929999999999998</v>
      </c>
      <c r="I307" s="1">
        <v>0.28270000000000001</v>
      </c>
      <c r="J307" s="1">
        <v>73595</v>
      </c>
      <c r="K307" s="1">
        <v>25999</v>
      </c>
      <c r="L307" s="1">
        <v>9406</v>
      </c>
      <c r="M307" s="1">
        <v>16</v>
      </c>
      <c r="N307" s="1" t="s">
        <v>20</v>
      </c>
      <c r="O307" s="1" t="s">
        <v>21</v>
      </c>
      <c r="P307" s="1" t="s">
        <v>39</v>
      </c>
      <c r="Q307" s="1" t="s">
        <v>23</v>
      </c>
      <c r="R307">
        <v>0.78073757726527937</v>
      </c>
    </row>
    <row r="308" spans="1:18" x14ac:dyDescent="0.2">
      <c r="A308" s="1">
        <v>173160</v>
      </c>
      <c r="B308" s="1" t="s">
        <v>377</v>
      </c>
      <c r="C308" s="1" t="s">
        <v>54</v>
      </c>
      <c r="D308" s="1">
        <v>0.878</v>
      </c>
      <c r="E308" s="1">
        <v>1871</v>
      </c>
      <c r="F308" s="1">
        <v>44226</v>
      </c>
      <c r="G308" s="1">
        <v>0.71379999999999999</v>
      </c>
      <c r="H308" s="1">
        <v>0.85709999999999997</v>
      </c>
      <c r="I308" s="1">
        <v>0.1852</v>
      </c>
      <c r="J308" s="1">
        <v>63764</v>
      </c>
      <c r="K308" s="1">
        <v>21500</v>
      </c>
      <c r="L308" s="1">
        <v>8331</v>
      </c>
      <c r="M308" s="1">
        <v>14</v>
      </c>
      <c r="N308" s="1" t="s">
        <v>20</v>
      </c>
      <c r="O308" s="1" t="s">
        <v>21</v>
      </c>
      <c r="P308" s="1" t="s">
        <v>22</v>
      </c>
      <c r="Q308" s="1" t="s">
        <v>23</v>
      </c>
      <c r="R308">
        <v>0.78061846764938991</v>
      </c>
    </row>
    <row r="309" spans="1:18" x14ac:dyDescent="0.2">
      <c r="A309" s="1">
        <v>196200</v>
      </c>
      <c r="B309" s="1" t="s">
        <v>378</v>
      </c>
      <c r="C309" s="1" t="s">
        <v>58</v>
      </c>
      <c r="D309" s="1">
        <v>0.77700000000000002</v>
      </c>
      <c r="E309" s="1">
        <v>1823</v>
      </c>
      <c r="F309" s="1">
        <v>18678</v>
      </c>
      <c r="G309" s="1">
        <v>0.45300000000000001</v>
      </c>
      <c r="H309" s="1">
        <v>0.77669999999999995</v>
      </c>
      <c r="I309" s="1">
        <v>0.40339999999999998</v>
      </c>
      <c r="J309" s="1">
        <v>47866</v>
      </c>
      <c r="K309" s="1">
        <v>24250</v>
      </c>
      <c r="L309" s="1">
        <v>7383</v>
      </c>
      <c r="M309" s="1">
        <v>11</v>
      </c>
      <c r="N309" s="1" t="s">
        <v>28</v>
      </c>
      <c r="O309" s="1" t="s">
        <v>42</v>
      </c>
      <c r="P309" s="1" t="s">
        <v>39</v>
      </c>
      <c r="Q309" s="1" t="s">
        <v>31</v>
      </c>
      <c r="R309">
        <v>0.78052702593589784</v>
      </c>
    </row>
    <row r="310" spans="1:18" x14ac:dyDescent="0.2">
      <c r="A310" s="1">
        <v>219259</v>
      </c>
      <c r="B310" s="1" t="s">
        <v>379</v>
      </c>
      <c r="C310" s="1" t="s">
        <v>41</v>
      </c>
      <c r="D310" s="1">
        <v>0.93</v>
      </c>
      <c r="E310" s="1">
        <v>1273</v>
      </c>
      <c r="F310" s="1">
        <v>11947</v>
      </c>
      <c r="G310" s="1">
        <v>0.4894</v>
      </c>
      <c r="H310" s="1">
        <v>0.76980000000000004</v>
      </c>
      <c r="I310" s="1">
        <v>0.1245</v>
      </c>
      <c r="J310" s="1">
        <v>47618</v>
      </c>
      <c r="K310" s="1">
        <v>22320</v>
      </c>
      <c r="L310" s="1">
        <v>8949</v>
      </c>
      <c r="M310" s="1">
        <v>19</v>
      </c>
      <c r="N310" s="1" t="s">
        <v>28</v>
      </c>
      <c r="O310" s="1" t="s">
        <v>42</v>
      </c>
      <c r="P310" s="1" t="s">
        <v>22</v>
      </c>
      <c r="Q310" s="1" t="s">
        <v>31</v>
      </c>
      <c r="R310">
        <v>0.77675903043147598</v>
      </c>
    </row>
    <row r="311" spans="1:18" x14ac:dyDescent="0.2">
      <c r="A311" s="1">
        <v>167899</v>
      </c>
      <c r="B311" s="1" t="s">
        <v>380</v>
      </c>
      <c r="C311" s="1" t="s">
        <v>129</v>
      </c>
      <c r="D311" s="1">
        <v>0.71889999999999998</v>
      </c>
      <c r="E311" s="1">
        <v>1751</v>
      </c>
      <c r="F311" s="1">
        <v>45174</v>
      </c>
      <c r="G311" s="1">
        <v>0.7419</v>
      </c>
      <c r="H311" s="1">
        <v>0.80669999999999997</v>
      </c>
      <c r="I311" s="1">
        <v>0.22359999999999999</v>
      </c>
      <c r="J311" s="1">
        <v>48036</v>
      </c>
      <c r="K311" s="1">
        <v>26250</v>
      </c>
      <c r="L311" s="1">
        <v>8245</v>
      </c>
      <c r="M311" s="1">
        <v>11</v>
      </c>
      <c r="N311" s="1" t="s">
        <v>20</v>
      </c>
      <c r="O311" s="1" t="s">
        <v>29</v>
      </c>
      <c r="P311" s="1" t="s">
        <v>39</v>
      </c>
      <c r="Q311" s="1" t="s">
        <v>31</v>
      </c>
      <c r="R311">
        <v>0.77507667245935907</v>
      </c>
    </row>
    <row r="312" spans="1:18" x14ac:dyDescent="0.2">
      <c r="A312" s="1">
        <v>203960</v>
      </c>
      <c r="B312" s="1" t="s">
        <v>381</v>
      </c>
      <c r="C312" s="1" t="s">
        <v>19</v>
      </c>
      <c r="D312" s="1">
        <v>0.93220000000000003</v>
      </c>
      <c r="E312" s="1">
        <v>939</v>
      </c>
      <c r="F312" s="1">
        <v>19470</v>
      </c>
      <c r="G312" s="1">
        <v>0.55810000000000004</v>
      </c>
      <c r="H312" s="1">
        <v>0.86670000000000003</v>
      </c>
      <c r="I312" s="1">
        <v>0.32729999999999998</v>
      </c>
      <c r="J312" s="1">
        <v>65409</v>
      </c>
      <c r="K312" s="1">
        <v>20834</v>
      </c>
      <c r="L312" s="1">
        <v>7613</v>
      </c>
      <c r="M312" s="1">
        <v>5</v>
      </c>
      <c r="N312" s="1" t="s">
        <v>20</v>
      </c>
      <c r="O312" s="1" t="s">
        <v>29</v>
      </c>
      <c r="P312" s="1" t="s">
        <v>22</v>
      </c>
      <c r="Q312" s="1" t="s">
        <v>23</v>
      </c>
      <c r="R312">
        <v>0.77450148972025457</v>
      </c>
    </row>
    <row r="313" spans="1:18" x14ac:dyDescent="0.2">
      <c r="A313" s="1">
        <v>104179</v>
      </c>
      <c r="B313" s="1" t="s">
        <v>382</v>
      </c>
      <c r="C313" s="1" t="s">
        <v>216</v>
      </c>
      <c r="D313" s="1">
        <v>0.86140000000000005</v>
      </c>
      <c r="E313" s="1">
        <v>42537</v>
      </c>
      <c r="F313" s="1">
        <v>42278</v>
      </c>
      <c r="G313" s="1">
        <v>0.67520000000000002</v>
      </c>
      <c r="H313" s="1">
        <v>0.82779999999999998</v>
      </c>
      <c r="I313" s="1">
        <v>0.25700000000000001</v>
      </c>
      <c r="J313" s="1">
        <v>59979</v>
      </c>
      <c r="K313" s="1">
        <v>19620</v>
      </c>
      <c r="L313" s="1">
        <v>12347</v>
      </c>
      <c r="M313" s="1">
        <v>20</v>
      </c>
      <c r="N313" s="1" t="s">
        <v>28</v>
      </c>
      <c r="O313" s="1" t="s">
        <v>29</v>
      </c>
      <c r="P313" s="1" t="s">
        <v>22</v>
      </c>
      <c r="Q313" s="1" t="s">
        <v>23</v>
      </c>
      <c r="R313">
        <v>0.77335755148238505</v>
      </c>
    </row>
    <row r="314" spans="1:18" x14ac:dyDescent="0.2">
      <c r="A314" s="1">
        <v>135726</v>
      </c>
      <c r="B314" s="1" t="s">
        <v>383</v>
      </c>
      <c r="C314" s="1" t="s">
        <v>27</v>
      </c>
      <c r="D314" s="1">
        <v>0.189</v>
      </c>
      <c r="E314" s="1">
        <v>12913</v>
      </c>
      <c r="F314" s="1">
        <v>62616</v>
      </c>
      <c r="G314" s="1">
        <v>0.83679999999999999</v>
      </c>
      <c r="H314" s="1">
        <v>0.93769999999999998</v>
      </c>
      <c r="I314" s="1">
        <v>0.14860000000000001</v>
      </c>
      <c r="J314" s="1">
        <v>75328</v>
      </c>
      <c r="K314" s="1">
        <v>17500</v>
      </c>
      <c r="L314" s="1">
        <v>16043</v>
      </c>
      <c r="M314" s="1">
        <v>11</v>
      </c>
      <c r="N314" s="1" t="s">
        <v>20</v>
      </c>
      <c r="O314" s="1" t="s">
        <v>21</v>
      </c>
      <c r="P314" s="1" t="s">
        <v>30</v>
      </c>
      <c r="Q314" s="1" t="s">
        <v>23</v>
      </c>
      <c r="R314">
        <v>0.77303707964647306</v>
      </c>
    </row>
    <row r="315" spans="1:18" x14ac:dyDescent="0.2">
      <c r="A315" s="1">
        <v>110413</v>
      </c>
      <c r="B315" s="1" t="s">
        <v>384</v>
      </c>
      <c r="C315" s="1" t="s">
        <v>33</v>
      </c>
      <c r="D315" s="1">
        <v>0.75670000000000004</v>
      </c>
      <c r="E315" s="1">
        <v>2296</v>
      </c>
      <c r="F315" s="1">
        <v>52560</v>
      </c>
      <c r="G315" s="1">
        <v>0.69599999999999995</v>
      </c>
      <c r="H315" s="1">
        <v>0.78779999999999994</v>
      </c>
      <c r="I315" s="1">
        <v>0.31090000000000001</v>
      </c>
      <c r="J315" s="1">
        <v>68712</v>
      </c>
      <c r="K315" s="1">
        <v>21669</v>
      </c>
      <c r="L315" s="1">
        <v>10794</v>
      </c>
      <c r="M315" s="1">
        <v>13</v>
      </c>
      <c r="N315" s="1" t="s">
        <v>20</v>
      </c>
      <c r="O315" s="1" t="s">
        <v>29</v>
      </c>
      <c r="P315" s="1" t="s">
        <v>22</v>
      </c>
      <c r="Q315" s="1" t="s">
        <v>23</v>
      </c>
      <c r="R315">
        <v>0.77119893511328619</v>
      </c>
    </row>
    <row r="316" spans="1:18" x14ac:dyDescent="0.2">
      <c r="A316" s="1">
        <v>130989</v>
      </c>
      <c r="B316" s="1" t="s">
        <v>385</v>
      </c>
      <c r="C316" s="1" t="s">
        <v>386</v>
      </c>
      <c r="D316" s="1">
        <v>0.84509999999999996</v>
      </c>
      <c r="E316" s="1">
        <v>691</v>
      </c>
      <c r="F316" s="1">
        <v>14940</v>
      </c>
      <c r="G316" s="1">
        <v>0.57430000000000003</v>
      </c>
      <c r="H316" s="1">
        <v>0.71809999999999996</v>
      </c>
      <c r="I316" s="1">
        <v>0.37890000000000001</v>
      </c>
      <c r="J316" s="1">
        <v>59892</v>
      </c>
      <c r="K316" s="1">
        <v>18900</v>
      </c>
      <c r="L316" s="1">
        <v>8592</v>
      </c>
      <c r="M316" s="1">
        <v>18</v>
      </c>
      <c r="N316" s="1" t="s">
        <v>20</v>
      </c>
      <c r="O316" s="1" t="s">
        <v>21</v>
      </c>
      <c r="P316" s="1" t="s">
        <v>30</v>
      </c>
      <c r="Q316" s="1" t="s">
        <v>23</v>
      </c>
      <c r="R316">
        <v>0.77081914741259794</v>
      </c>
    </row>
    <row r="317" spans="1:18" x14ac:dyDescent="0.2">
      <c r="A317" s="1">
        <v>137953</v>
      </c>
      <c r="B317" s="1" t="s">
        <v>387</v>
      </c>
      <c r="C317" s="1" t="s">
        <v>27</v>
      </c>
      <c r="D317" s="1">
        <v>0.53280000000000005</v>
      </c>
      <c r="E317" s="1">
        <v>386</v>
      </c>
      <c r="F317" s="1">
        <v>15100</v>
      </c>
      <c r="G317" s="1">
        <v>0.34179999999999999</v>
      </c>
      <c r="H317" s="1">
        <v>0.56669999999999998</v>
      </c>
      <c r="I317" s="1">
        <v>0.50129999999999997</v>
      </c>
      <c r="J317" s="1">
        <v>37275</v>
      </c>
      <c r="K317" s="1">
        <v>24250</v>
      </c>
      <c r="L317" s="1">
        <v>5460</v>
      </c>
      <c r="M317" s="1">
        <v>11</v>
      </c>
      <c r="N317" s="1" t="s">
        <v>20</v>
      </c>
      <c r="O317" s="1" t="s">
        <v>29</v>
      </c>
      <c r="P317" s="1" t="s">
        <v>30</v>
      </c>
      <c r="Q317" s="1" t="s">
        <v>31</v>
      </c>
      <c r="R317">
        <v>0.7700684704207218</v>
      </c>
    </row>
    <row r="318" spans="1:18" x14ac:dyDescent="0.2">
      <c r="A318" s="1">
        <v>213349</v>
      </c>
      <c r="B318" s="1" t="s">
        <v>388</v>
      </c>
      <c r="C318" s="1" t="s">
        <v>98</v>
      </c>
      <c r="D318" s="1">
        <v>0.90749999999999997</v>
      </c>
      <c r="E318" s="1">
        <v>6180</v>
      </c>
      <c r="F318" s="1">
        <v>16068</v>
      </c>
      <c r="G318" s="1">
        <v>0.53820000000000001</v>
      </c>
      <c r="H318" s="1">
        <v>0.77790000000000004</v>
      </c>
      <c r="I318" s="1">
        <v>0.3266</v>
      </c>
      <c r="J318" s="1">
        <v>53775</v>
      </c>
      <c r="K318" s="1">
        <v>26000</v>
      </c>
      <c r="L318" s="1">
        <v>11035</v>
      </c>
      <c r="M318" s="1">
        <v>20</v>
      </c>
      <c r="N318" s="1" t="s">
        <v>28</v>
      </c>
      <c r="O318" s="1" t="s">
        <v>42</v>
      </c>
      <c r="P318" s="1" t="s">
        <v>39</v>
      </c>
      <c r="Q318" s="1" t="s">
        <v>23</v>
      </c>
      <c r="R318">
        <v>0.76873127285058496</v>
      </c>
    </row>
    <row r="319" spans="1:18" x14ac:dyDescent="0.2">
      <c r="A319" s="1">
        <v>214777</v>
      </c>
      <c r="B319" s="1" t="s">
        <v>389</v>
      </c>
      <c r="C319" s="1" t="s">
        <v>98</v>
      </c>
      <c r="D319" s="1">
        <v>0.60560000000000003</v>
      </c>
      <c r="E319" s="1">
        <v>42284</v>
      </c>
      <c r="F319" s="1">
        <v>41790</v>
      </c>
      <c r="G319" s="1">
        <v>0.8609</v>
      </c>
      <c r="H319" s="1">
        <v>0.9264</v>
      </c>
      <c r="I319" s="1">
        <v>0.13880000000000001</v>
      </c>
      <c r="J319" s="1">
        <v>63435</v>
      </c>
      <c r="K319" s="1">
        <v>25000</v>
      </c>
      <c r="L319" s="1">
        <v>13120</v>
      </c>
      <c r="M319" s="1">
        <v>16</v>
      </c>
      <c r="N319" s="1" t="s">
        <v>28</v>
      </c>
      <c r="O319" s="1" t="s">
        <v>29</v>
      </c>
      <c r="P319" s="1" t="s">
        <v>39</v>
      </c>
      <c r="Q319" s="1" t="s">
        <v>23</v>
      </c>
      <c r="R319">
        <v>0.7682713500651972</v>
      </c>
    </row>
    <row r="320" spans="1:18" x14ac:dyDescent="0.2">
      <c r="A320" s="1">
        <v>146612</v>
      </c>
      <c r="B320" s="1" t="s">
        <v>390</v>
      </c>
      <c r="C320" s="1" t="s">
        <v>25</v>
      </c>
      <c r="D320" s="1">
        <v>0.71289999999999998</v>
      </c>
      <c r="E320" s="1">
        <v>4015</v>
      </c>
      <c r="F320" s="1">
        <v>39200</v>
      </c>
      <c r="G320" s="1">
        <v>0.66610000000000003</v>
      </c>
      <c r="H320" s="1">
        <v>0.79149999999999998</v>
      </c>
      <c r="I320" s="1">
        <v>0.32550000000000001</v>
      </c>
      <c r="J320" s="1">
        <v>66099</v>
      </c>
      <c r="K320" s="1">
        <v>21500</v>
      </c>
      <c r="L320" s="1">
        <v>10457</v>
      </c>
      <c r="M320" s="1">
        <v>13</v>
      </c>
      <c r="N320" s="1" t="s">
        <v>20</v>
      </c>
      <c r="O320" s="1" t="s">
        <v>21</v>
      </c>
      <c r="P320" s="1" t="s">
        <v>22</v>
      </c>
      <c r="Q320" s="1" t="s">
        <v>23</v>
      </c>
      <c r="R320">
        <v>0.76820882199937279</v>
      </c>
    </row>
    <row r="321" spans="1:18" x14ac:dyDescent="0.2">
      <c r="A321" s="1">
        <v>207500</v>
      </c>
      <c r="B321" s="1" t="s">
        <v>391</v>
      </c>
      <c r="C321" s="1" t="s">
        <v>224</v>
      </c>
      <c r="D321" s="1">
        <v>0.76600000000000001</v>
      </c>
      <c r="E321" s="1">
        <v>22734</v>
      </c>
      <c r="F321" s="1">
        <v>27377</v>
      </c>
      <c r="G321" s="1">
        <v>0.75329999999999997</v>
      </c>
      <c r="H321" s="1">
        <v>0.9</v>
      </c>
      <c r="I321" s="1">
        <v>0.24970000000000001</v>
      </c>
      <c r="J321" s="1">
        <v>63126</v>
      </c>
      <c r="K321" s="1">
        <v>20654</v>
      </c>
      <c r="L321" s="1">
        <v>11610</v>
      </c>
      <c r="M321" s="1">
        <v>18</v>
      </c>
      <c r="N321" s="1" t="s">
        <v>28</v>
      </c>
      <c r="O321" s="1" t="s">
        <v>21</v>
      </c>
      <c r="P321" s="1" t="s">
        <v>30</v>
      </c>
      <c r="Q321" s="1" t="s">
        <v>23</v>
      </c>
      <c r="R321">
        <v>0.76777710036076696</v>
      </c>
    </row>
    <row r="322" spans="1:18" x14ac:dyDescent="0.2">
      <c r="A322" s="1">
        <v>220613</v>
      </c>
      <c r="B322" s="1" t="s">
        <v>392</v>
      </c>
      <c r="C322" s="1" t="s">
        <v>163</v>
      </c>
      <c r="D322" s="1">
        <v>0.70520000000000005</v>
      </c>
      <c r="E322" s="1">
        <v>2617</v>
      </c>
      <c r="F322" s="1">
        <v>23790</v>
      </c>
      <c r="G322" s="1">
        <v>0.62590000000000001</v>
      </c>
      <c r="H322" s="1">
        <v>0.82269999999999999</v>
      </c>
      <c r="I322" s="1">
        <v>0.28739999999999999</v>
      </c>
      <c r="J322" s="1">
        <v>43222</v>
      </c>
      <c r="K322" s="1">
        <v>25750</v>
      </c>
      <c r="L322" s="1">
        <v>7655</v>
      </c>
      <c r="M322" s="1">
        <v>13</v>
      </c>
      <c r="N322" s="1" t="s">
        <v>20</v>
      </c>
      <c r="O322" s="1" t="s">
        <v>29</v>
      </c>
      <c r="P322" s="1" t="s">
        <v>30</v>
      </c>
      <c r="Q322" s="1" t="s">
        <v>31</v>
      </c>
      <c r="R322">
        <v>0.76763186118889037</v>
      </c>
    </row>
    <row r="323" spans="1:18" x14ac:dyDescent="0.2">
      <c r="A323" s="1">
        <v>199281</v>
      </c>
      <c r="B323" s="1" t="s">
        <v>393</v>
      </c>
      <c r="C323" s="1" t="s">
        <v>86</v>
      </c>
      <c r="D323" s="1">
        <v>0.93259999999999998</v>
      </c>
      <c r="E323" s="1">
        <v>5330</v>
      </c>
      <c r="F323" s="1">
        <v>7648</v>
      </c>
      <c r="G323" s="1">
        <v>0.43540000000000001</v>
      </c>
      <c r="H323" s="1">
        <v>0.71640000000000004</v>
      </c>
      <c r="I323" s="1">
        <v>0.50080000000000002</v>
      </c>
      <c r="J323" s="1">
        <v>43407</v>
      </c>
      <c r="K323" s="1">
        <v>25000</v>
      </c>
      <c r="L323" s="1">
        <v>8725</v>
      </c>
      <c r="M323" s="1">
        <v>14</v>
      </c>
      <c r="N323" s="1" t="s">
        <v>28</v>
      </c>
      <c r="O323" s="1" t="s">
        <v>42</v>
      </c>
      <c r="P323" s="1" t="s">
        <v>30</v>
      </c>
      <c r="Q323" s="1" t="s">
        <v>31</v>
      </c>
      <c r="R323">
        <v>0.76742603720943947</v>
      </c>
    </row>
    <row r="324" spans="1:18" x14ac:dyDescent="0.2">
      <c r="A324" s="1">
        <v>175430</v>
      </c>
      <c r="B324" s="1" t="s">
        <v>394</v>
      </c>
      <c r="C324" s="1" t="s">
        <v>169</v>
      </c>
      <c r="D324" s="1">
        <v>0.88949999999999996</v>
      </c>
      <c r="E324" s="1">
        <v>498</v>
      </c>
      <c r="F324" s="1">
        <v>20180</v>
      </c>
      <c r="G324" s="1">
        <v>0.54759999999999998</v>
      </c>
      <c r="H324" s="1">
        <v>0.67920000000000003</v>
      </c>
      <c r="I324" s="1">
        <v>0.28770000000000001</v>
      </c>
      <c r="J324" s="1">
        <v>40421</v>
      </c>
      <c r="K324" s="1">
        <v>18534</v>
      </c>
      <c r="L324" s="1">
        <v>6439</v>
      </c>
      <c r="M324" s="1">
        <v>13</v>
      </c>
      <c r="N324" s="1" t="s">
        <v>20</v>
      </c>
      <c r="O324" s="1" t="s">
        <v>42</v>
      </c>
      <c r="P324" s="1" t="s">
        <v>30</v>
      </c>
      <c r="Q324" s="1" t="s">
        <v>31</v>
      </c>
      <c r="R324">
        <v>0.76671730870071297</v>
      </c>
    </row>
    <row r="325" spans="1:18" x14ac:dyDescent="0.2">
      <c r="A325" s="1">
        <v>131450</v>
      </c>
      <c r="B325" s="1" t="s">
        <v>395</v>
      </c>
      <c r="C325" s="1" t="s">
        <v>84</v>
      </c>
      <c r="D325" s="1">
        <v>0.5806</v>
      </c>
      <c r="E325" s="1">
        <v>812</v>
      </c>
      <c r="F325" s="1">
        <v>19654</v>
      </c>
      <c r="G325" s="1">
        <v>0.47260000000000002</v>
      </c>
      <c r="H325" s="1">
        <v>0.71140000000000003</v>
      </c>
      <c r="I325" s="1">
        <v>0.57889999999999997</v>
      </c>
      <c r="J325" s="1">
        <v>43101</v>
      </c>
      <c r="K325" s="1">
        <v>18000</v>
      </c>
      <c r="L325" s="1">
        <v>10939</v>
      </c>
      <c r="M325" s="1">
        <v>6</v>
      </c>
      <c r="N325" s="1" t="s">
        <v>20</v>
      </c>
      <c r="O325" s="1" t="s">
        <v>29</v>
      </c>
      <c r="P325" s="1" t="s">
        <v>30</v>
      </c>
      <c r="Q325" s="1" t="s">
        <v>31</v>
      </c>
      <c r="R325">
        <v>0.7664557309598834</v>
      </c>
    </row>
    <row r="326" spans="1:18" x14ac:dyDescent="0.2">
      <c r="A326" s="1">
        <v>217493</v>
      </c>
      <c r="B326" s="1" t="s">
        <v>396</v>
      </c>
      <c r="C326" s="1" t="s">
        <v>92</v>
      </c>
      <c r="D326" s="1">
        <v>0.18659999999999999</v>
      </c>
      <c r="E326" s="1">
        <v>2084</v>
      </c>
      <c r="F326" s="1">
        <v>62688</v>
      </c>
      <c r="G326" s="1">
        <v>0.88770000000000004</v>
      </c>
      <c r="H326" s="1">
        <v>0.95040000000000002</v>
      </c>
      <c r="I326" s="1">
        <v>0.1482</v>
      </c>
      <c r="J326" s="1">
        <v>68140</v>
      </c>
      <c r="K326" s="1">
        <v>27000</v>
      </c>
      <c r="L326" s="1">
        <v>11226</v>
      </c>
      <c r="M326" s="1">
        <v>8</v>
      </c>
      <c r="N326" s="1" t="s">
        <v>20</v>
      </c>
      <c r="O326" s="1" t="s">
        <v>29</v>
      </c>
      <c r="P326" s="1" t="s">
        <v>39</v>
      </c>
      <c r="Q326" s="1" t="s">
        <v>23</v>
      </c>
      <c r="R326">
        <v>0.76624432349300275</v>
      </c>
    </row>
    <row r="327" spans="1:18" x14ac:dyDescent="0.2">
      <c r="A327" s="1">
        <v>168591</v>
      </c>
      <c r="B327" s="1" t="s">
        <v>397</v>
      </c>
      <c r="C327" s="1" t="s">
        <v>109</v>
      </c>
      <c r="D327" s="1">
        <v>0.57030000000000003</v>
      </c>
      <c r="E327" s="1">
        <v>1148</v>
      </c>
      <c r="F327" s="1">
        <v>49552</v>
      </c>
      <c r="G327" s="1">
        <v>0.62870000000000004</v>
      </c>
      <c r="H327" s="1">
        <v>0.84970000000000001</v>
      </c>
      <c r="I327" s="1">
        <v>0.27039999999999997</v>
      </c>
      <c r="J327" s="1">
        <v>54742</v>
      </c>
      <c r="K327" s="1">
        <v>27000</v>
      </c>
      <c r="L327" s="1">
        <v>7879</v>
      </c>
      <c r="M327" s="1">
        <v>14</v>
      </c>
      <c r="N327" s="1" t="s">
        <v>20</v>
      </c>
      <c r="O327" s="1" t="s">
        <v>42</v>
      </c>
      <c r="P327" s="1" t="s">
        <v>22</v>
      </c>
      <c r="Q327" s="1" t="s">
        <v>23</v>
      </c>
      <c r="R327">
        <v>0.76529570458197205</v>
      </c>
    </row>
    <row r="328" spans="1:18" x14ac:dyDescent="0.2">
      <c r="A328" s="1">
        <v>459842</v>
      </c>
      <c r="B328" s="1" t="s">
        <v>398</v>
      </c>
      <c r="C328" s="1" t="s">
        <v>50</v>
      </c>
      <c r="D328" s="1">
        <v>0.92</v>
      </c>
      <c r="E328" s="1">
        <v>522</v>
      </c>
      <c r="F328" s="1">
        <v>13450</v>
      </c>
      <c r="G328" s="1">
        <v>0.72219999999999995</v>
      </c>
      <c r="H328" s="1">
        <v>0.57140000000000002</v>
      </c>
      <c r="I328" s="1">
        <v>0.62250000000000005</v>
      </c>
      <c r="J328" s="1">
        <v>36909</v>
      </c>
      <c r="K328" s="1">
        <v>21500</v>
      </c>
      <c r="L328" s="1">
        <v>7591</v>
      </c>
      <c r="M328" s="1">
        <v>16</v>
      </c>
      <c r="N328" s="1" t="s">
        <v>20</v>
      </c>
      <c r="O328" s="1" t="s">
        <v>29</v>
      </c>
      <c r="P328" s="1" t="s">
        <v>22</v>
      </c>
      <c r="Q328" s="1" t="s">
        <v>31</v>
      </c>
      <c r="R328">
        <v>0.76492507702815205</v>
      </c>
    </row>
    <row r="329" spans="1:18" x14ac:dyDescent="0.2">
      <c r="A329" s="1">
        <v>197708</v>
      </c>
      <c r="B329" s="1" t="s">
        <v>399</v>
      </c>
      <c r="C329" s="1" t="s">
        <v>58</v>
      </c>
      <c r="D329" s="1">
        <v>0.55620000000000003</v>
      </c>
      <c r="E329" s="1">
        <v>2852</v>
      </c>
      <c r="F329" s="1">
        <v>51800</v>
      </c>
      <c r="G329" s="1">
        <v>0.83199999999999996</v>
      </c>
      <c r="H329" s="1">
        <v>0.9153</v>
      </c>
      <c r="I329" s="1">
        <v>0.13439999999999999</v>
      </c>
      <c r="J329" s="1">
        <v>71353</v>
      </c>
      <c r="K329" s="1">
        <v>18250</v>
      </c>
      <c r="L329" s="1">
        <v>13637</v>
      </c>
      <c r="M329" s="1">
        <v>7</v>
      </c>
      <c r="N329" s="1" t="s">
        <v>20</v>
      </c>
      <c r="O329" s="1" t="s">
        <v>29</v>
      </c>
      <c r="P329" s="1" t="s">
        <v>39</v>
      </c>
      <c r="Q329" s="1" t="s">
        <v>23</v>
      </c>
      <c r="R329">
        <v>0.76061100428882966</v>
      </c>
    </row>
    <row r="330" spans="1:18" x14ac:dyDescent="0.2">
      <c r="A330" s="1">
        <v>233374</v>
      </c>
      <c r="B330" s="1" t="s">
        <v>400</v>
      </c>
      <c r="C330" s="1" t="s">
        <v>52</v>
      </c>
      <c r="D330" s="1">
        <v>0.222</v>
      </c>
      <c r="E330" s="1">
        <v>2980</v>
      </c>
      <c r="F330" s="1">
        <v>65230</v>
      </c>
      <c r="G330" s="1">
        <v>0.85199999999999998</v>
      </c>
      <c r="H330" s="1">
        <v>0.90749999999999997</v>
      </c>
      <c r="I330" s="1">
        <v>0.1716</v>
      </c>
      <c r="J330" s="1">
        <v>76178</v>
      </c>
      <c r="K330" s="1">
        <v>21000</v>
      </c>
      <c r="L330" s="1">
        <v>14442</v>
      </c>
      <c r="M330" s="1">
        <v>7</v>
      </c>
      <c r="N330" s="1" t="s">
        <v>20</v>
      </c>
      <c r="O330" s="1" t="s">
        <v>29</v>
      </c>
      <c r="P330" s="1" t="s">
        <v>30</v>
      </c>
      <c r="Q330" s="1" t="s">
        <v>23</v>
      </c>
      <c r="R330">
        <v>0.75975042631672218</v>
      </c>
    </row>
    <row r="331" spans="1:18" x14ac:dyDescent="0.2">
      <c r="A331" s="1">
        <v>156189</v>
      </c>
      <c r="B331" s="1" t="s">
        <v>401</v>
      </c>
      <c r="C331" s="1" t="s">
        <v>104</v>
      </c>
      <c r="D331" s="1">
        <v>0.75229999999999997</v>
      </c>
      <c r="E331" s="1">
        <v>558</v>
      </c>
      <c r="F331" s="1">
        <v>13960</v>
      </c>
      <c r="G331" s="1">
        <v>0.38919999999999999</v>
      </c>
      <c r="H331" s="1">
        <v>0.56569999999999998</v>
      </c>
      <c r="I331" s="1">
        <v>0.58289999999999997</v>
      </c>
      <c r="J331" s="1">
        <v>40573</v>
      </c>
      <c r="K331" s="1">
        <v>19599</v>
      </c>
      <c r="L331" s="1">
        <v>5404</v>
      </c>
      <c r="M331" s="1">
        <v>15</v>
      </c>
      <c r="N331" s="1" t="s">
        <v>20</v>
      </c>
      <c r="O331" s="1" t="s">
        <v>42</v>
      </c>
      <c r="P331" s="1" t="s">
        <v>30</v>
      </c>
      <c r="Q331" s="1" t="s">
        <v>31</v>
      </c>
      <c r="R331">
        <v>0.75911223174075138</v>
      </c>
    </row>
    <row r="332" spans="1:18" x14ac:dyDescent="0.2">
      <c r="A332" s="1">
        <v>220710</v>
      </c>
      <c r="B332" s="1" t="s">
        <v>402</v>
      </c>
      <c r="C332" s="1" t="s">
        <v>163</v>
      </c>
      <c r="D332" s="1">
        <v>0.60919999999999996</v>
      </c>
      <c r="E332" s="1">
        <v>1005</v>
      </c>
      <c r="F332" s="1">
        <v>39284</v>
      </c>
      <c r="G332" s="1">
        <v>0.5</v>
      </c>
      <c r="H332" s="1">
        <v>0.71289999999999998</v>
      </c>
      <c r="I332" s="1">
        <v>0.37740000000000001</v>
      </c>
      <c r="J332" s="1">
        <v>49279</v>
      </c>
      <c r="K332" s="1">
        <v>25375</v>
      </c>
      <c r="L332" s="1">
        <v>6851</v>
      </c>
      <c r="M332" s="1">
        <v>12</v>
      </c>
      <c r="N332" s="1" t="s">
        <v>20</v>
      </c>
      <c r="O332" s="1" t="s">
        <v>21</v>
      </c>
      <c r="P332" s="1" t="s">
        <v>30</v>
      </c>
      <c r="Q332" s="1" t="s">
        <v>31</v>
      </c>
      <c r="R332">
        <v>0.75853105966705436</v>
      </c>
    </row>
    <row r="333" spans="1:18" x14ac:dyDescent="0.2">
      <c r="A333" s="1">
        <v>146481</v>
      </c>
      <c r="B333" s="1" t="s">
        <v>403</v>
      </c>
      <c r="C333" s="1" t="s">
        <v>25</v>
      </c>
      <c r="D333" s="1">
        <v>0.56810000000000005</v>
      </c>
      <c r="E333" s="1">
        <v>1813</v>
      </c>
      <c r="F333" s="1">
        <v>56402</v>
      </c>
      <c r="G333" s="1">
        <v>0.77780000000000005</v>
      </c>
      <c r="H333" s="1">
        <v>0.89880000000000004</v>
      </c>
      <c r="I333" s="1">
        <v>0.32240000000000002</v>
      </c>
      <c r="J333" s="1">
        <v>61825</v>
      </c>
      <c r="K333" s="1">
        <v>26158</v>
      </c>
      <c r="L333" s="1">
        <v>9044</v>
      </c>
      <c r="M333" s="1">
        <v>13</v>
      </c>
      <c r="N333" s="1" t="s">
        <v>20</v>
      </c>
      <c r="O333" s="1" t="s">
        <v>21</v>
      </c>
      <c r="P333" s="1" t="s">
        <v>22</v>
      </c>
      <c r="Q333" s="1" t="s">
        <v>23</v>
      </c>
      <c r="R333">
        <v>0.75771887896979817</v>
      </c>
    </row>
    <row r="334" spans="1:18" x14ac:dyDescent="0.2">
      <c r="A334" s="1">
        <v>178369</v>
      </c>
      <c r="B334" s="1" t="s">
        <v>404</v>
      </c>
      <c r="C334" s="1" t="s">
        <v>77</v>
      </c>
      <c r="D334" s="1">
        <v>0.69179999999999997</v>
      </c>
      <c r="E334" s="1">
        <v>1443</v>
      </c>
      <c r="F334" s="1">
        <v>23700</v>
      </c>
      <c r="G334" s="1">
        <v>0.22439999999999999</v>
      </c>
      <c r="H334" s="1">
        <v>0.52969999999999995</v>
      </c>
      <c r="I334" s="1">
        <v>0.32</v>
      </c>
      <c r="J334" s="1">
        <v>43221</v>
      </c>
      <c r="K334" s="1">
        <v>25950</v>
      </c>
      <c r="L334" s="1">
        <v>5466</v>
      </c>
      <c r="M334" s="1">
        <v>18</v>
      </c>
      <c r="N334" s="1" t="s">
        <v>20</v>
      </c>
      <c r="O334" s="1" t="s">
        <v>42</v>
      </c>
      <c r="P334" s="1" t="s">
        <v>22</v>
      </c>
      <c r="Q334" s="1" t="s">
        <v>31</v>
      </c>
      <c r="R334">
        <v>0.75738046020152194</v>
      </c>
    </row>
    <row r="335" spans="1:18" x14ac:dyDescent="0.2">
      <c r="A335" s="1">
        <v>140340</v>
      </c>
      <c r="B335" s="1" t="s">
        <v>405</v>
      </c>
      <c r="C335" s="1" t="s">
        <v>126</v>
      </c>
      <c r="D335" s="1">
        <v>0.9375</v>
      </c>
      <c r="E335" s="1">
        <v>387</v>
      </c>
      <c r="F335" s="1">
        <v>13450</v>
      </c>
      <c r="G335" s="1">
        <v>0.13950000000000001</v>
      </c>
      <c r="H335" s="1">
        <v>0.25</v>
      </c>
      <c r="I335" s="1">
        <v>0.70340000000000003</v>
      </c>
      <c r="J335" s="1">
        <v>36909</v>
      </c>
      <c r="K335" s="1">
        <v>21500</v>
      </c>
      <c r="L335" s="1">
        <v>7516</v>
      </c>
      <c r="M335" s="1">
        <v>14</v>
      </c>
      <c r="N335" s="1" t="s">
        <v>20</v>
      </c>
      <c r="O335" s="1" t="s">
        <v>29</v>
      </c>
      <c r="P335" s="1" t="s">
        <v>30</v>
      </c>
      <c r="Q335" s="1" t="s">
        <v>31</v>
      </c>
      <c r="R335">
        <v>0.75658014506774118</v>
      </c>
    </row>
    <row r="336" spans="1:18" x14ac:dyDescent="0.2">
      <c r="A336" s="1">
        <v>142294</v>
      </c>
      <c r="B336" s="1" t="s">
        <v>406</v>
      </c>
      <c r="C336" s="1" t="s">
        <v>407</v>
      </c>
      <c r="D336" s="1">
        <v>0.49099999999999999</v>
      </c>
      <c r="E336" s="1">
        <v>1041</v>
      </c>
      <c r="F336" s="1">
        <v>37845</v>
      </c>
      <c r="G336" s="1">
        <v>0.62539999999999996</v>
      </c>
      <c r="H336" s="1">
        <v>0.81850000000000001</v>
      </c>
      <c r="I336" s="1">
        <v>0.25169999999999998</v>
      </c>
      <c r="J336" s="1">
        <v>48473</v>
      </c>
      <c r="K336" s="1">
        <v>24500</v>
      </c>
      <c r="L336" s="1">
        <v>7798</v>
      </c>
      <c r="M336" s="1">
        <v>10</v>
      </c>
      <c r="N336" s="1" t="s">
        <v>20</v>
      </c>
      <c r="O336" s="1" t="s">
        <v>21</v>
      </c>
      <c r="P336" s="1" t="s">
        <v>22</v>
      </c>
      <c r="Q336" s="1" t="s">
        <v>31</v>
      </c>
      <c r="R336">
        <v>0.7553248755564772</v>
      </c>
    </row>
    <row r="337" spans="1:18" x14ac:dyDescent="0.2">
      <c r="A337" s="1">
        <v>198808</v>
      </c>
      <c r="B337" s="1" t="s">
        <v>408</v>
      </c>
      <c r="C337" s="1" t="s">
        <v>86</v>
      </c>
      <c r="D337" s="1">
        <v>0.76780000000000004</v>
      </c>
      <c r="E337" s="1">
        <v>873</v>
      </c>
      <c r="F337" s="1">
        <v>33250</v>
      </c>
      <c r="G337" s="1">
        <v>0.42080000000000001</v>
      </c>
      <c r="H337" s="1">
        <v>0.68840000000000001</v>
      </c>
      <c r="I337" s="1">
        <v>0.37290000000000001</v>
      </c>
      <c r="J337" s="1">
        <v>43415</v>
      </c>
      <c r="K337" s="1">
        <v>17375</v>
      </c>
      <c r="L337" s="1">
        <v>6116</v>
      </c>
      <c r="M337" s="1">
        <v>11</v>
      </c>
      <c r="N337" s="1" t="s">
        <v>20</v>
      </c>
      <c r="O337" s="1" t="s">
        <v>42</v>
      </c>
      <c r="P337" s="1" t="s">
        <v>30</v>
      </c>
      <c r="Q337" s="1" t="s">
        <v>31</v>
      </c>
      <c r="R337">
        <v>0.75441695435985245</v>
      </c>
    </row>
    <row r="338" spans="1:18" x14ac:dyDescent="0.2">
      <c r="A338" s="1">
        <v>176318</v>
      </c>
      <c r="B338" s="1" t="s">
        <v>409</v>
      </c>
      <c r="C338" s="1" t="s">
        <v>169</v>
      </c>
      <c r="D338" s="1">
        <v>0.48670000000000002</v>
      </c>
      <c r="E338" s="1">
        <v>467</v>
      </c>
      <c r="F338" s="1">
        <v>13265</v>
      </c>
      <c r="G338" s="1">
        <v>0.1179</v>
      </c>
      <c r="H338" s="1">
        <v>0.84379999999999999</v>
      </c>
      <c r="I338" s="1">
        <v>0.71460000000000001</v>
      </c>
      <c r="J338" s="1">
        <v>32275</v>
      </c>
      <c r="K338" s="1">
        <v>26159</v>
      </c>
      <c r="L338" s="1">
        <v>5096</v>
      </c>
      <c r="M338" s="1">
        <v>10</v>
      </c>
      <c r="N338" s="1" t="s">
        <v>20</v>
      </c>
      <c r="O338" s="1" t="s">
        <v>42</v>
      </c>
      <c r="P338" s="1" t="s">
        <v>30</v>
      </c>
      <c r="Q338" s="1" t="s">
        <v>31</v>
      </c>
      <c r="R338">
        <v>0.75196724040328233</v>
      </c>
    </row>
    <row r="339" spans="1:18" x14ac:dyDescent="0.2">
      <c r="A339" s="1">
        <v>145372</v>
      </c>
      <c r="B339" s="1" t="s">
        <v>410</v>
      </c>
      <c r="C339" s="1" t="s">
        <v>25</v>
      </c>
      <c r="D339" s="1">
        <v>0.97499999999999998</v>
      </c>
      <c r="E339" s="1">
        <v>955</v>
      </c>
      <c r="F339" s="1">
        <v>32200</v>
      </c>
      <c r="G339" s="1">
        <v>0.3982</v>
      </c>
      <c r="H339" s="1">
        <v>0.70809999999999995</v>
      </c>
      <c r="I339" s="1">
        <v>0.38890000000000002</v>
      </c>
      <c r="J339" s="1">
        <v>46827</v>
      </c>
      <c r="K339" s="1">
        <v>23875</v>
      </c>
      <c r="L339" s="1">
        <v>6650</v>
      </c>
      <c r="M339" s="1">
        <v>13</v>
      </c>
      <c r="N339" s="1" t="s">
        <v>20</v>
      </c>
      <c r="O339" s="1" t="s">
        <v>42</v>
      </c>
      <c r="P339" s="1" t="s">
        <v>22</v>
      </c>
      <c r="Q339" s="1" t="s">
        <v>31</v>
      </c>
      <c r="R339">
        <v>0.75141350354215874</v>
      </c>
    </row>
    <row r="340" spans="1:18" x14ac:dyDescent="0.2">
      <c r="A340" s="1">
        <v>198385</v>
      </c>
      <c r="B340" s="1" t="s">
        <v>411</v>
      </c>
      <c r="C340" s="1" t="s">
        <v>86</v>
      </c>
      <c r="D340" s="1">
        <v>0.13370000000000001</v>
      </c>
      <c r="E340" s="1">
        <v>1867</v>
      </c>
      <c r="F340" s="1">
        <v>64410</v>
      </c>
      <c r="G340" s="1">
        <v>0.91069999999999995</v>
      </c>
      <c r="H340" s="1">
        <v>0.94610000000000005</v>
      </c>
      <c r="I340" s="1">
        <v>0.1759</v>
      </c>
      <c r="J340" s="1">
        <v>81400</v>
      </c>
      <c r="K340" s="1">
        <v>18688</v>
      </c>
      <c r="L340" s="1">
        <v>13033</v>
      </c>
      <c r="M340" s="1">
        <v>8</v>
      </c>
      <c r="N340" s="1" t="s">
        <v>20</v>
      </c>
      <c r="O340" s="1" t="s">
        <v>21</v>
      </c>
      <c r="P340" s="1" t="s">
        <v>30</v>
      </c>
      <c r="Q340" s="1" t="s">
        <v>23</v>
      </c>
      <c r="R340">
        <v>0.75141000106379485</v>
      </c>
    </row>
    <row r="341" spans="1:18" x14ac:dyDescent="0.2">
      <c r="A341" s="1">
        <v>174127</v>
      </c>
      <c r="B341" s="1" t="s">
        <v>412</v>
      </c>
      <c r="C341" s="1" t="s">
        <v>54</v>
      </c>
      <c r="D341" s="1">
        <v>0.48480000000000001</v>
      </c>
      <c r="E341" s="1">
        <v>705</v>
      </c>
      <c r="F341" s="1">
        <v>45484</v>
      </c>
      <c r="G341" s="1">
        <v>0.51160000000000005</v>
      </c>
      <c r="H341" s="1">
        <v>0.74560000000000004</v>
      </c>
      <c r="I341" s="1">
        <v>0.42109999999999997</v>
      </c>
      <c r="J341" s="1">
        <v>40873</v>
      </c>
      <c r="K341" s="1">
        <v>27000</v>
      </c>
      <c r="L341" s="1">
        <v>8513</v>
      </c>
      <c r="M341" s="1">
        <v>12</v>
      </c>
      <c r="N341" s="1" t="s">
        <v>20</v>
      </c>
      <c r="O341" s="1" t="s">
        <v>29</v>
      </c>
      <c r="P341" s="1" t="s">
        <v>22</v>
      </c>
      <c r="Q341" s="1" t="s">
        <v>31</v>
      </c>
      <c r="R341">
        <v>0.75059107873157904</v>
      </c>
    </row>
    <row r="342" spans="1:18" x14ac:dyDescent="0.2">
      <c r="A342" s="1">
        <v>129242</v>
      </c>
      <c r="B342" s="1" t="s">
        <v>413</v>
      </c>
      <c r="C342" s="1" t="s">
        <v>147</v>
      </c>
      <c r="D342" s="1">
        <v>0.33289999999999997</v>
      </c>
      <c r="E342" s="1">
        <v>5373</v>
      </c>
      <c r="F342" s="1">
        <v>58350</v>
      </c>
      <c r="G342" s="1">
        <v>0.84299999999999997</v>
      </c>
      <c r="H342" s="1">
        <v>0.91290000000000004</v>
      </c>
      <c r="I342" s="1">
        <v>6.9199999999999998E-2</v>
      </c>
      <c r="J342" s="1">
        <v>88794</v>
      </c>
      <c r="K342" s="1">
        <v>26000</v>
      </c>
      <c r="L342" s="1">
        <v>13298</v>
      </c>
      <c r="M342" s="1">
        <v>12</v>
      </c>
      <c r="N342" s="1" t="s">
        <v>20</v>
      </c>
      <c r="O342" s="1" t="s">
        <v>21</v>
      </c>
      <c r="P342" s="1" t="s">
        <v>39</v>
      </c>
      <c r="Q342" s="1" t="s">
        <v>23</v>
      </c>
      <c r="R342">
        <v>0.75048376651406035</v>
      </c>
    </row>
    <row r="343" spans="1:18" x14ac:dyDescent="0.2">
      <c r="A343" s="1">
        <v>176044</v>
      </c>
      <c r="B343" s="1" t="s">
        <v>414</v>
      </c>
      <c r="C343" s="1" t="s">
        <v>169</v>
      </c>
      <c r="D343" s="1">
        <v>0.92379999999999995</v>
      </c>
      <c r="E343" s="1">
        <v>1439</v>
      </c>
      <c r="F343" s="1">
        <v>7692</v>
      </c>
      <c r="G343" s="1">
        <v>0.2676</v>
      </c>
      <c r="H343" s="1">
        <v>0.69750000000000001</v>
      </c>
      <c r="I343" s="1">
        <v>0.56359999999999999</v>
      </c>
      <c r="J343" s="1">
        <v>31919</v>
      </c>
      <c r="K343" s="1">
        <v>28413</v>
      </c>
      <c r="L343" s="1">
        <v>6733</v>
      </c>
      <c r="M343" s="1">
        <v>13</v>
      </c>
      <c r="N343" s="1" t="s">
        <v>28</v>
      </c>
      <c r="O343" s="1" t="s">
        <v>42</v>
      </c>
      <c r="P343" s="1" t="s">
        <v>30</v>
      </c>
      <c r="Q343" s="1" t="s">
        <v>31</v>
      </c>
      <c r="R343">
        <v>0.75024148640616328</v>
      </c>
    </row>
    <row r="344" spans="1:18" x14ac:dyDescent="0.2">
      <c r="A344" s="1">
        <v>212054</v>
      </c>
      <c r="B344" s="1" t="s">
        <v>415</v>
      </c>
      <c r="C344" s="1" t="s">
        <v>98</v>
      </c>
      <c r="D344" s="1">
        <v>0.7944</v>
      </c>
      <c r="E344" s="1">
        <v>13233</v>
      </c>
      <c r="F344" s="1">
        <v>62412</v>
      </c>
      <c r="G344" s="1">
        <v>0.78159999999999996</v>
      </c>
      <c r="H344" s="1">
        <v>0.89510000000000001</v>
      </c>
      <c r="I344" s="1">
        <v>0.2676</v>
      </c>
      <c r="J344" s="1">
        <v>84648</v>
      </c>
      <c r="K344" s="1">
        <v>25325</v>
      </c>
      <c r="L344" s="1">
        <v>12380</v>
      </c>
      <c r="M344" s="1">
        <v>9</v>
      </c>
      <c r="N344" s="1" t="s">
        <v>20</v>
      </c>
      <c r="O344" s="1" t="s">
        <v>29</v>
      </c>
      <c r="P344" s="1" t="s">
        <v>39</v>
      </c>
      <c r="Q344" s="1" t="s">
        <v>23</v>
      </c>
      <c r="R344">
        <v>0.74749407438354676</v>
      </c>
    </row>
    <row r="345" spans="1:18" x14ac:dyDescent="0.2">
      <c r="A345" s="1">
        <v>219198</v>
      </c>
      <c r="B345" s="1" t="s">
        <v>416</v>
      </c>
      <c r="C345" s="1" t="s">
        <v>41</v>
      </c>
      <c r="D345" s="1">
        <v>0.42570000000000002</v>
      </c>
      <c r="E345" s="1">
        <v>697</v>
      </c>
      <c r="F345" s="1">
        <v>34600</v>
      </c>
      <c r="G345" s="1">
        <v>0.52380000000000004</v>
      </c>
      <c r="H345" s="1">
        <v>0.67589999999999995</v>
      </c>
      <c r="I345" s="1">
        <v>0.2235</v>
      </c>
      <c r="J345" s="1">
        <v>48179</v>
      </c>
      <c r="K345" s="1">
        <v>26396</v>
      </c>
      <c r="L345" s="1">
        <v>7411</v>
      </c>
      <c r="M345" s="1">
        <v>12</v>
      </c>
      <c r="N345" s="1" t="s">
        <v>20</v>
      </c>
      <c r="O345" s="1" t="s">
        <v>42</v>
      </c>
      <c r="P345" s="1" t="s">
        <v>22</v>
      </c>
      <c r="Q345" s="1" t="s">
        <v>31</v>
      </c>
      <c r="R345">
        <v>0.74705541982167867</v>
      </c>
    </row>
    <row r="346" spans="1:18" x14ac:dyDescent="0.2">
      <c r="A346" s="1">
        <v>162584</v>
      </c>
      <c r="B346" s="1" t="s">
        <v>417</v>
      </c>
      <c r="C346" s="1" t="s">
        <v>61</v>
      </c>
      <c r="D346" s="1">
        <v>0.89180000000000004</v>
      </c>
      <c r="E346" s="1">
        <v>2909</v>
      </c>
      <c r="F346" s="1">
        <v>25814</v>
      </c>
      <c r="G346" s="1">
        <v>0.49659999999999999</v>
      </c>
      <c r="H346" s="1">
        <v>0.69279999999999997</v>
      </c>
      <c r="I346" s="1">
        <v>0.3221</v>
      </c>
      <c r="J346" s="1">
        <v>55493</v>
      </c>
      <c r="K346" s="1">
        <v>21105</v>
      </c>
      <c r="L346" s="1">
        <v>9386</v>
      </c>
      <c r="M346" s="1">
        <v>13</v>
      </c>
      <c r="N346" s="1" t="s">
        <v>28</v>
      </c>
      <c r="O346" s="1" t="s">
        <v>42</v>
      </c>
      <c r="P346" s="1" t="s">
        <v>30</v>
      </c>
      <c r="Q346" s="1" t="s">
        <v>23</v>
      </c>
      <c r="R346">
        <v>0.7468967341322863</v>
      </c>
    </row>
    <row r="347" spans="1:18" x14ac:dyDescent="0.2">
      <c r="A347" s="1">
        <v>100751</v>
      </c>
      <c r="B347" s="1" t="s">
        <v>418</v>
      </c>
      <c r="C347" s="1" t="s">
        <v>177</v>
      </c>
      <c r="D347" s="1">
        <v>0.76649999999999996</v>
      </c>
      <c r="E347" s="1">
        <v>33227</v>
      </c>
      <c r="F347" s="1">
        <v>34172</v>
      </c>
      <c r="G347" s="1">
        <v>0.73370000000000002</v>
      </c>
      <c r="H347" s="1">
        <v>0.89490000000000003</v>
      </c>
      <c r="I347" s="1">
        <v>0.184</v>
      </c>
      <c r="J347" s="1">
        <v>59221</v>
      </c>
      <c r="K347" s="1">
        <v>22750</v>
      </c>
      <c r="L347" s="1">
        <v>11419</v>
      </c>
      <c r="M347" s="1">
        <v>19</v>
      </c>
      <c r="N347" s="1" t="s">
        <v>28</v>
      </c>
      <c r="O347" s="1" t="s">
        <v>29</v>
      </c>
      <c r="P347" s="1" t="s">
        <v>30</v>
      </c>
      <c r="Q347" s="1" t="s">
        <v>23</v>
      </c>
      <c r="R347">
        <v>0.74578631573235721</v>
      </c>
    </row>
    <row r="348" spans="1:18" x14ac:dyDescent="0.2">
      <c r="A348" s="1">
        <v>129525</v>
      </c>
      <c r="B348" s="1" t="s">
        <v>419</v>
      </c>
      <c r="C348" s="1" t="s">
        <v>147</v>
      </c>
      <c r="D348" s="1">
        <v>0.95750000000000002</v>
      </c>
      <c r="E348" s="1">
        <v>4146</v>
      </c>
      <c r="F348" s="1">
        <v>49075</v>
      </c>
      <c r="G348" s="1">
        <v>0.54379999999999995</v>
      </c>
      <c r="H348" s="1">
        <v>0.82899999999999996</v>
      </c>
      <c r="I348" s="1">
        <v>0.33040000000000003</v>
      </c>
      <c r="J348" s="1">
        <v>60823</v>
      </c>
      <c r="K348" s="1">
        <v>27000</v>
      </c>
      <c r="L348" s="1">
        <v>8428</v>
      </c>
      <c r="M348" s="1">
        <v>11</v>
      </c>
      <c r="N348" s="1" t="s">
        <v>20</v>
      </c>
      <c r="O348" s="1" t="s">
        <v>29</v>
      </c>
      <c r="P348" s="1" t="s">
        <v>39</v>
      </c>
      <c r="Q348" s="1" t="s">
        <v>23</v>
      </c>
      <c r="R348">
        <v>0.74530800951314702</v>
      </c>
    </row>
    <row r="349" spans="1:18" x14ac:dyDescent="0.2">
      <c r="A349" s="1">
        <v>195030</v>
      </c>
      <c r="B349" s="1" t="s">
        <v>420</v>
      </c>
      <c r="C349" s="1" t="s">
        <v>58</v>
      </c>
      <c r="D349" s="1">
        <v>0.40079999999999999</v>
      </c>
      <c r="E349" s="1">
        <v>6331</v>
      </c>
      <c r="F349" s="1">
        <v>67080</v>
      </c>
      <c r="G349" s="1">
        <v>0.85429999999999995</v>
      </c>
      <c r="H349" s="1">
        <v>0.90690000000000004</v>
      </c>
      <c r="I349" s="1">
        <v>0.17249999999999999</v>
      </c>
      <c r="J349" s="1">
        <v>79042</v>
      </c>
      <c r="K349" s="1">
        <v>21000</v>
      </c>
      <c r="L349" s="1">
        <v>14585</v>
      </c>
      <c r="M349" s="1">
        <v>9</v>
      </c>
      <c r="N349" s="1" t="s">
        <v>20</v>
      </c>
      <c r="O349" s="1" t="s">
        <v>29</v>
      </c>
      <c r="P349" s="1" t="s">
        <v>39</v>
      </c>
      <c r="Q349" s="1" t="s">
        <v>23</v>
      </c>
      <c r="R349">
        <v>0.74429513032890526</v>
      </c>
    </row>
    <row r="350" spans="1:18" x14ac:dyDescent="0.2">
      <c r="A350" s="1">
        <v>232043</v>
      </c>
      <c r="B350" s="1" t="s">
        <v>421</v>
      </c>
      <c r="C350" s="1" t="s">
        <v>52</v>
      </c>
      <c r="D350" s="1">
        <v>1</v>
      </c>
      <c r="E350" s="1">
        <v>754</v>
      </c>
      <c r="F350" s="1">
        <v>43920</v>
      </c>
      <c r="G350" s="1">
        <v>0.67</v>
      </c>
      <c r="H350" s="1">
        <v>0.76090000000000002</v>
      </c>
      <c r="I350" s="1">
        <v>0.32679999999999998</v>
      </c>
      <c r="J350" s="1">
        <v>54869</v>
      </c>
      <c r="K350" s="1">
        <v>24813</v>
      </c>
      <c r="L350" s="1">
        <v>6452</v>
      </c>
      <c r="M350" s="1">
        <v>9</v>
      </c>
      <c r="N350" s="1" t="s">
        <v>20</v>
      </c>
      <c r="O350" s="1" t="s">
        <v>29</v>
      </c>
      <c r="P350" s="1" t="s">
        <v>30</v>
      </c>
      <c r="Q350" s="1" t="s">
        <v>23</v>
      </c>
      <c r="R350">
        <v>0.74352325812034892</v>
      </c>
    </row>
    <row r="351" spans="1:18" x14ac:dyDescent="0.2">
      <c r="A351" s="1">
        <v>171599</v>
      </c>
      <c r="B351" s="1" t="s">
        <v>422</v>
      </c>
      <c r="C351" s="1" t="s">
        <v>109</v>
      </c>
      <c r="D351" s="1">
        <v>0.83250000000000002</v>
      </c>
      <c r="E351" s="1">
        <v>892</v>
      </c>
      <c r="F351" s="1">
        <v>34068</v>
      </c>
      <c r="G351" s="1">
        <v>0.35270000000000001</v>
      </c>
      <c r="H351" s="1">
        <v>0.61380000000000001</v>
      </c>
      <c r="I351" s="1">
        <v>0.49469999999999997</v>
      </c>
      <c r="J351" s="1">
        <v>47907</v>
      </c>
      <c r="K351" s="1">
        <v>27000</v>
      </c>
      <c r="L351" s="1">
        <v>6387</v>
      </c>
      <c r="M351" s="1">
        <v>17</v>
      </c>
      <c r="N351" s="1" t="s">
        <v>20</v>
      </c>
      <c r="O351" s="1" t="s">
        <v>42</v>
      </c>
      <c r="P351" s="1" t="s">
        <v>22</v>
      </c>
      <c r="Q351" s="1" t="s">
        <v>31</v>
      </c>
      <c r="R351">
        <v>0.74336915144601468</v>
      </c>
    </row>
    <row r="352" spans="1:18" x14ac:dyDescent="0.2">
      <c r="A352" s="1">
        <v>221661</v>
      </c>
      <c r="B352" s="1" t="s">
        <v>423</v>
      </c>
      <c r="C352" s="1" t="s">
        <v>163</v>
      </c>
      <c r="D352" s="1">
        <v>0.65500000000000003</v>
      </c>
      <c r="E352" s="1">
        <v>2773</v>
      </c>
      <c r="F352" s="1">
        <v>27300</v>
      </c>
      <c r="G352" s="1">
        <v>0.49390000000000001</v>
      </c>
      <c r="H352" s="1">
        <v>0.82809999999999995</v>
      </c>
      <c r="I352" s="1">
        <v>0.30630000000000002</v>
      </c>
      <c r="J352" s="1">
        <v>53723</v>
      </c>
      <c r="K352" s="1">
        <v>24500</v>
      </c>
      <c r="L352" s="1">
        <v>6732</v>
      </c>
      <c r="M352" s="1">
        <v>19</v>
      </c>
      <c r="N352" s="1" t="s">
        <v>20</v>
      </c>
      <c r="O352" s="1" t="s">
        <v>21</v>
      </c>
      <c r="P352" s="1" t="s">
        <v>30</v>
      </c>
      <c r="Q352" s="1" t="s">
        <v>23</v>
      </c>
      <c r="R352">
        <v>0.74303257901684461</v>
      </c>
    </row>
    <row r="353" spans="1:18" x14ac:dyDescent="0.2">
      <c r="A353" s="1">
        <v>175078</v>
      </c>
      <c r="B353" s="1" t="s">
        <v>424</v>
      </c>
      <c r="C353" s="1" t="s">
        <v>54</v>
      </c>
      <c r="D353" s="1">
        <v>0.62180000000000002</v>
      </c>
      <c r="E353" s="1">
        <v>2315</v>
      </c>
      <c r="F353" s="1">
        <v>10361</v>
      </c>
      <c r="G353" s="1">
        <v>0.45100000000000001</v>
      </c>
      <c r="H353" s="1">
        <v>0.73709999999999998</v>
      </c>
      <c r="I353" s="1">
        <v>0.1207</v>
      </c>
      <c r="J353" s="1">
        <v>51342</v>
      </c>
      <c r="K353" s="1">
        <v>20500</v>
      </c>
      <c r="L353" s="1">
        <v>10672</v>
      </c>
      <c r="M353" s="1">
        <v>16</v>
      </c>
      <c r="N353" s="1" t="s">
        <v>28</v>
      </c>
      <c r="O353" s="1" t="s">
        <v>42</v>
      </c>
      <c r="P353" s="1" t="s">
        <v>22</v>
      </c>
      <c r="Q353" s="1" t="s">
        <v>23</v>
      </c>
      <c r="R353">
        <v>0.74284927984771254</v>
      </c>
    </row>
    <row r="354" spans="1:18" x14ac:dyDescent="0.2">
      <c r="A354" s="1">
        <v>226471</v>
      </c>
      <c r="B354" s="1" t="s">
        <v>425</v>
      </c>
      <c r="C354" s="1" t="s">
        <v>36</v>
      </c>
      <c r="D354" s="1">
        <v>0.95760000000000001</v>
      </c>
      <c r="E354" s="1">
        <v>2759</v>
      </c>
      <c r="F354" s="1">
        <v>32020</v>
      </c>
      <c r="G354" s="1">
        <v>0.49309999999999998</v>
      </c>
      <c r="H354" s="1">
        <v>0.62419999999999998</v>
      </c>
      <c r="I354" s="1">
        <v>0.39650000000000002</v>
      </c>
      <c r="J354" s="1">
        <v>56132</v>
      </c>
      <c r="K354" s="1">
        <v>26000</v>
      </c>
      <c r="L354" s="1">
        <v>8752</v>
      </c>
      <c r="M354" s="1">
        <v>17</v>
      </c>
      <c r="N354" s="1" t="s">
        <v>20</v>
      </c>
      <c r="O354" s="1" t="s">
        <v>21</v>
      </c>
      <c r="P354" s="1" t="s">
        <v>30</v>
      </c>
      <c r="Q354" s="1" t="s">
        <v>23</v>
      </c>
      <c r="R354">
        <v>0.74246238975063195</v>
      </c>
    </row>
    <row r="355" spans="1:18" x14ac:dyDescent="0.2">
      <c r="A355" s="1">
        <v>186201</v>
      </c>
      <c r="B355" s="1" t="s">
        <v>426</v>
      </c>
      <c r="C355" s="1" t="s">
        <v>66</v>
      </c>
      <c r="D355" s="1">
        <v>0.70640000000000003</v>
      </c>
      <c r="E355" s="1">
        <v>4898</v>
      </c>
      <c r="F355" s="1">
        <v>27708</v>
      </c>
      <c r="G355" s="1">
        <v>0.69810000000000005</v>
      </c>
      <c r="H355" s="1">
        <v>0.83609999999999995</v>
      </c>
      <c r="I355" s="1">
        <v>0.2823</v>
      </c>
      <c r="J355" s="1">
        <v>67541</v>
      </c>
      <c r="K355" s="1">
        <v>21000</v>
      </c>
      <c r="L355" s="1">
        <v>12502</v>
      </c>
      <c r="M355" s="1">
        <v>17</v>
      </c>
      <c r="N355" s="1" t="s">
        <v>28</v>
      </c>
      <c r="O355" s="1" t="s">
        <v>21</v>
      </c>
      <c r="P355" s="1" t="s">
        <v>39</v>
      </c>
      <c r="Q355" s="1" t="s">
        <v>23</v>
      </c>
      <c r="R355">
        <v>0.74197050160342848</v>
      </c>
    </row>
    <row r="356" spans="1:18" x14ac:dyDescent="0.2">
      <c r="A356" s="1">
        <v>206507</v>
      </c>
      <c r="B356" s="1" t="s">
        <v>427</v>
      </c>
      <c r="C356" s="1" t="s">
        <v>19</v>
      </c>
      <c r="D356" s="1">
        <v>0.92400000000000004</v>
      </c>
      <c r="E356" s="1">
        <v>1006</v>
      </c>
      <c r="F356" s="1">
        <v>32082</v>
      </c>
      <c r="G356" s="1">
        <v>0.47270000000000001</v>
      </c>
      <c r="H356" s="1">
        <v>0.72030000000000005</v>
      </c>
      <c r="I356" s="1">
        <v>0.38850000000000001</v>
      </c>
      <c r="J356" s="1">
        <v>48491</v>
      </c>
      <c r="K356" s="1">
        <v>24208</v>
      </c>
      <c r="L356" s="1">
        <v>6539</v>
      </c>
      <c r="M356" s="1">
        <v>12</v>
      </c>
      <c r="N356" s="1" t="s">
        <v>20</v>
      </c>
      <c r="O356" s="1" t="s">
        <v>42</v>
      </c>
      <c r="P356" s="1" t="s">
        <v>22</v>
      </c>
      <c r="Q356" s="1" t="s">
        <v>31</v>
      </c>
      <c r="R356">
        <v>0.74191382543107798</v>
      </c>
    </row>
    <row r="357" spans="1:18" x14ac:dyDescent="0.2">
      <c r="A357" s="1">
        <v>119173</v>
      </c>
      <c r="B357" s="1" t="s">
        <v>428</v>
      </c>
      <c r="C357" s="1" t="s">
        <v>33</v>
      </c>
      <c r="D357" s="1">
        <v>0.73129999999999995</v>
      </c>
      <c r="E357" s="1">
        <v>1719</v>
      </c>
      <c r="F357" s="1">
        <v>49564</v>
      </c>
      <c r="G357" s="1">
        <v>0.53249999999999997</v>
      </c>
      <c r="H357" s="1">
        <v>0.71140000000000003</v>
      </c>
      <c r="I357" s="1">
        <v>0.57099999999999995</v>
      </c>
      <c r="J357" s="1">
        <v>72379</v>
      </c>
      <c r="K357" s="1">
        <v>25949</v>
      </c>
      <c r="L357" s="1">
        <v>9605</v>
      </c>
      <c r="M357" s="1">
        <v>8</v>
      </c>
      <c r="N357" s="1" t="s">
        <v>20</v>
      </c>
      <c r="O357" s="1" t="s">
        <v>29</v>
      </c>
      <c r="P357" s="1" t="s">
        <v>22</v>
      </c>
      <c r="Q357" s="1" t="s">
        <v>23</v>
      </c>
      <c r="R357">
        <v>0.74065403543979735</v>
      </c>
    </row>
    <row r="358" spans="1:18" x14ac:dyDescent="0.2">
      <c r="A358" s="1">
        <v>164988</v>
      </c>
      <c r="B358" s="1" t="s">
        <v>429</v>
      </c>
      <c r="C358" s="1" t="s">
        <v>129</v>
      </c>
      <c r="D358" s="1">
        <v>0.1111</v>
      </c>
      <c r="E358" s="1">
        <v>18248</v>
      </c>
      <c r="F358" s="1">
        <v>68102</v>
      </c>
      <c r="G358" s="1">
        <v>0.88660000000000005</v>
      </c>
      <c r="H358" s="1">
        <v>0.94720000000000004</v>
      </c>
      <c r="I358" s="1">
        <v>0.1915</v>
      </c>
      <c r="J358" s="1">
        <v>83238</v>
      </c>
      <c r="K358" s="1">
        <v>23250</v>
      </c>
      <c r="L358" s="1">
        <v>16623</v>
      </c>
      <c r="M358" s="1">
        <v>10</v>
      </c>
      <c r="N358" s="1" t="s">
        <v>20</v>
      </c>
      <c r="O358" s="1" t="s">
        <v>29</v>
      </c>
      <c r="P358" s="1" t="s">
        <v>39</v>
      </c>
      <c r="Q358" s="1" t="s">
        <v>23</v>
      </c>
      <c r="R358">
        <v>0.74005755547144647</v>
      </c>
    </row>
    <row r="359" spans="1:18" x14ac:dyDescent="0.2">
      <c r="A359" s="1">
        <v>212106</v>
      </c>
      <c r="B359" s="1" t="s">
        <v>430</v>
      </c>
      <c r="C359" s="1" t="s">
        <v>98</v>
      </c>
      <c r="D359" s="1">
        <v>0.83560000000000001</v>
      </c>
      <c r="E359" s="1">
        <v>5350</v>
      </c>
      <c r="F359" s="1">
        <v>48986</v>
      </c>
      <c r="G359" s="1">
        <v>0.77490000000000003</v>
      </c>
      <c r="H359" s="1">
        <v>0.84150000000000003</v>
      </c>
      <c r="I359" s="1">
        <v>0.2024</v>
      </c>
      <c r="J359" s="1">
        <v>74742</v>
      </c>
      <c r="K359" s="1">
        <v>26244</v>
      </c>
      <c r="L359" s="1">
        <v>10204</v>
      </c>
      <c r="M359" s="1">
        <v>12</v>
      </c>
      <c r="N359" s="1" t="s">
        <v>20</v>
      </c>
      <c r="O359" s="1" t="s">
        <v>29</v>
      </c>
      <c r="P359" s="1" t="s">
        <v>39</v>
      </c>
      <c r="Q359" s="1" t="s">
        <v>23</v>
      </c>
      <c r="R359">
        <v>0.73986412571677351</v>
      </c>
    </row>
    <row r="360" spans="1:18" x14ac:dyDescent="0.2">
      <c r="A360" s="1">
        <v>449384</v>
      </c>
      <c r="B360" s="1" t="s">
        <v>431</v>
      </c>
      <c r="C360" s="1" t="s">
        <v>33</v>
      </c>
      <c r="D360" s="1">
        <v>0.41820000000000002</v>
      </c>
      <c r="E360" s="1">
        <v>294</v>
      </c>
      <c r="F360" s="1">
        <v>37635</v>
      </c>
      <c r="G360" s="1">
        <v>1</v>
      </c>
      <c r="H360" s="1">
        <v>0.9</v>
      </c>
      <c r="I360" s="1">
        <v>0.1081</v>
      </c>
      <c r="J360" s="1">
        <v>114785</v>
      </c>
      <c r="K360" s="1">
        <v>28332</v>
      </c>
      <c r="L360" s="1">
        <v>11289</v>
      </c>
      <c r="M360" s="1">
        <v>11</v>
      </c>
      <c r="N360" s="1" t="s">
        <v>142</v>
      </c>
      <c r="O360" s="1" t="s">
        <v>29</v>
      </c>
      <c r="P360" s="1" t="s">
        <v>22</v>
      </c>
      <c r="Q360" s="1" t="s">
        <v>23</v>
      </c>
      <c r="R360">
        <v>0.73788727967518197</v>
      </c>
    </row>
    <row r="361" spans="1:18" x14ac:dyDescent="0.2">
      <c r="A361" s="1">
        <v>227526</v>
      </c>
      <c r="B361" s="1" t="s">
        <v>432</v>
      </c>
      <c r="C361" s="1" t="s">
        <v>36</v>
      </c>
      <c r="D361" s="1">
        <v>0.79310000000000003</v>
      </c>
      <c r="E361" s="1">
        <v>8877</v>
      </c>
      <c r="F361" s="1">
        <v>26874</v>
      </c>
      <c r="G361" s="1">
        <v>0.432</v>
      </c>
      <c r="H361" s="1">
        <v>0.75619999999999998</v>
      </c>
      <c r="I361" s="1">
        <v>0.65600000000000003</v>
      </c>
      <c r="J361" s="1">
        <v>45411</v>
      </c>
      <c r="K361" s="1">
        <v>27000</v>
      </c>
      <c r="L361" s="1">
        <v>9530</v>
      </c>
      <c r="M361" s="1">
        <v>17</v>
      </c>
      <c r="N361" s="1" t="s">
        <v>28</v>
      </c>
      <c r="O361" s="1" t="s">
        <v>42</v>
      </c>
      <c r="P361" s="1" t="s">
        <v>30</v>
      </c>
      <c r="Q361" s="1" t="s">
        <v>31</v>
      </c>
      <c r="R361">
        <v>0.73659230840537915</v>
      </c>
    </row>
    <row r="362" spans="1:18" x14ac:dyDescent="0.2">
      <c r="A362" s="1">
        <v>174844</v>
      </c>
      <c r="B362" s="1" t="s">
        <v>433</v>
      </c>
      <c r="C362" s="1" t="s">
        <v>54</v>
      </c>
      <c r="D362" s="1">
        <v>0.48320000000000002</v>
      </c>
      <c r="E362" s="1">
        <v>3093</v>
      </c>
      <c r="F362" s="1">
        <v>59760</v>
      </c>
      <c r="G362" s="1">
        <v>0.84</v>
      </c>
      <c r="H362" s="1">
        <v>0.92230000000000001</v>
      </c>
      <c r="I362" s="1">
        <v>0.21210000000000001</v>
      </c>
      <c r="J362" s="1">
        <v>65543</v>
      </c>
      <c r="K362" s="1">
        <v>26000</v>
      </c>
      <c r="L362" s="1">
        <v>9218</v>
      </c>
      <c r="M362" s="1">
        <v>11</v>
      </c>
      <c r="N362" s="1" t="s">
        <v>20</v>
      </c>
      <c r="O362" s="1" t="s">
        <v>42</v>
      </c>
      <c r="P362" s="1" t="s">
        <v>22</v>
      </c>
      <c r="Q362" s="1" t="s">
        <v>23</v>
      </c>
      <c r="R362">
        <v>0.73584292925983463</v>
      </c>
    </row>
    <row r="363" spans="1:18" x14ac:dyDescent="0.2">
      <c r="A363" s="1">
        <v>172264</v>
      </c>
      <c r="B363" s="1" t="s">
        <v>434</v>
      </c>
      <c r="C363" s="1" t="s">
        <v>109</v>
      </c>
      <c r="D363" s="1">
        <v>0.68899999999999995</v>
      </c>
      <c r="E363" s="1">
        <v>1495</v>
      </c>
      <c r="F363" s="1">
        <v>30778</v>
      </c>
      <c r="G363" s="1">
        <v>0.38619999999999999</v>
      </c>
      <c r="H363" s="1">
        <v>0.7</v>
      </c>
      <c r="I363" s="1">
        <v>0.34189999999999998</v>
      </c>
      <c r="J363" s="1">
        <v>57529</v>
      </c>
      <c r="K363" s="1">
        <v>18750</v>
      </c>
      <c r="L363" s="1">
        <v>6749</v>
      </c>
      <c r="M363" s="1">
        <v>14</v>
      </c>
      <c r="N363" s="1" t="s">
        <v>20</v>
      </c>
      <c r="O363" s="1" t="s">
        <v>42</v>
      </c>
      <c r="P363" s="1" t="s">
        <v>22</v>
      </c>
      <c r="Q363" s="1" t="s">
        <v>23</v>
      </c>
      <c r="R363">
        <v>0.73500861199341805</v>
      </c>
    </row>
    <row r="364" spans="1:18" x14ac:dyDescent="0.2">
      <c r="A364" s="1">
        <v>187648</v>
      </c>
      <c r="B364" s="1" t="s">
        <v>435</v>
      </c>
      <c r="C364" s="1" t="s">
        <v>436</v>
      </c>
      <c r="D364" s="1">
        <v>0.91659999999999997</v>
      </c>
      <c r="E364" s="1">
        <v>3357</v>
      </c>
      <c r="F364" s="1">
        <v>9174</v>
      </c>
      <c r="G364" s="1">
        <v>0.45090000000000002</v>
      </c>
      <c r="H364" s="1">
        <v>0.62029999999999996</v>
      </c>
      <c r="I364" s="1">
        <v>0.35709999999999997</v>
      </c>
      <c r="J364" s="1">
        <v>38550</v>
      </c>
      <c r="K364" s="1">
        <v>16500</v>
      </c>
      <c r="L364" s="1">
        <v>8343</v>
      </c>
      <c r="M364" s="1">
        <v>18</v>
      </c>
      <c r="N364" s="1" t="s">
        <v>28</v>
      </c>
      <c r="O364" s="1" t="s">
        <v>42</v>
      </c>
      <c r="P364" s="1" t="s">
        <v>22</v>
      </c>
      <c r="Q364" s="1" t="s">
        <v>31</v>
      </c>
      <c r="R364">
        <v>0.7347256400128952</v>
      </c>
    </row>
    <row r="365" spans="1:18" x14ac:dyDescent="0.2">
      <c r="A365" s="1">
        <v>195720</v>
      </c>
      <c r="B365" s="1" t="s">
        <v>437</v>
      </c>
      <c r="C365" s="1" t="s">
        <v>58</v>
      </c>
      <c r="D365" s="1">
        <v>0.66400000000000003</v>
      </c>
      <c r="E365" s="1">
        <v>2565</v>
      </c>
      <c r="F365" s="1">
        <v>41190</v>
      </c>
      <c r="G365" s="1">
        <v>0.74170000000000003</v>
      </c>
      <c r="H365" s="1">
        <v>0.86419999999999997</v>
      </c>
      <c r="I365" s="1">
        <v>0.28689999999999999</v>
      </c>
      <c r="J365" s="1">
        <v>66944</v>
      </c>
      <c r="K365" s="1">
        <v>23250</v>
      </c>
      <c r="L365" s="1">
        <v>9676</v>
      </c>
      <c r="M365" s="1">
        <v>11</v>
      </c>
      <c r="N365" s="1" t="s">
        <v>20</v>
      </c>
      <c r="O365" s="1" t="s">
        <v>21</v>
      </c>
      <c r="P365" s="1" t="s">
        <v>39</v>
      </c>
      <c r="Q365" s="1" t="s">
        <v>23</v>
      </c>
      <c r="R365">
        <v>0.73267173990496115</v>
      </c>
    </row>
    <row r="366" spans="1:18" x14ac:dyDescent="0.2">
      <c r="A366" s="1">
        <v>174747</v>
      </c>
      <c r="B366" s="1" t="s">
        <v>438</v>
      </c>
      <c r="C366" s="1" t="s">
        <v>54</v>
      </c>
      <c r="D366" s="1">
        <v>0.91520000000000001</v>
      </c>
      <c r="E366" s="1">
        <v>1370</v>
      </c>
      <c r="F366" s="1">
        <v>55756</v>
      </c>
      <c r="G366" s="1">
        <v>0.7712</v>
      </c>
      <c r="H366" s="1">
        <v>0.86280000000000001</v>
      </c>
      <c r="I366" s="1">
        <v>0.1986</v>
      </c>
      <c r="J366" s="1">
        <v>63260</v>
      </c>
      <c r="K366" s="1">
        <v>26944</v>
      </c>
      <c r="L366" s="1">
        <v>9135</v>
      </c>
      <c r="M366" s="1">
        <v>11</v>
      </c>
      <c r="N366" s="1" t="s">
        <v>20</v>
      </c>
      <c r="O366" s="1" t="s">
        <v>21</v>
      </c>
      <c r="P366" s="1" t="s">
        <v>22</v>
      </c>
      <c r="Q366" s="1" t="s">
        <v>23</v>
      </c>
      <c r="R366">
        <v>0.73122783376528089</v>
      </c>
    </row>
    <row r="367" spans="1:18" x14ac:dyDescent="0.2">
      <c r="A367" s="1">
        <v>137564</v>
      </c>
      <c r="B367" s="1" t="s">
        <v>439</v>
      </c>
      <c r="C367" s="1" t="s">
        <v>27</v>
      </c>
      <c r="D367" s="1">
        <v>0.52980000000000005</v>
      </c>
      <c r="E367" s="1">
        <v>4813</v>
      </c>
      <c r="F367" s="1">
        <v>32950</v>
      </c>
      <c r="G367" s="1">
        <v>0.42549999999999999</v>
      </c>
      <c r="H367" s="1">
        <v>0.69889999999999997</v>
      </c>
      <c r="I367" s="1">
        <v>0.21510000000000001</v>
      </c>
      <c r="J367" s="1">
        <v>46744</v>
      </c>
      <c r="K367" s="1">
        <v>21500</v>
      </c>
      <c r="L367" s="1">
        <v>7041</v>
      </c>
      <c r="M367" s="1">
        <v>19</v>
      </c>
      <c r="N367" s="1" t="s">
        <v>20</v>
      </c>
      <c r="O367" s="1" t="s">
        <v>29</v>
      </c>
      <c r="P367" s="1" t="s">
        <v>30</v>
      </c>
      <c r="Q367" s="1" t="s">
        <v>31</v>
      </c>
      <c r="R367">
        <v>0.73073505907642033</v>
      </c>
    </row>
    <row r="368" spans="1:18" x14ac:dyDescent="0.2">
      <c r="A368" s="1">
        <v>209807</v>
      </c>
      <c r="B368" s="1" t="s">
        <v>440</v>
      </c>
      <c r="C368" s="1" t="s">
        <v>79</v>
      </c>
      <c r="D368" s="1">
        <v>0.90869999999999995</v>
      </c>
      <c r="E368" s="1">
        <v>13182</v>
      </c>
      <c r="F368" s="1">
        <v>31074</v>
      </c>
      <c r="G368" s="1">
        <v>0.52659999999999996</v>
      </c>
      <c r="H368" s="1">
        <v>0.7611</v>
      </c>
      <c r="I368" s="1">
        <v>0.41649999999999998</v>
      </c>
      <c r="J368" s="1">
        <v>57906</v>
      </c>
      <c r="K368" s="1">
        <v>20500</v>
      </c>
      <c r="L368" s="1">
        <v>11893</v>
      </c>
      <c r="M368" s="1">
        <v>17</v>
      </c>
      <c r="N368" s="1" t="s">
        <v>28</v>
      </c>
      <c r="O368" s="1" t="s">
        <v>29</v>
      </c>
      <c r="P368" s="1" t="s">
        <v>22</v>
      </c>
      <c r="Q368" s="1" t="s">
        <v>23</v>
      </c>
      <c r="R368">
        <v>0.73066956959919538</v>
      </c>
    </row>
    <row r="369" spans="1:18" x14ac:dyDescent="0.2">
      <c r="A369" s="1">
        <v>217864</v>
      </c>
      <c r="B369" s="1" t="s">
        <v>441</v>
      </c>
      <c r="C369" s="1" t="s">
        <v>155</v>
      </c>
      <c r="D369" s="1">
        <v>0.22720000000000001</v>
      </c>
      <c r="E369" s="1">
        <v>2705</v>
      </c>
      <c r="F369" s="1">
        <v>38508</v>
      </c>
      <c r="G369" s="1">
        <v>0.75</v>
      </c>
      <c r="H369" s="1">
        <v>0.85780000000000001</v>
      </c>
      <c r="I369" s="1">
        <v>0.19800000000000001</v>
      </c>
      <c r="J369" s="1">
        <v>72085</v>
      </c>
      <c r="K369" s="1">
        <v>21096</v>
      </c>
      <c r="L369" s="1">
        <v>10071</v>
      </c>
      <c r="M369" s="1">
        <v>11</v>
      </c>
      <c r="N369" s="1" t="s">
        <v>28</v>
      </c>
      <c r="O369" s="1" t="s">
        <v>29</v>
      </c>
      <c r="P369" s="1" t="s">
        <v>30</v>
      </c>
      <c r="Q369" s="1" t="s">
        <v>23</v>
      </c>
      <c r="R369">
        <v>0.72934449155008585</v>
      </c>
    </row>
    <row r="370" spans="1:18" x14ac:dyDescent="0.2">
      <c r="A370" s="1">
        <v>110644</v>
      </c>
      <c r="B370" s="1" t="s">
        <v>442</v>
      </c>
      <c r="C370" s="1" t="s">
        <v>33</v>
      </c>
      <c r="D370" s="1">
        <v>0.41830000000000001</v>
      </c>
      <c r="E370" s="1">
        <v>32253</v>
      </c>
      <c r="F370" s="1">
        <v>50974</v>
      </c>
      <c r="G370" s="1">
        <v>0.85670000000000002</v>
      </c>
      <c r="H370" s="1">
        <v>0.92810000000000004</v>
      </c>
      <c r="I370" s="1">
        <v>0.3135</v>
      </c>
      <c r="J370" s="1">
        <v>80838</v>
      </c>
      <c r="K370" s="1">
        <v>13000</v>
      </c>
      <c r="L370" s="1">
        <v>18357</v>
      </c>
      <c r="M370" s="1">
        <v>22</v>
      </c>
      <c r="N370" s="1" t="s">
        <v>28</v>
      </c>
      <c r="O370" s="1" t="s">
        <v>21</v>
      </c>
      <c r="P370" s="1" t="s">
        <v>22</v>
      </c>
      <c r="Q370" s="1" t="s">
        <v>23</v>
      </c>
      <c r="R370">
        <v>0.7283894705423668</v>
      </c>
    </row>
    <row r="371" spans="1:18" x14ac:dyDescent="0.2">
      <c r="A371" s="1">
        <v>155061</v>
      </c>
      <c r="B371" s="1" t="s">
        <v>443</v>
      </c>
      <c r="C371" s="1" t="s">
        <v>56</v>
      </c>
      <c r="D371" s="1">
        <v>0.90259999999999996</v>
      </c>
      <c r="E371" s="1">
        <v>9733</v>
      </c>
      <c r="F371" s="1">
        <v>17741</v>
      </c>
      <c r="G371" s="1">
        <v>0.47699999999999998</v>
      </c>
      <c r="H371" s="1">
        <v>0.76880000000000004</v>
      </c>
      <c r="I371" s="1">
        <v>0.2278</v>
      </c>
      <c r="J371" s="1">
        <v>48928</v>
      </c>
      <c r="K371" s="1">
        <v>21000</v>
      </c>
      <c r="L371" s="1">
        <v>7997</v>
      </c>
      <c r="M371" s="1">
        <v>15</v>
      </c>
      <c r="N371" s="1" t="s">
        <v>28</v>
      </c>
      <c r="O371" s="1" t="s">
        <v>42</v>
      </c>
      <c r="P371" s="1" t="s">
        <v>22</v>
      </c>
      <c r="Q371" s="1" t="s">
        <v>31</v>
      </c>
      <c r="R371">
        <v>0.72754221130390084</v>
      </c>
    </row>
    <row r="372" spans="1:18" x14ac:dyDescent="0.2">
      <c r="A372" s="1">
        <v>164173</v>
      </c>
      <c r="B372" s="1" t="s">
        <v>444</v>
      </c>
      <c r="C372" s="1" t="s">
        <v>61</v>
      </c>
      <c r="D372" s="1">
        <v>0.78910000000000002</v>
      </c>
      <c r="E372" s="1">
        <v>3102</v>
      </c>
      <c r="F372" s="1">
        <v>40560</v>
      </c>
      <c r="G372" s="1">
        <v>0.68489999999999995</v>
      </c>
      <c r="H372" s="1">
        <v>0.78790000000000004</v>
      </c>
      <c r="I372" s="1">
        <v>0.30880000000000002</v>
      </c>
      <c r="J372" s="1">
        <v>62079</v>
      </c>
      <c r="K372" s="1">
        <v>26000</v>
      </c>
      <c r="L372" s="1">
        <v>8822</v>
      </c>
      <c r="M372" s="1">
        <v>15</v>
      </c>
      <c r="N372" s="1" t="s">
        <v>20</v>
      </c>
      <c r="O372" s="1" t="s">
        <v>21</v>
      </c>
      <c r="P372" s="1" t="s">
        <v>30</v>
      </c>
      <c r="Q372" s="1" t="s">
        <v>23</v>
      </c>
      <c r="R372">
        <v>0.72462492652153743</v>
      </c>
    </row>
    <row r="373" spans="1:18" x14ac:dyDescent="0.2">
      <c r="A373" s="1">
        <v>143118</v>
      </c>
      <c r="B373" s="1" t="s">
        <v>445</v>
      </c>
      <c r="C373" s="1" t="s">
        <v>25</v>
      </c>
      <c r="D373" s="1">
        <v>0.8085</v>
      </c>
      <c r="E373" s="1">
        <v>3974</v>
      </c>
      <c r="F373" s="1">
        <v>29170</v>
      </c>
      <c r="G373" s="1">
        <v>0.60319999999999996</v>
      </c>
      <c r="H373" s="1">
        <v>0.77059999999999995</v>
      </c>
      <c r="I373" s="1">
        <v>0.44950000000000001</v>
      </c>
      <c r="J373" s="1">
        <v>58709</v>
      </c>
      <c r="K373" s="1">
        <v>20318</v>
      </c>
      <c r="L373" s="1">
        <v>9142</v>
      </c>
      <c r="M373" s="1">
        <v>18</v>
      </c>
      <c r="N373" s="1" t="s">
        <v>20</v>
      </c>
      <c r="O373" s="1" t="s">
        <v>21</v>
      </c>
      <c r="P373" s="1" t="s">
        <v>22</v>
      </c>
      <c r="Q373" s="1" t="s">
        <v>23</v>
      </c>
      <c r="R373">
        <v>0.72455722222730867</v>
      </c>
    </row>
    <row r="374" spans="1:18" x14ac:dyDescent="0.2">
      <c r="A374" s="1">
        <v>213598</v>
      </c>
      <c r="B374" s="1" t="s">
        <v>446</v>
      </c>
      <c r="C374" s="1" t="s">
        <v>98</v>
      </c>
      <c r="D374" s="1">
        <v>0.65720000000000001</v>
      </c>
      <c r="E374" s="1">
        <v>1539</v>
      </c>
      <c r="F374" s="1">
        <v>19384</v>
      </c>
      <c r="G374" s="1">
        <v>0.4355</v>
      </c>
      <c r="H374" s="1">
        <v>0.73409999999999997</v>
      </c>
      <c r="I374" s="1">
        <v>0.68669999999999998</v>
      </c>
      <c r="J374" s="1">
        <v>43167</v>
      </c>
      <c r="K374" s="1">
        <v>28250</v>
      </c>
      <c r="L374" s="1">
        <v>9580</v>
      </c>
      <c r="M374" s="1">
        <v>12</v>
      </c>
      <c r="N374" s="1" t="s">
        <v>28</v>
      </c>
      <c r="O374" s="1" t="s">
        <v>21</v>
      </c>
      <c r="P374" s="1" t="s">
        <v>39</v>
      </c>
      <c r="Q374" s="1" t="s">
        <v>31</v>
      </c>
      <c r="R374">
        <v>0.72431923347886273</v>
      </c>
    </row>
    <row r="375" spans="1:18" x14ac:dyDescent="0.2">
      <c r="A375" s="1">
        <v>127741</v>
      </c>
      <c r="B375" s="1" t="s">
        <v>447</v>
      </c>
      <c r="C375" s="1" t="s">
        <v>161</v>
      </c>
      <c r="D375" s="1">
        <v>0.85850000000000004</v>
      </c>
      <c r="E375" s="1">
        <v>5598</v>
      </c>
      <c r="F375" s="1">
        <v>27266</v>
      </c>
      <c r="G375" s="1">
        <v>0.51239999999999997</v>
      </c>
      <c r="H375" s="1">
        <v>0.75849999999999995</v>
      </c>
      <c r="I375" s="1">
        <v>0.26179999999999998</v>
      </c>
      <c r="J375" s="1">
        <v>52231</v>
      </c>
      <c r="K375" s="1">
        <v>20470</v>
      </c>
      <c r="L375" s="1">
        <v>8988</v>
      </c>
      <c r="M375" s="1">
        <v>14</v>
      </c>
      <c r="N375" s="1" t="s">
        <v>28</v>
      </c>
      <c r="O375" s="1" t="s">
        <v>29</v>
      </c>
      <c r="P375" s="1" t="s">
        <v>22</v>
      </c>
      <c r="Q375" s="1" t="s">
        <v>23</v>
      </c>
      <c r="R375">
        <v>0.72397091411457426</v>
      </c>
    </row>
    <row r="376" spans="1:18" x14ac:dyDescent="0.2">
      <c r="A376" s="1">
        <v>235097</v>
      </c>
      <c r="B376" s="1" t="s">
        <v>448</v>
      </c>
      <c r="C376" s="1" t="s">
        <v>171</v>
      </c>
      <c r="D376" s="1">
        <v>0.90749999999999997</v>
      </c>
      <c r="E376" s="1">
        <v>6222</v>
      </c>
      <c r="F376" s="1">
        <v>25959</v>
      </c>
      <c r="G376" s="1">
        <v>0.43490000000000001</v>
      </c>
      <c r="H376" s="1">
        <v>0.67400000000000004</v>
      </c>
      <c r="I376" s="1">
        <v>0.35099999999999998</v>
      </c>
      <c r="J376" s="1">
        <v>57897</v>
      </c>
      <c r="K376" s="1">
        <v>19500</v>
      </c>
      <c r="L376" s="1">
        <v>10643</v>
      </c>
      <c r="M376" s="1">
        <v>18</v>
      </c>
      <c r="N376" s="1" t="s">
        <v>28</v>
      </c>
      <c r="O376" s="1" t="s">
        <v>42</v>
      </c>
      <c r="P376" s="1" t="s">
        <v>22</v>
      </c>
      <c r="Q376" s="1" t="s">
        <v>23</v>
      </c>
      <c r="R376">
        <v>0.72203208773564831</v>
      </c>
    </row>
    <row r="377" spans="1:18" x14ac:dyDescent="0.2">
      <c r="A377" s="1">
        <v>460349</v>
      </c>
      <c r="B377" s="1" t="s">
        <v>449</v>
      </c>
      <c r="C377" s="1" t="s">
        <v>92</v>
      </c>
      <c r="D377" s="1">
        <v>0.90969999999999995</v>
      </c>
      <c r="E377" s="1">
        <v>2202</v>
      </c>
      <c r="F377" s="1">
        <v>13365</v>
      </c>
      <c r="G377" s="1">
        <v>0</v>
      </c>
      <c r="H377" s="1">
        <v>0.52170000000000005</v>
      </c>
      <c r="I377" s="1">
        <v>0.36230000000000001</v>
      </c>
      <c r="J377" s="1">
        <v>43418</v>
      </c>
      <c r="K377" s="1">
        <v>26000</v>
      </c>
      <c r="L377" s="1">
        <v>10481</v>
      </c>
      <c r="M377" s="1">
        <v>13</v>
      </c>
      <c r="N377" s="1" t="s">
        <v>20</v>
      </c>
      <c r="O377" s="1" t="s">
        <v>29</v>
      </c>
      <c r="P377" s="1" t="s">
        <v>39</v>
      </c>
      <c r="Q377" s="1" t="s">
        <v>31</v>
      </c>
      <c r="R377">
        <v>0.72156531537834989</v>
      </c>
    </row>
    <row r="378" spans="1:18" x14ac:dyDescent="0.2">
      <c r="A378" s="1">
        <v>231095</v>
      </c>
      <c r="B378" s="1" t="s">
        <v>450</v>
      </c>
      <c r="C378" s="1" t="s">
        <v>451</v>
      </c>
      <c r="D378" s="1">
        <v>0.66669999999999996</v>
      </c>
      <c r="E378" s="1">
        <v>50</v>
      </c>
      <c r="F378" s="1">
        <v>40760</v>
      </c>
      <c r="G378" s="1">
        <v>0.31580000000000003</v>
      </c>
      <c r="H378" s="1">
        <v>0.85709999999999997</v>
      </c>
      <c r="I378" s="1">
        <v>0.44869999999999999</v>
      </c>
      <c r="J378" s="1">
        <v>30573</v>
      </c>
      <c r="K378" s="1">
        <v>23000</v>
      </c>
      <c r="L378" s="1">
        <v>5583</v>
      </c>
      <c r="M378" s="1">
        <v>7</v>
      </c>
      <c r="N378" s="1" t="s">
        <v>20</v>
      </c>
      <c r="O378" s="1" t="s">
        <v>42</v>
      </c>
      <c r="P378" s="1" t="s">
        <v>39</v>
      </c>
      <c r="Q378" s="1" t="s">
        <v>31</v>
      </c>
      <c r="R378">
        <v>0.72130037897644084</v>
      </c>
    </row>
    <row r="379" spans="1:18" x14ac:dyDescent="0.2">
      <c r="A379" s="1">
        <v>165024</v>
      </c>
      <c r="B379" s="1" t="s">
        <v>452</v>
      </c>
      <c r="C379" s="1" t="s">
        <v>129</v>
      </c>
      <c r="D379" s="1">
        <v>0.87809999999999999</v>
      </c>
      <c r="E379" s="1">
        <v>7829</v>
      </c>
      <c r="F379" s="1">
        <v>17948</v>
      </c>
      <c r="G379" s="1">
        <v>0.53410000000000002</v>
      </c>
      <c r="H379" s="1">
        <v>0.75119999999999998</v>
      </c>
      <c r="I379" s="1">
        <v>0.31940000000000002</v>
      </c>
      <c r="J379" s="1">
        <v>57466</v>
      </c>
      <c r="K379" s="1">
        <v>24286</v>
      </c>
      <c r="L379" s="1">
        <v>11130</v>
      </c>
      <c r="M379" s="1">
        <v>17</v>
      </c>
      <c r="N379" s="1" t="s">
        <v>28</v>
      </c>
      <c r="O379" s="1" t="s">
        <v>21</v>
      </c>
      <c r="P379" s="1" t="s">
        <v>39</v>
      </c>
      <c r="Q379" s="1" t="s">
        <v>23</v>
      </c>
      <c r="R379">
        <v>0.72021745174300877</v>
      </c>
    </row>
    <row r="380" spans="1:18" x14ac:dyDescent="0.2">
      <c r="A380" s="1">
        <v>206589</v>
      </c>
      <c r="B380" s="1" t="s">
        <v>453</v>
      </c>
      <c r="C380" s="1" t="s">
        <v>19</v>
      </c>
      <c r="D380" s="1">
        <v>0.59530000000000005</v>
      </c>
      <c r="E380" s="1">
        <v>1730</v>
      </c>
      <c r="F380" s="1">
        <v>61640</v>
      </c>
      <c r="G380" s="1">
        <v>0.73939999999999995</v>
      </c>
      <c r="H380" s="1">
        <v>0.82079999999999997</v>
      </c>
      <c r="I380" s="1">
        <v>0.20899999999999999</v>
      </c>
      <c r="J380" s="1">
        <v>59629</v>
      </c>
      <c r="K380" s="1">
        <v>26500</v>
      </c>
      <c r="L380" s="1">
        <v>8909</v>
      </c>
      <c r="M380" s="1">
        <v>10</v>
      </c>
      <c r="N380" s="1" t="s">
        <v>20</v>
      </c>
      <c r="O380" s="1" t="s">
        <v>42</v>
      </c>
      <c r="P380" s="1" t="s">
        <v>22</v>
      </c>
      <c r="Q380" s="1" t="s">
        <v>23</v>
      </c>
      <c r="R380">
        <v>0.71943497636625175</v>
      </c>
    </row>
    <row r="381" spans="1:18" x14ac:dyDescent="0.2">
      <c r="A381" s="1">
        <v>141486</v>
      </c>
      <c r="B381" s="1" t="s">
        <v>454</v>
      </c>
      <c r="C381" s="1" t="s">
        <v>240</v>
      </c>
      <c r="D381" s="1">
        <v>0.9143</v>
      </c>
      <c r="E381" s="1">
        <v>1672</v>
      </c>
      <c r="F381" s="1">
        <v>30874</v>
      </c>
      <c r="G381" s="1">
        <v>0.55400000000000005</v>
      </c>
      <c r="H381" s="1">
        <v>0.70369999999999999</v>
      </c>
      <c r="I381" s="1">
        <v>0.4133</v>
      </c>
      <c r="J381" s="1">
        <v>52343</v>
      </c>
      <c r="K381" s="1">
        <v>23250</v>
      </c>
      <c r="L381" s="1">
        <v>9015</v>
      </c>
      <c r="M381" s="1">
        <v>11</v>
      </c>
      <c r="N381" s="1" t="s">
        <v>20</v>
      </c>
      <c r="O381" s="1" t="s">
        <v>29</v>
      </c>
      <c r="P381" s="1" t="s">
        <v>22</v>
      </c>
      <c r="Q381" s="1" t="s">
        <v>23</v>
      </c>
      <c r="R381">
        <v>0.71756259139932721</v>
      </c>
    </row>
    <row r="382" spans="1:18" x14ac:dyDescent="0.2">
      <c r="A382" s="1">
        <v>213996</v>
      </c>
      <c r="B382" s="1" t="s">
        <v>455</v>
      </c>
      <c r="C382" s="1" t="s">
        <v>98</v>
      </c>
      <c r="D382" s="1">
        <v>0.78969999999999996</v>
      </c>
      <c r="E382" s="1">
        <v>2259</v>
      </c>
      <c r="F382" s="1">
        <v>42240</v>
      </c>
      <c r="G382" s="1">
        <v>0.74960000000000004</v>
      </c>
      <c r="H382" s="1">
        <v>0.88570000000000004</v>
      </c>
      <c r="I382" s="1">
        <v>0.19639999999999999</v>
      </c>
      <c r="J382" s="1">
        <v>54064</v>
      </c>
      <c r="K382" s="1">
        <v>25621</v>
      </c>
      <c r="L382" s="1">
        <v>9179</v>
      </c>
      <c r="M382" s="1">
        <v>12</v>
      </c>
      <c r="N382" s="1" t="s">
        <v>20</v>
      </c>
      <c r="O382" s="1" t="s">
        <v>21</v>
      </c>
      <c r="P382" s="1" t="s">
        <v>39</v>
      </c>
      <c r="Q382" s="1" t="s">
        <v>23</v>
      </c>
      <c r="R382">
        <v>0.71737364927332059</v>
      </c>
    </row>
    <row r="383" spans="1:18" x14ac:dyDescent="0.2">
      <c r="A383" s="1">
        <v>206835</v>
      </c>
      <c r="B383" s="1" t="s">
        <v>456</v>
      </c>
      <c r="C383" s="1" t="s">
        <v>224</v>
      </c>
      <c r="D383" s="1">
        <v>0.66169999999999995</v>
      </c>
      <c r="E383" s="1">
        <v>673</v>
      </c>
      <c r="F383" s="1">
        <v>33550</v>
      </c>
      <c r="G383" s="1">
        <v>0.34760000000000002</v>
      </c>
      <c r="H383" s="1">
        <v>0.5</v>
      </c>
      <c r="I383" s="1">
        <v>0.29249999999999998</v>
      </c>
      <c r="J383" s="1">
        <v>59841</v>
      </c>
      <c r="K383" s="1">
        <v>24813</v>
      </c>
      <c r="L383" s="1">
        <v>5562</v>
      </c>
      <c r="M383" s="1">
        <v>15</v>
      </c>
      <c r="N383" s="1" t="s">
        <v>20</v>
      </c>
      <c r="O383" s="1" t="s">
        <v>42</v>
      </c>
      <c r="P383" s="1" t="s">
        <v>30</v>
      </c>
      <c r="Q383" s="1" t="s">
        <v>23</v>
      </c>
      <c r="R383">
        <v>0.71729043601136888</v>
      </c>
    </row>
    <row r="384" spans="1:18" x14ac:dyDescent="0.2">
      <c r="A384" s="1">
        <v>482158</v>
      </c>
      <c r="B384" s="1" t="s">
        <v>457</v>
      </c>
      <c r="C384" s="1" t="s">
        <v>126</v>
      </c>
      <c r="D384" s="1">
        <v>0.99680000000000002</v>
      </c>
      <c r="E384" s="1">
        <v>6574</v>
      </c>
      <c r="F384" s="1">
        <v>16390</v>
      </c>
      <c r="G384" s="1">
        <v>0.25330000000000003</v>
      </c>
      <c r="H384" s="1">
        <v>0.65290000000000004</v>
      </c>
      <c r="I384" s="1">
        <v>0.42880000000000001</v>
      </c>
      <c r="J384" s="1">
        <v>40863</v>
      </c>
      <c r="K384" s="1">
        <v>19000</v>
      </c>
      <c r="L384" s="1">
        <v>8304</v>
      </c>
      <c r="M384" s="1">
        <v>18</v>
      </c>
      <c r="N384" s="1" t="s">
        <v>28</v>
      </c>
      <c r="O384" s="1" t="s">
        <v>29</v>
      </c>
      <c r="P384" s="1" t="s">
        <v>30</v>
      </c>
      <c r="Q384" s="1" t="s">
        <v>31</v>
      </c>
      <c r="R384">
        <v>0.71608314794305339</v>
      </c>
    </row>
    <row r="385" spans="1:18" x14ac:dyDescent="0.2">
      <c r="A385" s="1">
        <v>174914</v>
      </c>
      <c r="B385" s="1" t="s">
        <v>458</v>
      </c>
      <c r="C385" s="1" t="s">
        <v>54</v>
      </c>
      <c r="D385" s="1">
        <v>0.85360000000000003</v>
      </c>
      <c r="E385" s="1">
        <v>6245</v>
      </c>
      <c r="F385" s="1">
        <v>54398</v>
      </c>
      <c r="G385" s="1">
        <v>0.76380000000000003</v>
      </c>
      <c r="H385" s="1">
        <v>0.88449999999999995</v>
      </c>
      <c r="I385" s="1">
        <v>0.2177</v>
      </c>
      <c r="J385" s="1">
        <v>73739</v>
      </c>
      <c r="K385" s="1">
        <v>23250</v>
      </c>
      <c r="L385" s="1">
        <v>11771</v>
      </c>
      <c r="M385" s="1">
        <v>14</v>
      </c>
      <c r="N385" s="1" t="s">
        <v>20</v>
      </c>
      <c r="O385" s="1" t="s">
        <v>29</v>
      </c>
      <c r="P385" s="1" t="s">
        <v>22</v>
      </c>
      <c r="Q385" s="1" t="s">
        <v>23</v>
      </c>
      <c r="R385">
        <v>0.71599273398692154</v>
      </c>
    </row>
    <row r="386" spans="1:18" x14ac:dyDescent="0.2">
      <c r="A386" s="1">
        <v>110565</v>
      </c>
      <c r="B386" s="1" t="s">
        <v>459</v>
      </c>
      <c r="C386" s="1" t="s">
        <v>33</v>
      </c>
      <c r="D386" s="1">
        <v>0.9052</v>
      </c>
      <c r="E386" s="1">
        <v>38546</v>
      </c>
      <c r="F386" s="1">
        <v>20070</v>
      </c>
      <c r="G386" s="1">
        <v>0.70179999999999998</v>
      </c>
      <c r="H386" s="1">
        <v>0.82420000000000004</v>
      </c>
      <c r="I386" s="1">
        <v>0.48070000000000002</v>
      </c>
      <c r="J386" s="1">
        <v>62951</v>
      </c>
      <c r="K386" s="1">
        <v>13750</v>
      </c>
      <c r="L386" s="1">
        <v>12295</v>
      </c>
      <c r="M386" s="1">
        <v>26</v>
      </c>
      <c r="N386" s="1" t="s">
        <v>28</v>
      </c>
      <c r="O386" s="1" t="s">
        <v>21</v>
      </c>
      <c r="P386" s="1" t="s">
        <v>22</v>
      </c>
      <c r="Q386" s="1" t="s">
        <v>23</v>
      </c>
      <c r="R386">
        <v>0.71581466863883303</v>
      </c>
    </row>
    <row r="387" spans="1:18" x14ac:dyDescent="0.2">
      <c r="A387" s="1">
        <v>219471</v>
      </c>
      <c r="B387" s="1" t="s">
        <v>460</v>
      </c>
      <c r="C387" s="1" t="s">
        <v>41</v>
      </c>
      <c r="D387" s="1">
        <v>0.98780000000000001</v>
      </c>
      <c r="E387" s="1">
        <v>5439</v>
      </c>
      <c r="F387" s="1">
        <v>12942</v>
      </c>
      <c r="G387" s="1">
        <v>0.59909999999999997</v>
      </c>
      <c r="H387" s="1">
        <v>0.79339999999999999</v>
      </c>
      <c r="I387" s="1">
        <v>0.18659999999999999</v>
      </c>
      <c r="J387" s="1">
        <v>51926</v>
      </c>
      <c r="K387" s="1">
        <v>23592</v>
      </c>
      <c r="L387" s="1">
        <v>9264</v>
      </c>
      <c r="M387" s="1">
        <v>16</v>
      </c>
      <c r="N387" s="1" t="s">
        <v>28</v>
      </c>
      <c r="O387" s="1" t="s">
        <v>42</v>
      </c>
      <c r="P387" s="1" t="s">
        <v>22</v>
      </c>
      <c r="Q387" s="1" t="s">
        <v>23</v>
      </c>
      <c r="R387">
        <v>0.71575966449507145</v>
      </c>
    </row>
    <row r="388" spans="1:18" x14ac:dyDescent="0.2">
      <c r="A388" s="1">
        <v>166638</v>
      </c>
      <c r="B388" s="1" t="s">
        <v>461</v>
      </c>
      <c r="C388" s="1" t="s">
        <v>129</v>
      </c>
      <c r="D388" s="1">
        <v>0.83779999999999999</v>
      </c>
      <c r="E388" s="1">
        <v>11512</v>
      </c>
      <c r="F388" s="1">
        <v>38125</v>
      </c>
      <c r="G388" s="1">
        <v>0.49409999999999998</v>
      </c>
      <c r="H388" s="1">
        <v>0.70409999999999995</v>
      </c>
      <c r="I388" s="1">
        <v>0.41549999999999998</v>
      </c>
      <c r="J388" s="1">
        <v>65865</v>
      </c>
      <c r="K388" s="1">
        <v>21974</v>
      </c>
      <c r="L388" s="1">
        <v>12724</v>
      </c>
      <c r="M388" s="1">
        <v>15</v>
      </c>
      <c r="N388" s="1" t="s">
        <v>28</v>
      </c>
      <c r="O388" s="1" t="s">
        <v>29</v>
      </c>
      <c r="P388" s="1" t="s">
        <v>39</v>
      </c>
      <c r="Q388" s="1" t="s">
        <v>23</v>
      </c>
      <c r="R388">
        <v>0.71520966551654752</v>
      </c>
    </row>
    <row r="389" spans="1:18" x14ac:dyDescent="0.2">
      <c r="A389" s="1">
        <v>183062</v>
      </c>
      <c r="B389" s="1" t="s">
        <v>462</v>
      </c>
      <c r="C389" s="1" t="s">
        <v>38</v>
      </c>
      <c r="D389" s="1">
        <v>0.90329999999999999</v>
      </c>
      <c r="E389" s="1">
        <v>2699</v>
      </c>
      <c r="F389" s="1">
        <v>26840</v>
      </c>
      <c r="G389" s="1">
        <v>0.60060000000000002</v>
      </c>
      <c r="H389" s="1">
        <v>0.78680000000000005</v>
      </c>
      <c r="I389" s="1">
        <v>0.2616</v>
      </c>
      <c r="J389" s="1">
        <v>54368</v>
      </c>
      <c r="K389" s="1">
        <v>25749</v>
      </c>
      <c r="L389" s="1">
        <v>10286</v>
      </c>
      <c r="M389" s="1">
        <v>17</v>
      </c>
      <c r="N389" s="1" t="s">
        <v>28</v>
      </c>
      <c r="O389" s="1" t="s">
        <v>42</v>
      </c>
      <c r="P389" s="1" t="s">
        <v>39</v>
      </c>
      <c r="Q389" s="1" t="s">
        <v>23</v>
      </c>
      <c r="R389">
        <v>0.71498282068091057</v>
      </c>
    </row>
    <row r="390" spans="1:18" x14ac:dyDescent="0.2">
      <c r="A390" s="1">
        <v>157076</v>
      </c>
      <c r="B390" s="1" t="s">
        <v>463</v>
      </c>
      <c r="C390" s="1" t="s">
        <v>104</v>
      </c>
      <c r="D390" s="1">
        <v>0.71599999999999997</v>
      </c>
      <c r="E390" s="1">
        <v>842</v>
      </c>
      <c r="F390" s="1">
        <v>34673</v>
      </c>
      <c r="G390" s="1">
        <v>0.46800000000000003</v>
      </c>
      <c r="H390" s="1">
        <v>0.52559999999999996</v>
      </c>
      <c r="I390" s="1">
        <v>0.49519999999999997</v>
      </c>
      <c r="J390" s="1">
        <v>46747</v>
      </c>
      <c r="K390" s="1">
        <v>23250</v>
      </c>
      <c r="L390" s="1">
        <v>6353</v>
      </c>
      <c r="M390" s="1">
        <v>15</v>
      </c>
      <c r="N390" s="1" t="s">
        <v>20</v>
      </c>
      <c r="O390" s="1" t="s">
        <v>29</v>
      </c>
      <c r="P390" s="1" t="s">
        <v>30</v>
      </c>
      <c r="Q390" s="1" t="s">
        <v>31</v>
      </c>
      <c r="R390">
        <v>0.71451766957732565</v>
      </c>
    </row>
    <row r="391" spans="1:18" x14ac:dyDescent="0.2">
      <c r="A391" s="1">
        <v>174899</v>
      </c>
      <c r="B391" s="1" t="s">
        <v>464</v>
      </c>
      <c r="C391" s="1" t="s">
        <v>54</v>
      </c>
      <c r="D391" s="1">
        <v>0.92959999999999998</v>
      </c>
      <c r="E391" s="1">
        <v>1765</v>
      </c>
      <c r="F391" s="1">
        <v>41778</v>
      </c>
      <c r="G391" s="1">
        <v>0.70530000000000004</v>
      </c>
      <c r="H391" s="1">
        <v>0.81840000000000002</v>
      </c>
      <c r="I391" s="1">
        <v>0.24840000000000001</v>
      </c>
      <c r="J391" s="1">
        <v>65934</v>
      </c>
      <c r="K391" s="1">
        <v>20000</v>
      </c>
      <c r="L391" s="1">
        <v>7589</v>
      </c>
      <c r="M391" s="1">
        <v>12</v>
      </c>
      <c r="N391" s="1" t="s">
        <v>20</v>
      </c>
      <c r="O391" s="1" t="s">
        <v>29</v>
      </c>
      <c r="P391" s="1" t="s">
        <v>22</v>
      </c>
      <c r="Q391" s="1" t="s">
        <v>23</v>
      </c>
      <c r="R391">
        <v>0.71427958339314312</v>
      </c>
    </row>
    <row r="392" spans="1:18" x14ac:dyDescent="0.2">
      <c r="A392" s="1">
        <v>199962</v>
      </c>
      <c r="B392" s="1" t="s">
        <v>465</v>
      </c>
      <c r="C392" s="1" t="s">
        <v>86</v>
      </c>
      <c r="D392" s="1">
        <v>0.9113</v>
      </c>
      <c r="E392" s="1">
        <v>2668</v>
      </c>
      <c r="F392" s="1">
        <v>41636</v>
      </c>
      <c r="G392" s="1">
        <v>0.46350000000000002</v>
      </c>
      <c r="H392" s="1">
        <v>0.70479999999999998</v>
      </c>
      <c r="I392" s="1">
        <v>0.44240000000000002</v>
      </c>
      <c r="J392" s="1">
        <v>52649</v>
      </c>
      <c r="K392" s="1">
        <v>25000</v>
      </c>
      <c r="L392" s="1">
        <v>8244</v>
      </c>
      <c r="M392" s="1">
        <v>15</v>
      </c>
      <c r="N392" s="1" t="s">
        <v>20</v>
      </c>
      <c r="O392" s="1" t="s">
        <v>21</v>
      </c>
      <c r="P392" s="1" t="s">
        <v>30</v>
      </c>
      <c r="Q392" s="1" t="s">
        <v>23</v>
      </c>
      <c r="R392">
        <v>0.71422849455924853</v>
      </c>
    </row>
    <row r="393" spans="1:18" x14ac:dyDescent="0.2">
      <c r="A393" s="1">
        <v>165699</v>
      </c>
      <c r="B393" s="1" t="s">
        <v>466</v>
      </c>
      <c r="C393" s="1" t="s">
        <v>129</v>
      </c>
      <c r="D393" s="1">
        <v>0.71209999999999996</v>
      </c>
      <c r="E393" s="1">
        <v>3125</v>
      </c>
      <c r="F393" s="1">
        <v>40650</v>
      </c>
      <c r="G393" s="1">
        <v>0.75560000000000005</v>
      </c>
      <c r="H393" s="1">
        <v>0.84360000000000002</v>
      </c>
      <c r="I393" s="1">
        <v>0.13</v>
      </c>
      <c r="J393" s="1">
        <v>58336</v>
      </c>
      <c r="K393" s="1">
        <v>27000</v>
      </c>
      <c r="L393" s="1">
        <v>11416</v>
      </c>
      <c r="M393" s="1">
        <v>13</v>
      </c>
      <c r="N393" s="1" t="s">
        <v>20</v>
      </c>
      <c r="O393" s="1" t="s">
        <v>21</v>
      </c>
      <c r="P393" s="1" t="s">
        <v>39</v>
      </c>
      <c r="Q393" s="1" t="s">
        <v>23</v>
      </c>
      <c r="R393">
        <v>0.71285008413352879</v>
      </c>
    </row>
    <row r="394" spans="1:18" x14ac:dyDescent="0.2">
      <c r="A394" s="1">
        <v>228769</v>
      </c>
      <c r="B394" s="1" t="s">
        <v>467</v>
      </c>
      <c r="C394" s="1" t="s">
        <v>36</v>
      </c>
      <c r="D394" s="1">
        <v>0.79900000000000004</v>
      </c>
      <c r="E394" s="1">
        <v>32294</v>
      </c>
      <c r="F394" s="1">
        <v>29582</v>
      </c>
      <c r="G394" s="1">
        <v>0.54020000000000001</v>
      </c>
      <c r="H394" s="1">
        <v>0.72940000000000005</v>
      </c>
      <c r="I394" s="1">
        <v>0.42299999999999999</v>
      </c>
      <c r="J394" s="1">
        <v>63199</v>
      </c>
      <c r="K394" s="1">
        <v>17527</v>
      </c>
      <c r="L394" s="1">
        <v>11502</v>
      </c>
      <c r="M394" s="1">
        <v>23</v>
      </c>
      <c r="N394" s="1" t="s">
        <v>28</v>
      </c>
      <c r="O394" s="1" t="s">
        <v>29</v>
      </c>
      <c r="P394" s="1" t="s">
        <v>30</v>
      </c>
      <c r="Q394" s="1" t="s">
        <v>23</v>
      </c>
      <c r="R394">
        <v>0.71139713775039215</v>
      </c>
    </row>
    <row r="395" spans="1:18" x14ac:dyDescent="0.2">
      <c r="A395" s="1">
        <v>179964</v>
      </c>
      <c r="B395" s="1" t="s">
        <v>468</v>
      </c>
      <c r="C395" s="1" t="s">
        <v>77</v>
      </c>
      <c r="D395" s="1">
        <v>0.70960000000000001</v>
      </c>
      <c r="E395" s="1">
        <v>1300</v>
      </c>
      <c r="F395" s="1">
        <v>30340</v>
      </c>
      <c r="G395" s="1">
        <v>0.46810000000000002</v>
      </c>
      <c r="H395" s="1">
        <v>0.57969999999999999</v>
      </c>
      <c r="I395" s="1">
        <v>0.34820000000000001</v>
      </c>
      <c r="J395" s="1">
        <v>42401</v>
      </c>
      <c r="K395" s="1">
        <v>21983</v>
      </c>
      <c r="L395" s="1">
        <v>5707</v>
      </c>
      <c r="M395" s="1">
        <v>16</v>
      </c>
      <c r="N395" s="1" t="s">
        <v>20</v>
      </c>
      <c r="O395" s="1" t="s">
        <v>42</v>
      </c>
      <c r="P395" s="1" t="s">
        <v>22</v>
      </c>
      <c r="Q395" s="1" t="s">
        <v>31</v>
      </c>
      <c r="R395">
        <v>0.71134758665005438</v>
      </c>
    </row>
    <row r="396" spans="1:18" x14ac:dyDescent="0.2">
      <c r="A396" s="1">
        <v>207324</v>
      </c>
      <c r="B396" s="1" t="s">
        <v>469</v>
      </c>
      <c r="C396" s="1" t="s">
        <v>224</v>
      </c>
      <c r="D396" s="1">
        <v>0.96540000000000004</v>
      </c>
      <c r="E396" s="1">
        <v>1885</v>
      </c>
      <c r="F396" s="1">
        <v>27180</v>
      </c>
      <c r="G396" s="1">
        <v>0.55510000000000004</v>
      </c>
      <c r="H396" s="1">
        <v>0.72519999999999996</v>
      </c>
      <c r="I396" s="1">
        <v>0.33019999999999999</v>
      </c>
      <c r="J396" s="1">
        <v>49203</v>
      </c>
      <c r="K396" s="1">
        <v>26000</v>
      </c>
      <c r="L396" s="1">
        <v>6798</v>
      </c>
      <c r="M396" s="1">
        <v>19</v>
      </c>
      <c r="N396" s="1" t="s">
        <v>20</v>
      </c>
      <c r="O396" s="1" t="s">
        <v>29</v>
      </c>
      <c r="P396" s="1" t="s">
        <v>30</v>
      </c>
      <c r="Q396" s="1" t="s">
        <v>31</v>
      </c>
      <c r="R396">
        <v>0.70968874385074698</v>
      </c>
    </row>
    <row r="397" spans="1:18" x14ac:dyDescent="0.2">
      <c r="A397" s="1">
        <v>173452</v>
      </c>
      <c r="B397" s="1" t="s">
        <v>470</v>
      </c>
      <c r="C397" s="1" t="s">
        <v>54</v>
      </c>
      <c r="D397" s="1">
        <v>0.87170000000000003</v>
      </c>
      <c r="E397" s="1">
        <v>725</v>
      </c>
      <c r="F397" s="1">
        <v>18120</v>
      </c>
      <c r="G397" s="1">
        <v>0.71499999999999997</v>
      </c>
      <c r="H397" s="1">
        <v>0.84670000000000001</v>
      </c>
      <c r="I397" s="1">
        <v>0.27050000000000002</v>
      </c>
      <c r="J397" s="1">
        <v>47491</v>
      </c>
      <c r="K397" s="1">
        <v>20177</v>
      </c>
      <c r="L397" s="1">
        <v>5088</v>
      </c>
      <c r="M397" s="1">
        <v>10</v>
      </c>
      <c r="N397" s="1" t="s">
        <v>20</v>
      </c>
      <c r="O397" s="1" t="s">
        <v>42</v>
      </c>
      <c r="P397" s="1" t="s">
        <v>22</v>
      </c>
      <c r="Q397" s="1" t="s">
        <v>31</v>
      </c>
      <c r="R397">
        <v>0.70941322044121324</v>
      </c>
    </row>
    <row r="398" spans="1:18" x14ac:dyDescent="0.2">
      <c r="A398" s="1">
        <v>186371</v>
      </c>
      <c r="B398" s="1" t="s">
        <v>471</v>
      </c>
      <c r="C398" s="1" t="s">
        <v>66</v>
      </c>
      <c r="D398" s="1">
        <v>0.66290000000000004</v>
      </c>
      <c r="E398" s="1">
        <v>3753</v>
      </c>
      <c r="F398" s="1">
        <v>37276</v>
      </c>
      <c r="G398" s="1">
        <v>0.66669999999999996</v>
      </c>
      <c r="H398" s="1">
        <v>0.8</v>
      </c>
      <c r="I398" s="1">
        <v>0.47710000000000002</v>
      </c>
      <c r="J398" s="1">
        <v>74479</v>
      </c>
      <c r="K398" s="1">
        <v>21500</v>
      </c>
      <c r="L398" s="1">
        <v>14127</v>
      </c>
      <c r="M398" s="1">
        <v>12</v>
      </c>
      <c r="N398" s="1" t="s">
        <v>28</v>
      </c>
      <c r="O398" s="1" t="s">
        <v>29</v>
      </c>
      <c r="P398" s="1" t="s">
        <v>39</v>
      </c>
      <c r="Q398" s="1" t="s">
        <v>23</v>
      </c>
      <c r="R398">
        <v>0.70940756703776409</v>
      </c>
    </row>
    <row r="399" spans="1:18" x14ac:dyDescent="0.2">
      <c r="A399" s="1">
        <v>147828</v>
      </c>
      <c r="B399" s="1" t="s">
        <v>472</v>
      </c>
      <c r="C399" s="1" t="s">
        <v>25</v>
      </c>
      <c r="D399" s="1">
        <v>0.55859999999999999</v>
      </c>
      <c r="E399" s="1">
        <v>2603</v>
      </c>
      <c r="F399" s="1">
        <v>38900</v>
      </c>
      <c r="G399" s="1">
        <v>0.60840000000000005</v>
      </c>
      <c r="H399" s="1">
        <v>0.70830000000000004</v>
      </c>
      <c r="I399" s="1">
        <v>0.38040000000000002</v>
      </c>
      <c r="J399" s="1">
        <v>53213</v>
      </c>
      <c r="K399" s="1">
        <v>25000</v>
      </c>
      <c r="L399" s="1">
        <v>7582</v>
      </c>
      <c r="M399" s="1">
        <v>15</v>
      </c>
      <c r="N399" s="1" t="s">
        <v>20</v>
      </c>
      <c r="O399" s="1" t="s">
        <v>21</v>
      </c>
      <c r="P399" s="1" t="s">
        <v>22</v>
      </c>
      <c r="Q399" s="1" t="s">
        <v>23</v>
      </c>
      <c r="R399">
        <v>0.70906335370299711</v>
      </c>
    </row>
    <row r="400" spans="1:18" x14ac:dyDescent="0.2">
      <c r="A400" s="1">
        <v>447953</v>
      </c>
      <c r="B400" s="1" t="s">
        <v>473</v>
      </c>
      <c r="C400" s="1" t="s">
        <v>33</v>
      </c>
      <c r="D400" s="1">
        <v>0.40679999999999999</v>
      </c>
      <c r="E400" s="1">
        <v>198</v>
      </c>
      <c r="F400" s="1">
        <v>10460</v>
      </c>
      <c r="G400" s="1">
        <v>0.84809999999999997</v>
      </c>
      <c r="H400" s="1">
        <v>0.64290000000000003</v>
      </c>
      <c r="I400" s="1">
        <v>0.44650000000000001</v>
      </c>
      <c r="J400" s="1">
        <v>35418</v>
      </c>
      <c r="K400" s="1">
        <v>26677</v>
      </c>
      <c r="L400" s="1">
        <v>5000</v>
      </c>
      <c r="M400" s="1">
        <v>18</v>
      </c>
      <c r="N400" s="1" t="s">
        <v>20</v>
      </c>
      <c r="O400" s="1" t="s">
        <v>21</v>
      </c>
      <c r="P400" s="1" t="s">
        <v>22</v>
      </c>
      <c r="Q400" s="1" t="s">
        <v>31</v>
      </c>
      <c r="R400">
        <v>0.70896302411043943</v>
      </c>
    </row>
    <row r="401" spans="1:18" x14ac:dyDescent="0.2">
      <c r="A401" s="1">
        <v>217633</v>
      </c>
      <c r="B401" s="1" t="s">
        <v>474</v>
      </c>
      <c r="C401" s="1" t="s">
        <v>155</v>
      </c>
      <c r="D401" s="1">
        <v>0.54710000000000003</v>
      </c>
      <c r="E401" s="1">
        <v>3183</v>
      </c>
      <c r="F401" s="1">
        <v>34970</v>
      </c>
      <c r="G401" s="1">
        <v>0.65680000000000005</v>
      </c>
      <c r="H401" s="1">
        <v>0.81859999999999999</v>
      </c>
      <c r="I401" s="1">
        <v>0.2077</v>
      </c>
      <c r="J401" s="1">
        <v>42101</v>
      </c>
      <c r="K401" s="1">
        <v>26700</v>
      </c>
      <c r="L401" s="1">
        <v>7635</v>
      </c>
      <c r="M401" s="1">
        <v>13</v>
      </c>
      <c r="N401" s="1" t="s">
        <v>20</v>
      </c>
      <c r="O401" s="1" t="s">
        <v>29</v>
      </c>
      <c r="P401" s="1" t="s">
        <v>30</v>
      </c>
      <c r="Q401" s="1" t="s">
        <v>31</v>
      </c>
      <c r="R401">
        <v>0.70849482182131707</v>
      </c>
    </row>
    <row r="402" spans="1:18" x14ac:dyDescent="0.2">
      <c r="A402" s="1">
        <v>196237</v>
      </c>
      <c r="B402" s="1" t="s">
        <v>475</v>
      </c>
      <c r="C402" s="1" t="s">
        <v>58</v>
      </c>
      <c r="D402" s="1">
        <v>0.83630000000000004</v>
      </c>
      <c r="E402" s="1">
        <v>4162</v>
      </c>
      <c r="F402" s="1">
        <v>18842</v>
      </c>
      <c r="G402" s="1">
        <v>0.44569999999999999</v>
      </c>
      <c r="H402" s="1">
        <v>0.7177</v>
      </c>
      <c r="I402" s="1">
        <v>0.49270000000000003</v>
      </c>
      <c r="J402" s="1">
        <v>58526</v>
      </c>
      <c r="K402" s="1">
        <v>14997</v>
      </c>
      <c r="L402" s="1">
        <v>10290</v>
      </c>
      <c r="M402" s="1">
        <v>17</v>
      </c>
      <c r="N402" s="1" t="s">
        <v>28</v>
      </c>
      <c r="O402" s="1" t="s">
        <v>21</v>
      </c>
      <c r="P402" s="1" t="s">
        <v>39</v>
      </c>
      <c r="Q402" s="1" t="s">
        <v>23</v>
      </c>
      <c r="R402">
        <v>0.70733401530714024</v>
      </c>
    </row>
    <row r="403" spans="1:18" x14ac:dyDescent="0.2">
      <c r="A403" s="1">
        <v>178615</v>
      </c>
      <c r="B403" s="1" t="s">
        <v>476</v>
      </c>
      <c r="C403" s="1" t="s">
        <v>77</v>
      </c>
      <c r="D403" s="1">
        <v>0.8377</v>
      </c>
      <c r="E403" s="1">
        <v>2513</v>
      </c>
      <c r="F403" s="1">
        <v>18566</v>
      </c>
      <c r="G403" s="1">
        <v>0.68530000000000002</v>
      </c>
      <c r="H403" s="1">
        <v>0.84740000000000004</v>
      </c>
      <c r="I403" s="1">
        <v>0.16539999999999999</v>
      </c>
      <c r="J403" s="1">
        <v>56280</v>
      </c>
      <c r="K403" s="1">
        <v>21000</v>
      </c>
      <c r="L403" s="1">
        <v>7584</v>
      </c>
      <c r="M403" s="1">
        <v>12</v>
      </c>
      <c r="N403" s="1" t="s">
        <v>28</v>
      </c>
      <c r="O403" s="1" t="s">
        <v>42</v>
      </c>
      <c r="P403" s="1" t="s">
        <v>22</v>
      </c>
      <c r="Q403" s="1" t="s">
        <v>23</v>
      </c>
      <c r="R403">
        <v>0.70699785574401652</v>
      </c>
    </row>
    <row r="404" spans="1:18" x14ac:dyDescent="0.2">
      <c r="A404" s="1">
        <v>240189</v>
      </c>
      <c r="B404" s="1" t="s">
        <v>477</v>
      </c>
      <c r="C404" s="1" t="s">
        <v>50</v>
      </c>
      <c r="D404" s="1">
        <v>0.85719999999999996</v>
      </c>
      <c r="E404" s="1">
        <v>9405</v>
      </c>
      <c r="F404" s="1">
        <v>18716</v>
      </c>
      <c r="G404" s="1">
        <v>0.58899999999999997</v>
      </c>
      <c r="H404" s="1">
        <v>0.78039999999999998</v>
      </c>
      <c r="I404" s="1">
        <v>0.25169999999999998</v>
      </c>
      <c r="J404" s="1">
        <v>55356</v>
      </c>
      <c r="K404" s="1">
        <v>23188</v>
      </c>
      <c r="L404" s="1">
        <v>9017</v>
      </c>
      <c r="M404" s="1">
        <v>21</v>
      </c>
      <c r="N404" s="1" t="s">
        <v>28</v>
      </c>
      <c r="O404" s="1" t="s">
        <v>42</v>
      </c>
      <c r="P404" s="1" t="s">
        <v>22</v>
      </c>
      <c r="Q404" s="1" t="s">
        <v>23</v>
      </c>
      <c r="R404">
        <v>0.70645593290209996</v>
      </c>
    </row>
    <row r="405" spans="1:18" x14ac:dyDescent="0.2">
      <c r="A405" s="1">
        <v>207306</v>
      </c>
      <c r="B405" s="1" t="s">
        <v>478</v>
      </c>
      <c r="C405" s="1" t="s">
        <v>224</v>
      </c>
      <c r="D405" s="1">
        <v>0.65449999999999997</v>
      </c>
      <c r="E405" s="1">
        <v>1498</v>
      </c>
      <c r="F405" s="1">
        <v>11664</v>
      </c>
      <c r="G405" s="1">
        <v>0.30349999999999999</v>
      </c>
      <c r="H405" s="1">
        <v>0.65069999999999995</v>
      </c>
      <c r="I405" s="1">
        <v>0.41420000000000001</v>
      </c>
      <c r="J405" s="1">
        <v>44358</v>
      </c>
      <c r="K405" s="1">
        <v>17355</v>
      </c>
      <c r="L405" s="1">
        <v>7182</v>
      </c>
      <c r="M405" s="1">
        <v>15</v>
      </c>
      <c r="N405" s="1" t="s">
        <v>28</v>
      </c>
      <c r="O405" s="1" t="s">
        <v>42</v>
      </c>
      <c r="P405" s="1" t="s">
        <v>30</v>
      </c>
      <c r="Q405" s="1" t="s">
        <v>31</v>
      </c>
      <c r="R405">
        <v>0.70597586440045468</v>
      </c>
    </row>
    <row r="406" spans="1:18" x14ac:dyDescent="0.2">
      <c r="A406" s="1">
        <v>218742</v>
      </c>
      <c r="B406" s="1" t="s">
        <v>479</v>
      </c>
      <c r="C406" s="1" t="s">
        <v>155</v>
      </c>
      <c r="D406" s="1">
        <v>0.67259999999999998</v>
      </c>
      <c r="E406" s="1">
        <v>4038</v>
      </c>
      <c r="F406" s="1">
        <v>23090</v>
      </c>
      <c r="G406" s="1">
        <v>0.4304</v>
      </c>
      <c r="H406" s="1">
        <v>0.69850000000000001</v>
      </c>
      <c r="I406" s="1">
        <v>0.46189999999999998</v>
      </c>
      <c r="J406" s="1">
        <v>48587</v>
      </c>
      <c r="K406" s="1">
        <v>22310</v>
      </c>
      <c r="L406" s="1">
        <v>8412</v>
      </c>
      <c r="M406" s="1">
        <v>15</v>
      </c>
      <c r="N406" s="1" t="s">
        <v>28</v>
      </c>
      <c r="O406" s="1" t="s">
        <v>21</v>
      </c>
      <c r="P406" s="1" t="s">
        <v>30</v>
      </c>
      <c r="Q406" s="1" t="s">
        <v>31</v>
      </c>
      <c r="R406">
        <v>0.70540104015962501</v>
      </c>
    </row>
    <row r="407" spans="1:18" x14ac:dyDescent="0.2">
      <c r="A407" s="1">
        <v>149222</v>
      </c>
      <c r="B407" s="1" t="s">
        <v>480</v>
      </c>
      <c r="C407" s="1" t="s">
        <v>25</v>
      </c>
      <c r="D407" s="1">
        <v>0.86880000000000002</v>
      </c>
      <c r="E407" s="1">
        <v>8494</v>
      </c>
      <c r="F407" s="1">
        <v>13334</v>
      </c>
      <c r="G407" s="1">
        <v>0.62409999999999999</v>
      </c>
      <c r="H407" s="1">
        <v>0.66800000000000004</v>
      </c>
      <c r="I407" s="1">
        <v>0.38829999999999998</v>
      </c>
      <c r="J407" s="1">
        <v>53390</v>
      </c>
      <c r="K407" s="1">
        <v>21543</v>
      </c>
      <c r="L407" s="1">
        <v>8501</v>
      </c>
      <c r="M407" s="1">
        <v>11</v>
      </c>
      <c r="N407" s="1" t="s">
        <v>28</v>
      </c>
      <c r="O407" s="1" t="s">
        <v>42</v>
      </c>
      <c r="P407" s="1" t="s">
        <v>22</v>
      </c>
      <c r="Q407" s="1" t="s">
        <v>23</v>
      </c>
      <c r="R407">
        <v>0.70524301764689645</v>
      </c>
    </row>
    <row r="408" spans="1:18" x14ac:dyDescent="0.2">
      <c r="A408" s="1">
        <v>195474</v>
      </c>
      <c r="B408" s="1" t="s">
        <v>481</v>
      </c>
      <c r="C408" s="1" t="s">
        <v>58</v>
      </c>
      <c r="D408" s="1">
        <v>0.69020000000000004</v>
      </c>
      <c r="E408" s="1">
        <v>3409</v>
      </c>
      <c r="F408" s="1">
        <v>46580</v>
      </c>
      <c r="G408" s="1">
        <v>0.74729999999999996</v>
      </c>
      <c r="H408" s="1">
        <v>0.82689999999999997</v>
      </c>
      <c r="I408" s="1">
        <v>0.24490000000000001</v>
      </c>
      <c r="J408" s="1">
        <v>76079</v>
      </c>
      <c r="K408" s="1">
        <v>26561</v>
      </c>
      <c r="L408" s="1">
        <v>9661</v>
      </c>
      <c r="M408" s="1">
        <v>12</v>
      </c>
      <c r="N408" s="1" t="s">
        <v>20</v>
      </c>
      <c r="O408" s="1" t="s">
        <v>21</v>
      </c>
      <c r="P408" s="1" t="s">
        <v>39</v>
      </c>
      <c r="Q408" s="1" t="s">
        <v>23</v>
      </c>
      <c r="R408">
        <v>0.70512645274690422</v>
      </c>
    </row>
    <row r="409" spans="1:18" x14ac:dyDescent="0.2">
      <c r="A409" s="1">
        <v>166692</v>
      </c>
      <c r="B409" s="1" t="s">
        <v>482</v>
      </c>
      <c r="C409" s="1" t="s">
        <v>129</v>
      </c>
      <c r="D409" s="1">
        <v>0.94699999999999995</v>
      </c>
      <c r="E409" s="1">
        <v>1395</v>
      </c>
      <c r="F409" s="1">
        <v>23722</v>
      </c>
      <c r="G409" s="1">
        <v>0.74060000000000004</v>
      </c>
      <c r="H409" s="1">
        <v>0.86799999999999999</v>
      </c>
      <c r="I409" s="1">
        <v>0.18959999999999999</v>
      </c>
      <c r="J409" s="1">
        <v>82392</v>
      </c>
      <c r="K409" s="1">
        <v>25000</v>
      </c>
      <c r="L409" s="1">
        <v>10073</v>
      </c>
      <c r="M409" s="1">
        <v>13</v>
      </c>
      <c r="N409" s="1" t="s">
        <v>28</v>
      </c>
      <c r="O409" s="1" t="s">
        <v>21</v>
      </c>
      <c r="P409" s="1" t="s">
        <v>39</v>
      </c>
      <c r="Q409" s="1" t="s">
        <v>23</v>
      </c>
      <c r="R409">
        <v>0.70419333598405665</v>
      </c>
    </row>
    <row r="410" spans="1:18" x14ac:dyDescent="0.2">
      <c r="A410" s="1">
        <v>203535</v>
      </c>
      <c r="B410" s="1" t="s">
        <v>483</v>
      </c>
      <c r="C410" s="1" t="s">
        <v>19</v>
      </c>
      <c r="D410" s="1">
        <v>0.31030000000000002</v>
      </c>
      <c r="E410" s="1">
        <v>1732</v>
      </c>
      <c r="F410" s="1">
        <v>71520</v>
      </c>
      <c r="G410" s="1">
        <v>0.82340000000000002</v>
      </c>
      <c r="H410" s="1">
        <v>0.9163</v>
      </c>
      <c r="I410" s="1">
        <v>9.5200000000000007E-2</v>
      </c>
      <c r="J410" s="1">
        <v>71830</v>
      </c>
      <c r="K410" s="1">
        <v>18527</v>
      </c>
      <c r="L410" s="1">
        <v>9767</v>
      </c>
      <c r="M410" s="1">
        <v>9</v>
      </c>
      <c r="N410" s="1" t="s">
        <v>20</v>
      </c>
      <c r="O410" s="1" t="s">
        <v>42</v>
      </c>
      <c r="P410" s="1" t="s">
        <v>22</v>
      </c>
      <c r="Q410" s="1" t="s">
        <v>23</v>
      </c>
      <c r="R410">
        <v>0.7041800794037204</v>
      </c>
    </row>
    <row r="411" spans="1:18" x14ac:dyDescent="0.2">
      <c r="A411" s="1">
        <v>190600</v>
      </c>
      <c r="B411" s="1" t="s">
        <v>484</v>
      </c>
      <c r="C411" s="1" t="s">
        <v>58</v>
      </c>
      <c r="D411" s="1">
        <v>0.57110000000000005</v>
      </c>
      <c r="E411" s="1">
        <v>11590</v>
      </c>
      <c r="F411" s="1">
        <v>15420</v>
      </c>
      <c r="G411" s="1">
        <v>0.55830000000000002</v>
      </c>
      <c r="H411" s="1">
        <v>0.81599999999999995</v>
      </c>
      <c r="I411" s="1">
        <v>0.59789999999999999</v>
      </c>
      <c r="J411" s="1">
        <v>56195</v>
      </c>
      <c r="K411" s="1">
        <v>11000</v>
      </c>
      <c r="L411" s="1">
        <v>12169</v>
      </c>
      <c r="M411" s="1">
        <v>16</v>
      </c>
      <c r="N411" s="1" t="s">
        <v>28</v>
      </c>
      <c r="O411" s="1" t="s">
        <v>29</v>
      </c>
      <c r="P411" s="1" t="s">
        <v>39</v>
      </c>
      <c r="Q411" s="1" t="s">
        <v>23</v>
      </c>
      <c r="R411">
        <v>0.70390474079846421</v>
      </c>
    </row>
    <row r="412" spans="1:18" x14ac:dyDescent="0.2">
      <c r="A412" s="1">
        <v>122931</v>
      </c>
      <c r="B412" s="1" t="s">
        <v>485</v>
      </c>
      <c r="C412" s="1" t="s">
        <v>33</v>
      </c>
      <c r="D412" s="1">
        <v>0.48</v>
      </c>
      <c r="E412" s="1">
        <v>6552</v>
      </c>
      <c r="F412" s="1">
        <v>61293</v>
      </c>
      <c r="G412" s="1">
        <v>0.87919999999999998</v>
      </c>
      <c r="H412" s="1">
        <v>0.93920000000000003</v>
      </c>
      <c r="I412" s="1">
        <v>0.11269999999999999</v>
      </c>
      <c r="J412" s="1">
        <v>109183</v>
      </c>
      <c r="K412" s="1">
        <v>19162</v>
      </c>
      <c r="L412" s="1">
        <v>14682</v>
      </c>
      <c r="M412" s="1">
        <v>11</v>
      </c>
      <c r="N412" s="1" t="s">
        <v>20</v>
      </c>
      <c r="O412" s="1" t="s">
        <v>29</v>
      </c>
      <c r="P412" s="1" t="s">
        <v>22</v>
      </c>
      <c r="Q412" s="1" t="s">
        <v>23</v>
      </c>
      <c r="R412">
        <v>0.7035316007832858</v>
      </c>
    </row>
    <row r="413" spans="1:18" x14ac:dyDescent="0.2">
      <c r="A413" s="1">
        <v>110556</v>
      </c>
      <c r="B413" s="1" t="s">
        <v>486</v>
      </c>
      <c r="C413" s="1" t="s">
        <v>33</v>
      </c>
      <c r="D413" s="1">
        <v>0.9526</v>
      </c>
      <c r="E413" s="1">
        <v>21605</v>
      </c>
      <c r="F413" s="1">
        <v>19950</v>
      </c>
      <c r="G413" s="1">
        <v>0.5696</v>
      </c>
      <c r="H413" s="1">
        <v>0.81569999999999998</v>
      </c>
      <c r="I413" s="1">
        <v>0.56969999999999998</v>
      </c>
      <c r="J413" s="1">
        <v>61244</v>
      </c>
      <c r="K413" s="1">
        <v>14505</v>
      </c>
      <c r="L413" s="1">
        <v>11540</v>
      </c>
      <c r="M413" s="1">
        <v>22</v>
      </c>
      <c r="N413" s="1" t="s">
        <v>28</v>
      </c>
      <c r="O413" s="1" t="s">
        <v>29</v>
      </c>
      <c r="P413" s="1" t="s">
        <v>22</v>
      </c>
      <c r="Q413" s="1" t="s">
        <v>23</v>
      </c>
      <c r="R413">
        <v>0.70348070364127757</v>
      </c>
    </row>
    <row r="414" spans="1:18" x14ac:dyDescent="0.2">
      <c r="A414" s="1">
        <v>214157</v>
      </c>
      <c r="B414" s="1" t="s">
        <v>487</v>
      </c>
      <c r="C414" s="1" t="s">
        <v>98</v>
      </c>
      <c r="D414" s="1">
        <v>0.54169999999999996</v>
      </c>
      <c r="E414" s="1">
        <v>1949</v>
      </c>
      <c r="F414" s="1">
        <v>53500</v>
      </c>
      <c r="G414" s="1">
        <v>0.71689999999999998</v>
      </c>
      <c r="H414" s="1">
        <v>0.79169999999999996</v>
      </c>
      <c r="I414" s="1">
        <v>0.31900000000000001</v>
      </c>
      <c r="J414" s="1">
        <v>61860</v>
      </c>
      <c r="K414" s="1">
        <v>26793</v>
      </c>
      <c r="L414" s="1">
        <v>8295</v>
      </c>
      <c r="M414" s="1">
        <v>10</v>
      </c>
      <c r="N414" s="1" t="s">
        <v>20</v>
      </c>
      <c r="O414" s="1" t="s">
        <v>29</v>
      </c>
      <c r="P414" s="1" t="s">
        <v>39</v>
      </c>
      <c r="Q414" s="1" t="s">
        <v>23</v>
      </c>
      <c r="R414">
        <v>0.70305152758277201</v>
      </c>
    </row>
    <row r="415" spans="1:18" x14ac:dyDescent="0.2">
      <c r="A415" s="1">
        <v>167598</v>
      </c>
      <c r="B415" s="1" t="s">
        <v>488</v>
      </c>
      <c r="C415" s="1" t="s">
        <v>129</v>
      </c>
      <c r="D415" s="1">
        <v>0.69779999999999998</v>
      </c>
      <c r="E415" s="1">
        <v>956</v>
      </c>
      <c r="F415" s="1">
        <v>49680</v>
      </c>
      <c r="G415" s="1">
        <v>0.72170000000000001</v>
      </c>
      <c r="H415" s="1">
        <v>0.78949999999999998</v>
      </c>
      <c r="I415" s="1">
        <v>0.31009999999999999</v>
      </c>
      <c r="J415" s="1">
        <v>52873</v>
      </c>
      <c r="K415" s="1">
        <v>25500</v>
      </c>
      <c r="L415" s="1">
        <v>9009</v>
      </c>
      <c r="M415" s="1">
        <v>9</v>
      </c>
      <c r="N415" s="1" t="s">
        <v>20</v>
      </c>
      <c r="O415" s="1" t="s">
        <v>21</v>
      </c>
      <c r="P415" s="1" t="s">
        <v>39</v>
      </c>
      <c r="Q415" s="1" t="s">
        <v>23</v>
      </c>
      <c r="R415">
        <v>0.70169487004183517</v>
      </c>
    </row>
    <row r="416" spans="1:18" x14ac:dyDescent="0.2">
      <c r="A416" s="1">
        <v>212911</v>
      </c>
      <c r="B416" s="1" t="s">
        <v>489</v>
      </c>
      <c r="C416" s="1" t="s">
        <v>98</v>
      </c>
      <c r="D416" s="1">
        <v>0.1237</v>
      </c>
      <c r="E416" s="1">
        <v>1430</v>
      </c>
      <c r="F416" s="1">
        <v>70688</v>
      </c>
      <c r="G416" s="1">
        <v>0.89639999999999997</v>
      </c>
      <c r="H416" s="1">
        <v>0.93830000000000002</v>
      </c>
      <c r="I416" s="1">
        <v>0.1545</v>
      </c>
      <c r="J416" s="1">
        <v>79966</v>
      </c>
      <c r="K416" s="1">
        <v>13621</v>
      </c>
      <c r="L416" s="1">
        <v>11785</v>
      </c>
      <c r="M416" s="1">
        <v>8</v>
      </c>
      <c r="N416" s="1" t="s">
        <v>20</v>
      </c>
      <c r="O416" s="1" t="s">
        <v>21</v>
      </c>
      <c r="P416" s="1" t="s">
        <v>39</v>
      </c>
      <c r="Q416" s="1" t="s">
        <v>23</v>
      </c>
      <c r="R416">
        <v>0.70167087881451506</v>
      </c>
    </row>
    <row r="417" spans="1:18" x14ac:dyDescent="0.2">
      <c r="A417" s="1">
        <v>178396</v>
      </c>
      <c r="B417" s="1" t="s">
        <v>490</v>
      </c>
      <c r="C417" s="1" t="s">
        <v>77</v>
      </c>
      <c r="D417" s="1">
        <v>0.78469999999999995</v>
      </c>
      <c r="E417" s="1">
        <v>23929</v>
      </c>
      <c r="F417" s="1">
        <v>36056</v>
      </c>
      <c r="G417" s="1">
        <v>0.74939999999999996</v>
      </c>
      <c r="H417" s="1">
        <v>0.92679999999999996</v>
      </c>
      <c r="I417" s="1">
        <v>0.20069999999999999</v>
      </c>
      <c r="J417" s="1">
        <v>63403</v>
      </c>
      <c r="K417" s="1">
        <v>20500</v>
      </c>
      <c r="L417" s="1">
        <v>11563</v>
      </c>
      <c r="M417" s="1">
        <v>17</v>
      </c>
      <c r="N417" s="1" t="s">
        <v>28</v>
      </c>
      <c r="O417" s="1" t="s">
        <v>29</v>
      </c>
      <c r="P417" s="1" t="s">
        <v>22</v>
      </c>
      <c r="Q417" s="1" t="s">
        <v>23</v>
      </c>
      <c r="R417">
        <v>0.70142392100661122</v>
      </c>
    </row>
    <row r="418" spans="1:18" x14ac:dyDescent="0.2">
      <c r="A418" s="1">
        <v>131159</v>
      </c>
      <c r="B418" s="1" t="s">
        <v>491</v>
      </c>
      <c r="C418" s="1" t="s">
        <v>84</v>
      </c>
      <c r="D418" s="1">
        <v>0.61960000000000004</v>
      </c>
      <c r="E418" s="1">
        <v>7266</v>
      </c>
      <c r="F418" s="1">
        <v>58771</v>
      </c>
      <c r="G418" s="1">
        <v>0.75490000000000002</v>
      </c>
      <c r="H418" s="1">
        <v>0.88200000000000001</v>
      </c>
      <c r="I418" s="1">
        <v>0.13880000000000001</v>
      </c>
      <c r="J418" s="1">
        <v>77370</v>
      </c>
      <c r="K418" s="1">
        <v>22750</v>
      </c>
      <c r="L418" s="1">
        <v>13722</v>
      </c>
      <c r="M418" s="1">
        <v>10</v>
      </c>
      <c r="N418" s="1" t="s">
        <v>20</v>
      </c>
      <c r="O418" s="1" t="s">
        <v>29</v>
      </c>
      <c r="P418" s="1" t="s">
        <v>30</v>
      </c>
      <c r="Q418" s="1" t="s">
        <v>23</v>
      </c>
      <c r="R418">
        <v>0.70117577914707263</v>
      </c>
    </row>
    <row r="419" spans="1:18" x14ac:dyDescent="0.2">
      <c r="A419" s="1">
        <v>175856</v>
      </c>
      <c r="B419" s="1" t="s">
        <v>492</v>
      </c>
      <c r="C419" s="1" t="s">
        <v>169</v>
      </c>
      <c r="D419" s="1">
        <v>0.93149999999999999</v>
      </c>
      <c r="E419" s="1">
        <v>4600</v>
      </c>
      <c r="F419" s="1">
        <v>11965</v>
      </c>
      <c r="G419" s="1">
        <v>0.5091</v>
      </c>
      <c r="H419" s="1">
        <v>0.62350000000000005</v>
      </c>
      <c r="I419" s="1">
        <v>0.72319999999999995</v>
      </c>
      <c r="J419" s="1">
        <v>39060</v>
      </c>
      <c r="K419" s="1">
        <v>30470</v>
      </c>
      <c r="L419" s="1">
        <v>7988</v>
      </c>
      <c r="M419" s="1">
        <v>14</v>
      </c>
      <c r="N419" s="1" t="s">
        <v>28</v>
      </c>
      <c r="O419" s="1" t="s">
        <v>29</v>
      </c>
      <c r="P419" s="1" t="s">
        <v>30</v>
      </c>
      <c r="Q419" s="1" t="s">
        <v>31</v>
      </c>
      <c r="R419">
        <v>0.70058326397346915</v>
      </c>
    </row>
    <row r="420" spans="1:18" x14ac:dyDescent="0.2">
      <c r="A420" s="1">
        <v>155937</v>
      </c>
      <c r="B420" s="1" t="s">
        <v>450</v>
      </c>
      <c r="C420" s="1" t="s">
        <v>56</v>
      </c>
      <c r="D420" s="1">
        <v>0.48170000000000002</v>
      </c>
      <c r="E420" s="1">
        <v>538</v>
      </c>
      <c r="F420" s="1">
        <v>33700</v>
      </c>
      <c r="G420" s="1">
        <v>0.41289999999999999</v>
      </c>
      <c r="H420" s="1">
        <v>0.50349999999999995</v>
      </c>
      <c r="I420" s="1">
        <v>0.37059999999999998</v>
      </c>
      <c r="J420" s="1">
        <v>45846</v>
      </c>
      <c r="K420" s="1">
        <v>24625</v>
      </c>
      <c r="L420" s="1">
        <v>4904</v>
      </c>
      <c r="M420" s="1">
        <v>8</v>
      </c>
      <c r="N420" s="1" t="s">
        <v>20</v>
      </c>
      <c r="O420" s="1" t="s">
        <v>42</v>
      </c>
      <c r="P420" s="1" t="s">
        <v>22</v>
      </c>
      <c r="Q420" s="1" t="s">
        <v>31</v>
      </c>
      <c r="R420">
        <v>0.69908607702143455</v>
      </c>
    </row>
    <row r="421" spans="1:18" x14ac:dyDescent="0.2">
      <c r="A421" s="1">
        <v>228802</v>
      </c>
      <c r="B421" s="1" t="s">
        <v>493</v>
      </c>
      <c r="C421" s="1" t="s">
        <v>36</v>
      </c>
      <c r="D421" s="1">
        <v>0.94020000000000004</v>
      </c>
      <c r="E421" s="1">
        <v>7440</v>
      </c>
      <c r="F421" s="1">
        <v>25494</v>
      </c>
      <c r="G421" s="1">
        <v>0.5413</v>
      </c>
      <c r="H421" s="1">
        <v>0.76780000000000004</v>
      </c>
      <c r="I421" s="1">
        <v>0.39739999999999998</v>
      </c>
      <c r="J421" s="1">
        <v>57053</v>
      </c>
      <c r="K421" s="1">
        <v>17137</v>
      </c>
      <c r="L421" s="1">
        <v>10385</v>
      </c>
      <c r="M421" s="1">
        <v>17</v>
      </c>
      <c r="N421" s="1" t="s">
        <v>28</v>
      </c>
      <c r="O421" s="1" t="s">
        <v>29</v>
      </c>
      <c r="P421" s="1" t="s">
        <v>30</v>
      </c>
      <c r="Q421" s="1" t="s">
        <v>23</v>
      </c>
      <c r="R421">
        <v>0.69873255714281246</v>
      </c>
    </row>
    <row r="422" spans="1:18" x14ac:dyDescent="0.2">
      <c r="A422" s="1">
        <v>182795</v>
      </c>
      <c r="B422" s="1" t="s">
        <v>494</v>
      </c>
      <c r="C422" s="1" t="s">
        <v>38</v>
      </c>
      <c r="D422" s="1">
        <v>0.93469999999999998</v>
      </c>
      <c r="E422" s="1">
        <v>992</v>
      </c>
      <c r="F422" s="1">
        <v>46442</v>
      </c>
      <c r="G422" s="1">
        <v>0.53510000000000002</v>
      </c>
      <c r="H422" s="1">
        <v>0.74339999999999995</v>
      </c>
      <c r="I422" s="1">
        <v>0.29299999999999998</v>
      </c>
      <c r="J422" s="1">
        <v>53353</v>
      </c>
      <c r="K422" s="1">
        <v>27000</v>
      </c>
      <c r="L422" s="1">
        <v>8428</v>
      </c>
      <c r="M422" s="1">
        <v>13</v>
      </c>
      <c r="N422" s="1" t="s">
        <v>20</v>
      </c>
      <c r="O422" s="1" t="s">
        <v>42</v>
      </c>
      <c r="P422" s="1" t="s">
        <v>39</v>
      </c>
      <c r="Q422" s="1" t="s">
        <v>23</v>
      </c>
      <c r="R422">
        <v>0.69640733303825564</v>
      </c>
    </row>
    <row r="423" spans="1:18" x14ac:dyDescent="0.2">
      <c r="A423" s="1">
        <v>228875</v>
      </c>
      <c r="B423" s="1" t="s">
        <v>495</v>
      </c>
      <c r="C423" s="1" t="s">
        <v>36</v>
      </c>
      <c r="D423" s="1">
        <v>0.44490000000000002</v>
      </c>
      <c r="E423" s="1">
        <v>11026</v>
      </c>
      <c r="F423" s="1">
        <v>61740</v>
      </c>
      <c r="G423" s="1">
        <v>0.85509999999999997</v>
      </c>
      <c r="H423" s="1">
        <v>0.92869999999999997</v>
      </c>
      <c r="I423" s="1">
        <v>0.14319999999999999</v>
      </c>
      <c r="J423" s="1">
        <v>68424</v>
      </c>
      <c r="K423" s="1">
        <v>21500</v>
      </c>
      <c r="L423" s="1">
        <v>13971</v>
      </c>
      <c r="M423" s="1">
        <v>14</v>
      </c>
      <c r="N423" s="1" t="s">
        <v>20</v>
      </c>
      <c r="O423" s="1" t="s">
        <v>29</v>
      </c>
      <c r="P423" s="1" t="s">
        <v>30</v>
      </c>
      <c r="Q423" s="1" t="s">
        <v>23</v>
      </c>
      <c r="R423">
        <v>0.69506541032298641</v>
      </c>
    </row>
    <row r="424" spans="1:18" x14ac:dyDescent="0.2">
      <c r="A424" s="1">
        <v>169080</v>
      </c>
      <c r="B424" s="1" t="s">
        <v>496</v>
      </c>
      <c r="C424" s="1" t="s">
        <v>109</v>
      </c>
      <c r="D424" s="1">
        <v>0.70909999999999995</v>
      </c>
      <c r="E424" s="1">
        <v>3193</v>
      </c>
      <c r="F424" s="1">
        <v>39350</v>
      </c>
      <c r="G424" s="1">
        <v>0.74060000000000004</v>
      </c>
      <c r="H424" s="1">
        <v>0.86760000000000004</v>
      </c>
      <c r="I424" s="1">
        <v>0.17430000000000001</v>
      </c>
      <c r="J424" s="1">
        <v>58375</v>
      </c>
      <c r="K424" s="1">
        <v>23250</v>
      </c>
      <c r="L424" s="1">
        <v>9559</v>
      </c>
      <c r="M424" s="1">
        <v>13</v>
      </c>
      <c r="N424" s="1" t="s">
        <v>20</v>
      </c>
      <c r="O424" s="1" t="s">
        <v>29</v>
      </c>
      <c r="P424" s="1" t="s">
        <v>22</v>
      </c>
      <c r="Q424" s="1" t="s">
        <v>23</v>
      </c>
      <c r="R424">
        <v>0.69426609612813406</v>
      </c>
    </row>
    <row r="425" spans="1:18" x14ac:dyDescent="0.2">
      <c r="A425" s="1">
        <v>197151</v>
      </c>
      <c r="B425" s="1" t="s">
        <v>497</v>
      </c>
      <c r="C425" s="1" t="s">
        <v>58</v>
      </c>
      <c r="D425" s="1">
        <v>0.9264</v>
      </c>
      <c r="E425" s="1">
        <v>3244</v>
      </c>
      <c r="F425" s="1">
        <v>51400</v>
      </c>
      <c r="G425" s="1">
        <v>0.75680000000000003</v>
      </c>
      <c r="H425" s="1">
        <v>0.8548</v>
      </c>
      <c r="I425" s="1">
        <v>0.15570000000000001</v>
      </c>
      <c r="J425" s="1">
        <v>46459</v>
      </c>
      <c r="K425" s="1">
        <v>27000</v>
      </c>
      <c r="L425" s="1">
        <v>4435</v>
      </c>
      <c r="M425" s="1">
        <v>9</v>
      </c>
      <c r="N425" s="1" t="s">
        <v>142</v>
      </c>
      <c r="O425" s="1" t="s">
        <v>29</v>
      </c>
      <c r="P425" s="1" t="s">
        <v>39</v>
      </c>
      <c r="Q425" s="1" t="s">
        <v>31</v>
      </c>
      <c r="R425">
        <v>0.6938224443709794</v>
      </c>
    </row>
    <row r="426" spans="1:18" x14ac:dyDescent="0.2">
      <c r="A426" s="1">
        <v>232308</v>
      </c>
      <c r="B426" s="1" t="s">
        <v>498</v>
      </c>
      <c r="C426" s="1" t="s">
        <v>52</v>
      </c>
      <c r="D426" s="1">
        <v>0.67949999999999999</v>
      </c>
      <c r="E426" s="1">
        <v>665</v>
      </c>
      <c r="F426" s="1">
        <v>43560</v>
      </c>
      <c r="G426" s="1">
        <v>0.64649999999999996</v>
      </c>
      <c r="H426" s="1">
        <v>0.73960000000000004</v>
      </c>
      <c r="I426" s="1">
        <v>0.39439999999999997</v>
      </c>
      <c r="J426" s="1">
        <v>40075</v>
      </c>
      <c r="K426" s="1">
        <v>27000</v>
      </c>
      <c r="L426" s="1">
        <v>7276</v>
      </c>
      <c r="M426" s="1">
        <v>8</v>
      </c>
      <c r="N426" s="1" t="s">
        <v>20</v>
      </c>
      <c r="O426" s="1" t="s">
        <v>21</v>
      </c>
      <c r="P426" s="1" t="s">
        <v>30</v>
      </c>
      <c r="Q426" s="1" t="s">
        <v>31</v>
      </c>
      <c r="R426">
        <v>0.69373632188162193</v>
      </c>
    </row>
    <row r="427" spans="1:18" x14ac:dyDescent="0.2">
      <c r="A427" s="1">
        <v>161563</v>
      </c>
      <c r="B427" s="1" t="s">
        <v>499</v>
      </c>
      <c r="C427" s="1" t="s">
        <v>74</v>
      </c>
      <c r="D427" s="1">
        <v>0.96299999999999997</v>
      </c>
      <c r="E427" s="1">
        <v>647</v>
      </c>
      <c r="F427" s="1">
        <v>31824</v>
      </c>
      <c r="G427" s="1">
        <v>0.53690000000000004</v>
      </c>
      <c r="H427" s="1">
        <v>0.77490000000000003</v>
      </c>
      <c r="I427" s="1">
        <v>0.18149999999999999</v>
      </c>
      <c r="J427" s="1">
        <v>44991</v>
      </c>
      <c r="K427" s="1">
        <v>24250</v>
      </c>
      <c r="L427" s="1">
        <v>7625</v>
      </c>
      <c r="M427" s="1">
        <v>20</v>
      </c>
      <c r="N427" s="1" t="s">
        <v>20</v>
      </c>
      <c r="O427" s="1" t="s">
        <v>42</v>
      </c>
      <c r="P427" s="1" t="s">
        <v>39</v>
      </c>
      <c r="Q427" s="1" t="s">
        <v>31</v>
      </c>
      <c r="R427">
        <v>0.69213623915570188</v>
      </c>
    </row>
    <row r="428" spans="1:18" x14ac:dyDescent="0.2">
      <c r="A428" s="1">
        <v>160074</v>
      </c>
      <c r="B428" s="1" t="s">
        <v>500</v>
      </c>
      <c r="C428" s="1" t="s">
        <v>46</v>
      </c>
      <c r="D428" s="1">
        <v>0.98699999999999999</v>
      </c>
      <c r="E428" s="1">
        <v>821</v>
      </c>
      <c r="F428" s="1">
        <v>18310</v>
      </c>
      <c r="G428" s="1">
        <v>0.45450000000000002</v>
      </c>
      <c r="H428" s="1">
        <v>0.63929999999999998</v>
      </c>
      <c r="I428" s="1">
        <v>0.31209999999999999</v>
      </c>
      <c r="J428" s="1">
        <v>59419</v>
      </c>
      <c r="K428" s="1">
        <v>27672</v>
      </c>
      <c r="L428" s="1">
        <v>8122</v>
      </c>
      <c r="M428" s="1">
        <v>14</v>
      </c>
      <c r="N428" s="1" t="s">
        <v>20</v>
      </c>
      <c r="O428" s="1" t="s">
        <v>29</v>
      </c>
      <c r="P428" s="1" t="s">
        <v>30</v>
      </c>
      <c r="Q428" s="1" t="s">
        <v>23</v>
      </c>
      <c r="R428">
        <v>0.69145951791918603</v>
      </c>
    </row>
    <row r="429" spans="1:18" x14ac:dyDescent="0.2">
      <c r="A429" s="1">
        <v>180106</v>
      </c>
      <c r="B429" s="1" t="s">
        <v>501</v>
      </c>
      <c r="C429" s="1" t="s">
        <v>95</v>
      </c>
      <c r="D429" s="1">
        <v>0.70930000000000004</v>
      </c>
      <c r="E429" s="1">
        <v>1092</v>
      </c>
      <c r="F429" s="1">
        <v>41484</v>
      </c>
      <c r="G429" s="1">
        <v>0.69289999999999996</v>
      </c>
      <c r="H429" s="1">
        <v>0.82050000000000001</v>
      </c>
      <c r="I429" s="1">
        <v>0.2024</v>
      </c>
      <c r="J429" s="1">
        <v>61772</v>
      </c>
      <c r="K429" s="1">
        <v>25757</v>
      </c>
      <c r="L429" s="1">
        <v>7620</v>
      </c>
      <c r="M429" s="1">
        <v>12</v>
      </c>
      <c r="N429" s="1" t="s">
        <v>20</v>
      </c>
      <c r="O429" s="1" t="s">
        <v>29</v>
      </c>
      <c r="P429" s="1" t="s">
        <v>22</v>
      </c>
      <c r="Q429" s="1" t="s">
        <v>23</v>
      </c>
      <c r="R429">
        <v>0.6911063510209795</v>
      </c>
    </row>
    <row r="430" spans="1:18" x14ac:dyDescent="0.2">
      <c r="A430" s="1">
        <v>196219</v>
      </c>
      <c r="B430" s="1" t="s">
        <v>502</v>
      </c>
      <c r="C430" s="1" t="s">
        <v>58</v>
      </c>
      <c r="D430" s="1">
        <v>0.74050000000000005</v>
      </c>
      <c r="E430" s="1">
        <v>3197</v>
      </c>
      <c r="F430" s="1">
        <v>19203</v>
      </c>
      <c r="G430" s="1">
        <v>0.62770000000000004</v>
      </c>
      <c r="H430" s="1">
        <v>0.80310000000000004</v>
      </c>
      <c r="I430" s="1">
        <v>0.35510000000000003</v>
      </c>
      <c r="J430" s="1">
        <v>45092</v>
      </c>
      <c r="K430" s="1">
        <v>21067</v>
      </c>
      <c r="L430" s="1">
        <v>8079</v>
      </c>
      <c r="M430" s="1">
        <v>12</v>
      </c>
      <c r="N430" s="1" t="s">
        <v>28</v>
      </c>
      <c r="O430" s="1" t="s">
        <v>21</v>
      </c>
      <c r="P430" s="1" t="s">
        <v>39</v>
      </c>
      <c r="Q430" s="1" t="s">
        <v>31</v>
      </c>
      <c r="R430">
        <v>0.69052316195065266</v>
      </c>
    </row>
    <row r="431" spans="1:18" x14ac:dyDescent="0.2">
      <c r="A431" s="1">
        <v>207388</v>
      </c>
      <c r="B431" s="1" t="s">
        <v>503</v>
      </c>
      <c r="C431" s="1" t="s">
        <v>224</v>
      </c>
      <c r="D431" s="1">
        <v>0.75039999999999996</v>
      </c>
      <c r="E431" s="1">
        <v>21773</v>
      </c>
      <c r="F431" s="1">
        <v>25754</v>
      </c>
      <c r="G431" s="1">
        <v>0.68169999999999997</v>
      </c>
      <c r="H431" s="1">
        <v>0.8478</v>
      </c>
      <c r="I431" s="1">
        <v>0.27989999999999998</v>
      </c>
      <c r="J431" s="1">
        <v>57413</v>
      </c>
      <c r="K431" s="1">
        <v>20500</v>
      </c>
      <c r="L431" s="1">
        <v>10704</v>
      </c>
      <c r="M431" s="1">
        <v>19</v>
      </c>
      <c r="N431" s="1" t="s">
        <v>28</v>
      </c>
      <c r="O431" s="1" t="s">
        <v>42</v>
      </c>
      <c r="P431" s="1" t="s">
        <v>30</v>
      </c>
      <c r="Q431" s="1" t="s">
        <v>23</v>
      </c>
      <c r="R431">
        <v>0.68887111802938061</v>
      </c>
    </row>
    <row r="432" spans="1:18" x14ac:dyDescent="0.2">
      <c r="A432" s="1">
        <v>176406</v>
      </c>
      <c r="B432" s="1" t="s">
        <v>504</v>
      </c>
      <c r="C432" s="1" t="s">
        <v>169</v>
      </c>
      <c r="D432" s="1">
        <v>0.59850000000000003</v>
      </c>
      <c r="E432" s="1">
        <v>639</v>
      </c>
      <c r="F432" s="1">
        <v>12407</v>
      </c>
      <c r="G432" s="1">
        <v>0.33110000000000001</v>
      </c>
      <c r="H432" s="1">
        <v>0.83199999999999996</v>
      </c>
      <c r="I432" s="1">
        <v>0.62729999999999997</v>
      </c>
      <c r="J432" s="1">
        <v>34724</v>
      </c>
      <c r="K432" s="1">
        <v>30046</v>
      </c>
      <c r="L432" s="1">
        <v>4012</v>
      </c>
      <c r="M432" s="1">
        <v>9</v>
      </c>
      <c r="N432" s="1" t="s">
        <v>20</v>
      </c>
      <c r="O432" s="1" t="s">
        <v>29</v>
      </c>
      <c r="P432" s="1" t="s">
        <v>30</v>
      </c>
      <c r="Q432" s="1" t="s">
        <v>31</v>
      </c>
      <c r="R432">
        <v>0.68881870615230978</v>
      </c>
    </row>
    <row r="433" spans="1:18" x14ac:dyDescent="0.2">
      <c r="A433" s="1">
        <v>197045</v>
      </c>
      <c r="B433" s="1" t="s">
        <v>505</v>
      </c>
      <c r="C433" s="1" t="s">
        <v>58</v>
      </c>
      <c r="D433" s="1">
        <v>0.91949999999999998</v>
      </c>
      <c r="E433" s="1">
        <v>2278</v>
      </c>
      <c r="F433" s="1">
        <v>26930</v>
      </c>
      <c r="G433" s="1">
        <v>0.56240000000000001</v>
      </c>
      <c r="H433" s="1">
        <v>0.70709999999999995</v>
      </c>
      <c r="I433" s="1">
        <v>0.3337</v>
      </c>
      <c r="J433" s="1">
        <v>63277</v>
      </c>
      <c r="K433" s="1">
        <v>22500</v>
      </c>
      <c r="L433" s="1">
        <v>9148</v>
      </c>
      <c r="M433" s="1">
        <v>12</v>
      </c>
      <c r="N433" s="1" t="s">
        <v>20</v>
      </c>
      <c r="O433" s="1" t="s">
        <v>29</v>
      </c>
      <c r="P433" s="1" t="s">
        <v>39</v>
      </c>
      <c r="Q433" s="1" t="s">
        <v>23</v>
      </c>
      <c r="R433">
        <v>0.6882566275835873</v>
      </c>
    </row>
    <row r="434" spans="1:18" x14ac:dyDescent="0.2">
      <c r="A434" s="1">
        <v>237899</v>
      </c>
      <c r="B434" s="1" t="s">
        <v>506</v>
      </c>
      <c r="C434" s="1" t="s">
        <v>255</v>
      </c>
      <c r="D434" s="1">
        <v>0.95960000000000001</v>
      </c>
      <c r="E434" s="1">
        <v>1321</v>
      </c>
      <c r="F434" s="1">
        <v>14990</v>
      </c>
      <c r="G434" s="1">
        <v>0.39179999999999998</v>
      </c>
      <c r="H434" s="1">
        <v>0.56730000000000003</v>
      </c>
      <c r="I434" s="1">
        <v>0.2014</v>
      </c>
      <c r="J434" s="1">
        <v>40492</v>
      </c>
      <c r="K434" s="1">
        <v>23338</v>
      </c>
      <c r="L434" s="1">
        <v>7141</v>
      </c>
      <c r="M434" s="1">
        <v>13</v>
      </c>
      <c r="N434" s="1" t="s">
        <v>28</v>
      </c>
      <c r="O434" s="1" t="s">
        <v>21</v>
      </c>
      <c r="P434" s="1" t="s">
        <v>30</v>
      </c>
      <c r="Q434" s="1" t="s">
        <v>31</v>
      </c>
      <c r="R434">
        <v>0.68786351646234656</v>
      </c>
    </row>
    <row r="435" spans="1:18" x14ac:dyDescent="0.2">
      <c r="A435" s="1">
        <v>238078</v>
      </c>
      <c r="B435" s="1" t="s">
        <v>507</v>
      </c>
      <c r="C435" s="1" t="s">
        <v>255</v>
      </c>
      <c r="D435" s="1">
        <v>0.63160000000000005</v>
      </c>
      <c r="E435" s="1">
        <v>589</v>
      </c>
      <c r="F435" s="1">
        <v>29875</v>
      </c>
      <c r="G435" s="1">
        <v>0.23330000000000001</v>
      </c>
      <c r="H435" s="1">
        <v>0.53659999999999997</v>
      </c>
      <c r="I435" s="1">
        <v>0.31559999999999999</v>
      </c>
      <c r="J435" s="1">
        <v>57949</v>
      </c>
      <c r="K435" s="1">
        <v>25125</v>
      </c>
      <c r="L435" s="1">
        <v>5906</v>
      </c>
      <c r="M435" s="1">
        <v>15</v>
      </c>
      <c r="N435" s="1" t="s">
        <v>20</v>
      </c>
      <c r="O435" s="1" t="s">
        <v>29</v>
      </c>
      <c r="P435" s="1" t="s">
        <v>30</v>
      </c>
      <c r="Q435" s="1" t="s">
        <v>23</v>
      </c>
      <c r="R435">
        <v>0.6870779172025665</v>
      </c>
    </row>
    <row r="436" spans="1:18" x14ac:dyDescent="0.2">
      <c r="A436" s="1">
        <v>121150</v>
      </c>
      <c r="B436" s="1" t="s">
        <v>508</v>
      </c>
      <c r="C436" s="1" t="s">
        <v>33</v>
      </c>
      <c r="D436" s="1">
        <v>0.62860000000000005</v>
      </c>
      <c r="E436" s="1">
        <v>3553</v>
      </c>
      <c r="F436" s="1">
        <v>69918</v>
      </c>
      <c r="G436" s="1">
        <v>0.83350000000000002</v>
      </c>
      <c r="H436" s="1">
        <v>0.87570000000000003</v>
      </c>
      <c r="I436" s="1">
        <v>0.20250000000000001</v>
      </c>
      <c r="J436" s="1">
        <v>82939</v>
      </c>
      <c r="K436" s="1">
        <v>23510</v>
      </c>
      <c r="L436" s="1">
        <v>14314</v>
      </c>
      <c r="M436" s="1">
        <v>12</v>
      </c>
      <c r="N436" s="1" t="s">
        <v>20</v>
      </c>
      <c r="O436" s="1" t="s">
        <v>21</v>
      </c>
      <c r="P436" s="1" t="s">
        <v>22</v>
      </c>
      <c r="Q436" s="1" t="s">
        <v>23</v>
      </c>
      <c r="R436">
        <v>0.68654380390834335</v>
      </c>
    </row>
    <row r="437" spans="1:18" x14ac:dyDescent="0.2">
      <c r="A437" s="1">
        <v>214801</v>
      </c>
      <c r="B437" s="1" t="s">
        <v>509</v>
      </c>
      <c r="C437" s="1" t="s">
        <v>98</v>
      </c>
      <c r="D437" s="1">
        <v>0.9677</v>
      </c>
      <c r="E437" s="1">
        <v>2877</v>
      </c>
      <c r="F437" s="1">
        <v>25664</v>
      </c>
      <c r="G437" s="1">
        <v>0.19750000000000001</v>
      </c>
      <c r="H437" s="1">
        <v>0.77229999999999999</v>
      </c>
      <c r="I437" s="1">
        <v>0.38769999999999999</v>
      </c>
      <c r="J437" s="1">
        <v>63435</v>
      </c>
      <c r="K437" s="1">
        <v>25000</v>
      </c>
      <c r="L437" s="1">
        <v>9204</v>
      </c>
      <c r="M437" s="1">
        <v>14</v>
      </c>
      <c r="N437" s="1" t="s">
        <v>28</v>
      </c>
      <c r="O437" s="1" t="s">
        <v>21</v>
      </c>
      <c r="P437" s="1" t="s">
        <v>39</v>
      </c>
      <c r="Q437" s="1" t="s">
        <v>23</v>
      </c>
      <c r="R437">
        <v>0.68647549991098367</v>
      </c>
    </row>
    <row r="438" spans="1:18" x14ac:dyDescent="0.2">
      <c r="A438" s="1">
        <v>216667</v>
      </c>
      <c r="B438" s="1" t="s">
        <v>510</v>
      </c>
      <c r="C438" s="1" t="s">
        <v>98</v>
      </c>
      <c r="D438" s="1">
        <v>0.80640000000000001</v>
      </c>
      <c r="E438" s="1">
        <v>1295</v>
      </c>
      <c r="F438" s="1">
        <v>29392</v>
      </c>
      <c r="G438" s="1">
        <v>0.69520000000000004</v>
      </c>
      <c r="H438" s="1">
        <v>0.81210000000000004</v>
      </c>
      <c r="I438" s="1">
        <v>0.3115</v>
      </c>
      <c r="J438" s="1">
        <v>67918</v>
      </c>
      <c r="K438" s="1">
        <v>27000</v>
      </c>
      <c r="L438" s="1">
        <v>8324</v>
      </c>
      <c r="M438" s="1">
        <v>11</v>
      </c>
      <c r="N438" s="1" t="s">
        <v>20</v>
      </c>
      <c r="O438" s="1" t="s">
        <v>21</v>
      </c>
      <c r="P438" s="1" t="s">
        <v>39</v>
      </c>
      <c r="Q438" s="1" t="s">
        <v>23</v>
      </c>
      <c r="R438">
        <v>0.68596630144356385</v>
      </c>
    </row>
    <row r="439" spans="1:18" x14ac:dyDescent="0.2">
      <c r="A439" s="1">
        <v>133951</v>
      </c>
      <c r="B439" s="1" t="s">
        <v>511</v>
      </c>
      <c r="C439" s="1" t="s">
        <v>27</v>
      </c>
      <c r="D439" s="1">
        <v>0.54659999999999997</v>
      </c>
      <c r="E439" s="1">
        <v>39508</v>
      </c>
      <c r="F439" s="1">
        <v>18964</v>
      </c>
      <c r="G439" s="1">
        <v>0.74429999999999996</v>
      </c>
      <c r="H439" s="1">
        <v>0.91849999999999998</v>
      </c>
      <c r="I439" s="1">
        <v>0.41370000000000001</v>
      </c>
      <c r="J439" s="1">
        <v>60249</v>
      </c>
      <c r="K439" s="1">
        <v>16500</v>
      </c>
      <c r="L439" s="1">
        <v>11817</v>
      </c>
      <c r="M439" s="1">
        <v>24</v>
      </c>
      <c r="N439" s="1" t="s">
        <v>28</v>
      </c>
      <c r="O439" s="1" t="s">
        <v>21</v>
      </c>
      <c r="P439" s="1" t="s">
        <v>30</v>
      </c>
      <c r="Q439" s="1" t="s">
        <v>23</v>
      </c>
      <c r="R439">
        <v>0.68555807104923216</v>
      </c>
    </row>
    <row r="440" spans="1:18" x14ac:dyDescent="0.2">
      <c r="A440" s="1">
        <v>165334</v>
      </c>
      <c r="B440" s="1" t="s">
        <v>512</v>
      </c>
      <c r="C440" s="1" t="s">
        <v>129</v>
      </c>
      <c r="D440" s="1">
        <v>0.39539999999999997</v>
      </c>
      <c r="E440" s="1">
        <v>2214</v>
      </c>
      <c r="F440" s="1">
        <v>58867</v>
      </c>
      <c r="G440" s="1">
        <v>0.76939999999999997</v>
      </c>
      <c r="H440" s="1">
        <v>0.86170000000000002</v>
      </c>
      <c r="I440" s="1">
        <v>0.23130000000000001</v>
      </c>
      <c r="J440" s="1">
        <v>62381</v>
      </c>
      <c r="K440" s="1">
        <v>26759</v>
      </c>
      <c r="L440" s="1">
        <v>12471</v>
      </c>
      <c r="M440" s="1">
        <v>8</v>
      </c>
      <c r="N440" s="1" t="s">
        <v>20</v>
      </c>
      <c r="O440" s="1" t="s">
        <v>29</v>
      </c>
      <c r="P440" s="1" t="s">
        <v>39</v>
      </c>
      <c r="Q440" s="1" t="s">
        <v>23</v>
      </c>
      <c r="R440">
        <v>0.68517023844651248</v>
      </c>
    </row>
    <row r="441" spans="1:18" x14ac:dyDescent="0.2">
      <c r="A441" s="1">
        <v>221847</v>
      </c>
      <c r="B441" s="1" t="s">
        <v>513</v>
      </c>
      <c r="C441" s="1" t="s">
        <v>163</v>
      </c>
      <c r="D441" s="1">
        <v>0.76129999999999998</v>
      </c>
      <c r="E441" s="1">
        <v>8698</v>
      </c>
      <c r="F441" s="1">
        <v>15576</v>
      </c>
      <c r="G441" s="1">
        <v>0.57669999999999999</v>
      </c>
      <c r="H441" s="1">
        <v>0.78159999999999996</v>
      </c>
      <c r="I441" s="1">
        <v>0.309</v>
      </c>
      <c r="J441" s="1">
        <v>48501</v>
      </c>
      <c r="K441" s="1">
        <v>15650</v>
      </c>
      <c r="L441" s="1">
        <v>9427</v>
      </c>
      <c r="M441" s="1">
        <v>16</v>
      </c>
      <c r="N441" s="1" t="s">
        <v>28</v>
      </c>
      <c r="O441" s="1" t="s">
        <v>42</v>
      </c>
      <c r="P441" s="1" t="s">
        <v>30</v>
      </c>
      <c r="Q441" s="1" t="s">
        <v>31</v>
      </c>
      <c r="R441">
        <v>0.68456226991470681</v>
      </c>
    </row>
    <row r="442" spans="1:18" x14ac:dyDescent="0.2">
      <c r="A442" s="1">
        <v>173258</v>
      </c>
      <c r="B442" s="1" t="s">
        <v>514</v>
      </c>
      <c r="C442" s="1" t="s">
        <v>54</v>
      </c>
      <c r="D442" s="1">
        <v>0.2041</v>
      </c>
      <c r="E442" s="1">
        <v>2086</v>
      </c>
      <c r="F442" s="1">
        <v>68892</v>
      </c>
      <c r="G442" s="1">
        <v>0.89600000000000002</v>
      </c>
      <c r="H442" s="1">
        <v>0.9647</v>
      </c>
      <c r="I442" s="1">
        <v>0.1653</v>
      </c>
      <c r="J442" s="1">
        <v>75525</v>
      </c>
      <c r="K442" s="1">
        <v>16750</v>
      </c>
      <c r="L442" s="1">
        <v>13960</v>
      </c>
      <c r="M442" s="1">
        <v>8</v>
      </c>
      <c r="N442" s="1" t="s">
        <v>20</v>
      </c>
      <c r="O442" s="1" t="s">
        <v>42</v>
      </c>
      <c r="P442" s="1" t="s">
        <v>22</v>
      </c>
      <c r="Q442" s="1" t="s">
        <v>23</v>
      </c>
      <c r="R442">
        <v>0.6845612172207679</v>
      </c>
    </row>
    <row r="443" spans="1:18" x14ac:dyDescent="0.2">
      <c r="A443" s="1">
        <v>179867</v>
      </c>
      <c r="B443" s="1" t="s">
        <v>515</v>
      </c>
      <c r="C443" s="1" t="s">
        <v>77</v>
      </c>
      <c r="D443" s="1">
        <v>0.1206</v>
      </c>
      <c r="E443" s="1">
        <v>7857</v>
      </c>
      <c r="F443" s="1">
        <v>65790</v>
      </c>
      <c r="G443" s="1">
        <v>0.94259999999999999</v>
      </c>
      <c r="H443" s="1">
        <v>0.94950000000000001</v>
      </c>
      <c r="I443" s="1">
        <v>0.17749999999999999</v>
      </c>
      <c r="J443" s="1">
        <v>86182</v>
      </c>
      <c r="K443" s="1">
        <v>17500</v>
      </c>
      <c r="L443" s="1">
        <v>16945</v>
      </c>
      <c r="M443" s="1">
        <v>7</v>
      </c>
      <c r="N443" s="1" t="s">
        <v>20</v>
      </c>
      <c r="O443" s="1" t="s">
        <v>21</v>
      </c>
      <c r="P443" s="1" t="s">
        <v>22</v>
      </c>
      <c r="Q443" s="1" t="s">
        <v>23</v>
      </c>
      <c r="R443">
        <v>0.68385512118189751</v>
      </c>
    </row>
    <row r="444" spans="1:18" x14ac:dyDescent="0.2">
      <c r="A444" s="1">
        <v>123457</v>
      </c>
      <c r="B444" s="1" t="s">
        <v>516</v>
      </c>
      <c r="C444" s="1" t="s">
        <v>33</v>
      </c>
      <c r="D444" s="1">
        <v>0.86029999999999995</v>
      </c>
      <c r="E444" s="1">
        <v>809</v>
      </c>
      <c r="F444" s="1">
        <v>39708</v>
      </c>
      <c r="G444" s="1">
        <v>0.4884</v>
      </c>
      <c r="H444" s="1">
        <v>0.60419999999999996</v>
      </c>
      <c r="I444" s="1">
        <v>0.44109999999999999</v>
      </c>
      <c r="J444" s="1">
        <v>54340</v>
      </c>
      <c r="K444" s="1">
        <v>18750</v>
      </c>
      <c r="L444" s="1">
        <v>7504</v>
      </c>
      <c r="M444" s="1">
        <v>17</v>
      </c>
      <c r="N444" s="1" t="s">
        <v>20</v>
      </c>
      <c r="O444" s="1" t="s">
        <v>29</v>
      </c>
      <c r="P444" s="1" t="s">
        <v>22</v>
      </c>
      <c r="Q444" s="1" t="s">
        <v>23</v>
      </c>
      <c r="R444">
        <v>0.68324815889535495</v>
      </c>
    </row>
    <row r="445" spans="1:18" x14ac:dyDescent="0.2">
      <c r="A445" s="1">
        <v>192110</v>
      </c>
      <c r="B445" s="1" t="s">
        <v>517</v>
      </c>
      <c r="C445" s="1" t="s">
        <v>58</v>
      </c>
      <c r="D445" s="1">
        <v>9.1499999999999998E-2</v>
      </c>
      <c r="E445" s="1">
        <v>468</v>
      </c>
      <c r="F445" s="1">
        <v>57950</v>
      </c>
      <c r="G445" s="1">
        <v>0.92559999999999998</v>
      </c>
      <c r="H445" s="1">
        <v>0.97889999999999999</v>
      </c>
      <c r="I445" s="1">
        <v>0.1389</v>
      </c>
      <c r="J445" s="1">
        <v>37827</v>
      </c>
      <c r="K445" s="1">
        <v>25500</v>
      </c>
      <c r="L445" s="1">
        <v>15261</v>
      </c>
      <c r="M445" s="1">
        <v>4</v>
      </c>
      <c r="N445" s="1" t="s">
        <v>20</v>
      </c>
      <c r="O445" s="1" t="s">
        <v>29</v>
      </c>
      <c r="P445" s="1" t="s">
        <v>39</v>
      </c>
      <c r="Q445" s="1" t="s">
        <v>31</v>
      </c>
      <c r="R445">
        <v>0.68268096204275519</v>
      </c>
    </row>
    <row r="446" spans="1:18" x14ac:dyDescent="0.2">
      <c r="A446" s="1">
        <v>111081</v>
      </c>
      <c r="B446" s="1" t="s">
        <v>518</v>
      </c>
      <c r="C446" s="1" t="s">
        <v>33</v>
      </c>
      <c r="D446" s="1">
        <v>0.32340000000000002</v>
      </c>
      <c r="E446" s="1">
        <v>860</v>
      </c>
      <c r="F446" s="1">
        <v>58996</v>
      </c>
      <c r="G446" s="1">
        <v>0.66669999999999996</v>
      </c>
      <c r="H446" s="1">
        <v>0.82389999999999997</v>
      </c>
      <c r="I446" s="1">
        <v>0.2424</v>
      </c>
      <c r="J446" s="1">
        <v>41198</v>
      </c>
      <c r="K446" s="1">
        <v>25000</v>
      </c>
      <c r="L446" s="1">
        <v>10095</v>
      </c>
      <c r="M446" s="1">
        <v>7</v>
      </c>
      <c r="N446" s="1" t="s">
        <v>20</v>
      </c>
      <c r="O446" s="1" t="s">
        <v>21</v>
      </c>
      <c r="P446" s="1" t="s">
        <v>22</v>
      </c>
      <c r="Q446" s="1" t="s">
        <v>31</v>
      </c>
      <c r="R446">
        <v>0.68097037822082085</v>
      </c>
    </row>
    <row r="447" spans="1:18" x14ac:dyDescent="0.2">
      <c r="A447" s="1">
        <v>150136</v>
      </c>
      <c r="B447" s="1" t="s">
        <v>519</v>
      </c>
      <c r="C447" s="1" t="s">
        <v>102</v>
      </c>
      <c r="D447" s="1">
        <v>0.85499999999999998</v>
      </c>
      <c r="E447" s="1">
        <v>13988</v>
      </c>
      <c r="F447" s="1">
        <v>29630</v>
      </c>
      <c r="G447" s="1">
        <v>0.62339999999999995</v>
      </c>
      <c r="H447" s="1">
        <v>0.77700000000000002</v>
      </c>
      <c r="I447" s="1">
        <v>0.34710000000000002</v>
      </c>
      <c r="J447" s="1">
        <v>51833</v>
      </c>
      <c r="K447" s="1">
        <v>23250</v>
      </c>
      <c r="L447" s="1">
        <v>8408</v>
      </c>
      <c r="M447" s="1">
        <v>14</v>
      </c>
      <c r="N447" s="1" t="s">
        <v>28</v>
      </c>
      <c r="O447" s="1" t="s">
        <v>29</v>
      </c>
      <c r="P447" s="1" t="s">
        <v>22</v>
      </c>
      <c r="Q447" s="1" t="s">
        <v>23</v>
      </c>
      <c r="R447">
        <v>0.68008082738648634</v>
      </c>
    </row>
    <row r="448" spans="1:18" x14ac:dyDescent="0.2">
      <c r="A448" s="1">
        <v>176053</v>
      </c>
      <c r="B448" s="1" t="s">
        <v>520</v>
      </c>
      <c r="C448" s="1" t="s">
        <v>169</v>
      </c>
      <c r="D448" s="1">
        <v>0.29110000000000003</v>
      </c>
      <c r="E448" s="1">
        <v>2518</v>
      </c>
      <c r="F448" s="1">
        <v>23500</v>
      </c>
      <c r="G448" s="1">
        <v>0.59340000000000004</v>
      </c>
      <c r="H448" s="1">
        <v>0.77759999999999996</v>
      </c>
      <c r="I448" s="1">
        <v>0.2964</v>
      </c>
      <c r="J448" s="1">
        <v>47485</v>
      </c>
      <c r="K448" s="1">
        <v>22500</v>
      </c>
      <c r="L448" s="1">
        <v>7995</v>
      </c>
      <c r="M448" s="1">
        <v>14</v>
      </c>
      <c r="N448" s="1" t="s">
        <v>20</v>
      </c>
      <c r="O448" s="1" t="s">
        <v>21</v>
      </c>
      <c r="P448" s="1" t="s">
        <v>30</v>
      </c>
      <c r="Q448" s="1" t="s">
        <v>31</v>
      </c>
      <c r="R448">
        <v>0.67964864217984511</v>
      </c>
    </row>
    <row r="449" spans="1:18" x14ac:dyDescent="0.2">
      <c r="A449" s="1">
        <v>194958</v>
      </c>
      <c r="B449" s="1" t="s">
        <v>521</v>
      </c>
      <c r="C449" s="1" t="s">
        <v>58</v>
      </c>
      <c r="D449" s="1">
        <v>0.70630000000000004</v>
      </c>
      <c r="E449" s="1">
        <v>1149</v>
      </c>
      <c r="F449" s="1">
        <v>38826</v>
      </c>
      <c r="G449" s="1">
        <v>0.66669999999999996</v>
      </c>
      <c r="H449" s="1">
        <v>0.83599999999999997</v>
      </c>
      <c r="I449" s="1">
        <v>0.35420000000000001</v>
      </c>
      <c r="J449" s="1">
        <v>55031</v>
      </c>
      <c r="K449" s="1">
        <v>23750</v>
      </c>
      <c r="L449" s="1">
        <v>7175</v>
      </c>
      <c r="M449" s="1">
        <v>7</v>
      </c>
      <c r="N449" s="1" t="s">
        <v>20</v>
      </c>
      <c r="O449" s="1" t="s">
        <v>21</v>
      </c>
      <c r="P449" s="1" t="s">
        <v>39</v>
      </c>
      <c r="Q449" s="1" t="s">
        <v>23</v>
      </c>
      <c r="R449">
        <v>0.67872014316601259</v>
      </c>
    </row>
    <row r="450" spans="1:18" x14ac:dyDescent="0.2">
      <c r="A450" s="1">
        <v>232681</v>
      </c>
      <c r="B450" s="1" t="s">
        <v>522</v>
      </c>
      <c r="C450" s="1" t="s">
        <v>52</v>
      </c>
      <c r="D450" s="1">
        <v>0.79779999999999995</v>
      </c>
      <c r="E450" s="1">
        <v>3566</v>
      </c>
      <c r="F450" s="1">
        <v>27560</v>
      </c>
      <c r="G450" s="1">
        <v>0.66410000000000002</v>
      </c>
      <c r="H450" s="1">
        <v>0.84399999999999997</v>
      </c>
      <c r="I450" s="1">
        <v>0.21049999999999999</v>
      </c>
      <c r="J450" s="1">
        <v>60613</v>
      </c>
      <c r="K450" s="1">
        <v>20500</v>
      </c>
      <c r="L450" s="1">
        <v>9957</v>
      </c>
      <c r="M450" s="1">
        <v>13</v>
      </c>
      <c r="N450" s="1" t="s">
        <v>28</v>
      </c>
      <c r="O450" s="1" t="s">
        <v>21</v>
      </c>
      <c r="P450" s="1" t="s">
        <v>30</v>
      </c>
      <c r="Q450" s="1" t="s">
        <v>23</v>
      </c>
      <c r="R450">
        <v>0.67839920707719437</v>
      </c>
    </row>
    <row r="451" spans="1:18" x14ac:dyDescent="0.2">
      <c r="A451" s="1">
        <v>463056</v>
      </c>
      <c r="B451" s="1" t="s">
        <v>523</v>
      </c>
      <c r="C451" s="1" t="s">
        <v>147</v>
      </c>
      <c r="D451" s="1">
        <v>0.88329999999999997</v>
      </c>
      <c r="E451" s="1">
        <v>1525</v>
      </c>
      <c r="F451" s="1">
        <v>40798</v>
      </c>
      <c r="G451" s="1">
        <v>0.65049999999999997</v>
      </c>
      <c r="H451" s="1">
        <v>0.83730000000000004</v>
      </c>
      <c r="I451" s="1">
        <v>0.45650000000000002</v>
      </c>
      <c r="J451" s="1">
        <v>73997</v>
      </c>
      <c r="K451" s="1">
        <v>21500</v>
      </c>
      <c r="L451" s="1">
        <v>17573</v>
      </c>
      <c r="M451" s="1">
        <v>26</v>
      </c>
      <c r="N451" s="1" t="s">
        <v>28</v>
      </c>
      <c r="O451" s="1" t="s">
        <v>29</v>
      </c>
      <c r="P451" s="1" t="s">
        <v>39</v>
      </c>
      <c r="Q451" s="1" t="s">
        <v>23</v>
      </c>
      <c r="R451">
        <v>0.67725751950405144</v>
      </c>
    </row>
    <row r="452" spans="1:18" x14ac:dyDescent="0.2">
      <c r="A452" s="1">
        <v>154095</v>
      </c>
      <c r="B452" s="1" t="s">
        <v>524</v>
      </c>
      <c r="C452" s="1" t="s">
        <v>81</v>
      </c>
      <c r="D452" s="1">
        <v>0.9274</v>
      </c>
      <c r="E452" s="1">
        <v>7529</v>
      </c>
      <c r="F452" s="1">
        <v>21712</v>
      </c>
      <c r="G452" s="1">
        <v>0.67920000000000003</v>
      </c>
      <c r="H452" s="1">
        <v>0.81659999999999999</v>
      </c>
      <c r="I452" s="1">
        <v>0.27389999999999998</v>
      </c>
      <c r="J452" s="1">
        <v>55177</v>
      </c>
      <c r="K452" s="1">
        <v>19691</v>
      </c>
      <c r="L452" s="1">
        <v>8542</v>
      </c>
      <c r="M452" s="1">
        <v>18</v>
      </c>
      <c r="N452" s="1" t="s">
        <v>28</v>
      </c>
      <c r="O452" s="1" t="s">
        <v>29</v>
      </c>
      <c r="P452" s="1" t="s">
        <v>22</v>
      </c>
      <c r="Q452" s="1" t="s">
        <v>23</v>
      </c>
      <c r="R452">
        <v>0.67665166491657036</v>
      </c>
    </row>
    <row r="453" spans="1:18" x14ac:dyDescent="0.2">
      <c r="A453" s="1">
        <v>101879</v>
      </c>
      <c r="B453" s="1" t="s">
        <v>525</v>
      </c>
      <c r="C453" s="1" t="s">
        <v>177</v>
      </c>
      <c r="D453" s="1">
        <v>0.87309999999999999</v>
      </c>
      <c r="E453" s="1">
        <v>5811</v>
      </c>
      <c r="F453" s="1">
        <v>22320</v>
      </c>
      <c r="G453" s="1">
        <v>0.54910000000000003</v>
      </c>
      <c r="H453" s="1">
        <v>0.79690000000000005</v>
      </c>
      <c r="I453" s="1">
        <v>0.24349999999999999</v>
      </c>
      <c r="J453" s="1">
        <v>45415</v>
      </c>
      <c r="K453" s="1">
        <v>22077</v>
      </c>
      <c r="L453" s="1">
        <v>9167</v>
      </c>
      <c r="M453" s="1">
        <v>18</v>
      </c>
      <c r="N453" s="1" t="s">
        <v>28</v>
      </c>
      <c r="O453" s="1" t="s">
        <v>29</v>
      </c>
      <c r="P453" s="1" t="s">
        <v>30</v>
      </c>
      <c r="Q453" s="1" t="s">
        <v>31</v>
      </c>
      <c r="R453">
        <v>0.6742104608922348</v>
      </c>
    </row>
    <row r="454" spans="1:18" x14ac:dyDescent="0.2">
      <c r="A454" s="1">
        <v>185262</v>
      </c>
      <c r="B454" s="1" t="s">
        <v>526</v>
      </c>
      <c r="C454" s="1" t="s">
        <v>66</v>
      </c>
      <c r="D454" s="1">
        <v>0.75900000000000001</v>
      </c>
      <c r="E454" s="1">
        <v>11433</v>
      </c>
      <c r="F454" s="1">
        <v>22446</v>
      </c>
      <c r="G454" s="1">
        <v>0.4657</v>
      </c>
      <c r="H454" s="1">
        <v>0.76070000000000004</v>
      </c>
      <c r="I454" s="1">
        <v>0.4793</v>
      </c>
      <c r="J454" s="1">
        <v>57237</v>
      </c>
      <c r="K454" s="1">
        <v>23250</v>
      </c>
      <c r="L454" s="1">
        <v>10488</v>
      </c>
      <c r="M454" s="1">
        <v>17</v>
      </c>
      <c r="N454" s="1" t="s">
        <v>28</v>
      </c>
      <c r="O454" s="1" t="s">
        <v>21</v>
      </c>
      <c r="P454" s="1" t="s">
        <v>39</v>
      </c>
      <c r="Q454" s="1" t="s">
        <v>23</v>
      </c>
      <c r="R454">
        <v>0.6731981454039816</v>
      </c>
    </row>
    <row r="455" spans="1:18" x14ac:dyDescent="0.2">
      <c r="A455" s="1">
        <v>176947</v>
      </c>
      <c r="B455" s="1" t="s">
        <v>527</v>
      </c>
      <c r="C455" s="1" t="s">
        <v>77</v>
      </c>
      <c r="D455" s="1">
        <v>0.56869999999999998</v>
      </c>
      <c r="E455" s="1">
        <v>1040</v>
      </c>
      <c r="F455" s="1">
        <v>28260</v>
      </c>
      <c r="G455" s="1">
        <v>0.51229999999999998</v>
      </c>
      <c r="H455" s="1">
        <v>0.61839999999999995</v>
      </c>
      <c r="I455" s="1">
        <v>0.40279999999999999</v>
      </c>
      <c r="J455" s="1">
        <v>48991</v>
      </c>
      <c r="K455" s="1">
        <v>17619</v>
      </c>
      <c r="L455" s="1">
        <v>6712</v>
      </c>
      <c r="M455" s="1">
        <v>12</v>
      </c>
      <c r="N455" s="1" t="s">
        <v>20</v>
      </c>
      <c r="O455" s="1" t="s">
        <v>42</v>
      </c>
      <c r="P455" s="1" t="s">
        <v>22</v>
      </c>
      <c r="Q455" s="1" t="s">
        <v>31</v>
      </c>
      <c r="R455">
        <v>0.67295076803243437</v>
      </c>
    </row>
    <row r="456" spans="1:18" x14ac:dyDescent="0.2">
      <c r="A456" s="1">
        <v>220181</v>
      </c>
      <c r="B456" s="1" t="s">
        <v>528</v>
      </c>
      <c r="C456" s="1" t="s">
        <v>163</v>
      </c>
      <c r="D456" s="1">
        <v>0.37419999999999998</v>
      </c>
      <c r="E456" s="1">
        <v>1035</v>
      </c>
      <c r="F456" s="1">
        <v>25858</v>
      </c>
      <c r="G456" s="1">
        <v>0.29930000000000001</v>
      </c>
      <c r="H456" s="1">
        <v>0.73809999999999998</v>
      </c>
      <c r="I456" s="1">
        <v>0.51790000000000003</v>
      </c>
      <c r="J456" s="1">
        <v>45454</v>
      </c>
      <c r="K456" s="1">
        <v>27000</v>
      </c>
      <c r="L456" s="1">
        <v>6116</v>
      </c>
      <c r="M456" s="1">
        <v>12</v>
      </c>
      <c r="N456" s="1" t="s">
        <v>20</v>
      </c>
      <c r="O456" s="1" t="s">
        <v>29</v>
      </c>
      <c r="P456" s="1" t="s">
        <v>30</v>
      </c>
      <c r="Q456" s="1" t="s">
        <v>31</v>
      </c>
      <c r="R456">
        <v>0.67286652987419415</v>
      </c>
    </row>
    <row r="457" spans="1:18" x14ac:dyDescent="0.2">
      <c r="A457" s="1">
        <v>455770</v>
      </c>
      <c r="B457" s="1" t="s">
        <v>529</v>
      </c>
      <c r="C457" s="1" t="s">
        <v>33</v>
      </c>
      <c r="D457" s="1">
        <v>1</v>
      </c>
      <c r="E457" s="1">
        <v>168</v>
      </c>
      <c r="F457" s="1">
        <v>36963</v>
      </c>
      <c r="G457" s="1">
        <v>0.2</v>
      </c>
      <c r="H457" s="1">
        <v>0.78569999999999995</v>
      </c>
      <c r="I457" s="1">
        <v>0.31290000000000001</v>
      </c>
      <c r="J457" s="1">
        <v>46264</v>
      </c>
      <c r="K457" s="1">
        <v>25000</v>
      </c>
      <c r="L457" s="1">
        <v>6313</v>
      </c>
      <c r="M457" s="1">
        <v>17</v>
      </c>
      <c r="N457" s="1" t="s">
        <v>20</v>
      </c>
      <c r="O457" s="1" t="s">
        <v>29</v>
      </c>
      <c r="P457" s="1" t="s">
        <v>22</v>
      </c>
      <c r="Q457" s="1" t="s">
        <v>31</v>
      </c>
      <c r="R457">
        <v>0.67278476273974275</v>
      </c>
    </row>
    <row r="458" spans="1:18" x14ac:dyDescent="0.2">
      <c r="A458" s="1">
        <v>144281</v>
      </c>
      <c r="B458" s="1" t="s">
        <v>530</v>
      </c>
      <c r="C458" s="1" t="s">
        <v>25</v>
      </c>
      <c r="D458" s="1">
        <v>0.89459999999999995</v>
      </c>
      <c r="E458" s="1">
        <v>5368</v>
      </c>
      <c r="F458" s="1">
        <v>34088</v>
      </c>
      <c r="G458" s="1">
        <v>0.51549999999999996</v>
      </c>
      <c r="H458" s="1">
        <v>0.6603</v>
      </c>
      <c r="I458" s="1">
        <v>0.45960000000000001</v>
      </c>
      <c r="J458" s="1">
        <v>42195</v>
      </c>
      <c r="K458" s="1">
        <v>25000</v>
      </c>
      <c r="L458" s="1">
        <v>9323</v>
      </c>
      <c r="M458" s="1">
        <v>15</v>
      </c>
      <c r="N458" s="1" t="s">
        <v>20</v>
      </c>
      <c r="O458" s="1" t="s">
        <v>29</v>
      </c>
      <c r="P458" s="1" t="s">
        <v>22</v>
      </c>
      <c r="Q458" s="1" t="s">
        <v>31</v>
      </c>
      <c r="R458">
        <v>0.67184255031976348</v>
      </c>
    </row>
    <row r="459" spans="1:18" x14ac:dyDescent="0.2">
      <c r="A459" s="1">
        <v>190099</v>
      </c>
      <c r="B459" s="1" t="s">
        <v>531</v>
      </c>
      <c r="C459" s="1" t="s">
        <v>58</v>
      </c>
      <c r="D459" s="1">
        <v>0.13880000000000001</v>
      </c>
      <c r="E459" s="1">
        <v>3180</v>
      </c>
      <c r="F459" s="1">
        <v>70306</v>
      </c>
      <c r="G459" s="1">
        <v>0.91169999999999995</v>
      </c>
      <c r="H459" s="1">
        <v>0.93430000000000002</v>
      </c>
      <c r="I459" s="1">
        <v>0.12520000000000001</v>
      </c>
      <c r="J459" s="1">
        <v>85139</v>
      </c>
      <c r="K459" s="1">
        <v>15000</v>
      </c>
      <c r="L459" s="1">
        <v>13098</v>
      </c>
      <c r="M459" s="1">
        <v>9</v>
      </c>
      <c r="N459" s="1" t="s">
        <v>20</v>
      </c>
      <c r="O459" s="1" t="s">
        <v>42</v>
      </c>
      <c r="P459" s="1" t="s">
        <v>39</v>
      </c>
      <c r="Q459" s="1" t="s">
        <v>23</v>
      </c>
      <c r="R459">
        <v>0.6712050594181439</v>
      </c>
    </row>
    <row r="460" spans="1:18" x14ac:dyDescent="0.2">
      <c r="A460" s="1">
        <v>217059</v>
      </c>
      <c r="B460" s="1" t="s">
        <v>532</v>
      </c>
      <c r="C460" s="1" t="s">
        <v>98</v>
      </c>
      <c r="D460" s="1">
        <v>0.73740000000000006</v>
      </c>
      <c r="E460" s="1">
        <v>3265</v>
      </c>
      <c r="F460" s="1">
        <v>25588</v>
      </c>
      <c r="G460" s="1">
        <v>0.64100000000000001</v>
      </c>
      <c r="H460" s="1">
        <v>0.78210000000000002</v>
      </c>
      <c r="I460" s="1">
        <v>0.28079999999999999</v>
      </c>
      <c r="J460" s="1">
        <v>61012</v>
      </c>
      <c r="K460" s="1">
        <v>26000</v>
      </c>
      <c r="L460" s="1">
        <v>9539</v>
      </c>
      <c r="M460" s="1">
        <v>15</v>
      </c>
      <c r="N460" s="1" t="s">
        <v>20</v>
      </c>
      <c r="O460" s="1" t="s">
        <v>21</v>
      </c>
      <c r="P460" s="1" t="s">
        <v>39</v>
      </c>
      <c r="Q460" s="1" t="s">
        <v>23</v>
      </c>
      <c r="R460">
        <v>0.6709642801010558</v>
      </c>
    </row>
    <row r="461" spans="1:18" x14ac:dyDescent="0.2">
      <c r="A461" s="1">
        <v>204185</v>
      </c>
      <c r="B461" s="1" t="s">
        <v>533</v>
      </c>
      <c r="C461" s="1" t="s">
        <v>19</v>
      </c>
      <c r="D461" s="1">
        <v>0.78200000000000003</v>
      </c>
      <c r="E461" s="1">
        <v>1995</v>
      </c>
      <c r="F461" s="1">
        <v>36600</v>
      </c>
      <c r="G461" s="1">
        <v>0.58650000000000002</v>
      </c>
      <c r="H461" s="1">
        <v>0.76680000000000004</v>
      </c>
      <c r="I461" s="1">
        <v>0.2782</v>
      </c>
      <c r="J461" s="1">
        <v>53217</v>
      </c>
      <c r="K461" s="1">
        <v>27000</v>
      </c>
      <c r="L461" s="1">
        <v>7830</v>
      </c>
      <c r="M461" s="1">
        <v>15</v>
      </c>
      <c r="N461" s="1" t="s">
        <v>20</v>
      </c>
      <c r="O461" s="1" t="s">
        <v>42</v>
      </c>
      <c r="P461" s="1" t="s">
        <v>22</v>
      </c>
      <c r="Q461" s="1" t="s">
        <v>23</v>
      </c>
      <c r="R461">
        <v>0.67044455444370399</v>
      </c>
    </row>
    <row r="462" spans="1:18" x14ac:dyDescent="0.2">
      <c r="A462" s="1">
        <v>117946</v>
      </c>
      <c r="B462" s="1" t="s">
        <v>534</v>
      </c>
      <c r="C462" s="1" t="s">
        <v>33</v>
      </c>
      <c r="D462" s="1">
        <v>0.45079999999999998</v>
      </c>
      <c r="E462" s="1">
        <v>7094</v>
      </c>
      <c r="F462" s="1">
        <v>62357</v>
      </c>
      <c r="G462" s="1">
        <v>0.78869999999999996</v>
      </c>
      <c r="H462" s="1">
        <v>0.88580000000000003</v>
      </c>
      <c r="I462" s="1">
        <v>0.13220000000000001</v>
      </c>
      <c r="J462" s="1">
        <v>78349</v>
      </c>
      <c r="K462" s="1">
        <v>19500</v>
      </c>
      <c r="L462" s="1">
        <v>13834</v>
      </c>
      <c r="M462" s="1">
        <v>10</v>
      </c>
      <c r="N462" s="1" t="s">
        <v>20</v>
      </c>
      <c r="O462" s="1" t="s">
        <v>29</v>
      </c>
      <c r="P462" s="1" t="s">
        <v>22</v>
      </c>
      <c r="Q462" s="1" t="s">
        <v>23</v>
      </c>
      <c r="R462">
        <v>0.66956954535747737</v>
      </c>
    </row>
    <row r="463" spans="1:18" x14ac:dyDescent="0.2">
      <c r="A463" s="1">
        <v>106245</v>
      </c>
      <c r="B463" s="1" t="s">
        <v>535</v>
      </c>
      <c r="C463" s="1" t="s">
        <v>70</v>
      </c>
      <c r="D463" s="1">
        <v>0.58779999999999999</v>
      </c>
      <c r="E463" s="1">
        <v>4949</v>
      </c>
      <c r="F463" s="1">
        <v>22158</v>
      </c>
      <c r="G463" s="1">
        <v>0.41649999999999998</v>
      </c>
      <c r="H463" s="1">
        <v>0.76470000000000005</v>
      </c>
      <c r="I463" s="1">
        <v>0.4118</v>
      </c>
      <c r="J463" s="1">
        <v>45265</v>
      </c>
      <c r="K463" s="1">
        <v>22000</v>
      </c>
      <c r="L463" s="1">
        <v>8312</v>
      </c>
      <c r="M463" s="1">
        <v>13</v>
      </c>
      <c r="N463" s="1" t="s">
        <v>28</v>
      </c>
      <c r="O463" s="1" t="s">
        <v>29</v>
      </c>
      <c r="P463" s="1" t="s">
        <v>30</v>
      </c>
      <c r="Q463" s="1" t="s">
        <v>31</v>
      </c>
      <c r="R463">
        <v>0.66938699199695539</v>
      </c>
    </row>
    <row r="464" spans="1:18" x14ac:dyDescent="0.2">
      <c r="A464" s="1">
        <v>489937</v>
      </c>
      <c r="B464" s="1" t="s">
        <v>536</v>
      </c>
      <c r="C464" s="1" t="s">
        <v>86</v>
      </c>
      <c r="D464" s="1">
        <v>0.39539999999999997</v>
      </c>
      <c r="E464" s="1">
        <v>460</v>
      </c>
      <c r="F464" s="1">
        <v>17575</v>
      </c>
      <c r="G464" s="1">
        <v>0.2155</v>
      </c>
      <c r="H464" s="1">
        <v>0.56359999999999999</v>
      </c>
      <c r="I464" s="1">
        <v>0.37259999999999999</v>
      </c>
      <c r="J464" s="1">
        <v>32864</v>
      </c>
      <c r="K464" s="1">
        <v>20287</v>
      </c>
      <c r="L464" s="1">
        <v>5407</v>
      </c>
      <c r="M464" s="1">
        <v>17</v>
      </c>
      <c r="N464" s="1" t="s">
        <v>20</v>
      </c>
      <c r="O464" s="1" t="s">
        <v>29</v>
      </c>
      <c r="P464" s="1" t="s">
        <v>30</v>
      </c>
      <c r="Q464" s="1" t="s">
        <v>31</v>
      </c>
      <c r="R464">
        <v>0.66833744418739593</v>
      </c>
    </row>
    <row r="465" spans="1:18" x14ac:dyDescent="0.2">
      <c r="A465" s="1">
        <v>199148</v>
      </c>
      <c r="B465" s="1" t="s">
        <v>537</v>
      </c>
      <c r="C465" s="1" t="s">
        <v>86</v>
      </c>
      <c r="D465" s="1">
        <v>0.8851</v>
      </c>
      <c r="E465" s="1">
        <v>14062</v>
      </c>
      <c r="F465" s="1">
        <v>24012</v>
      </c>
      <c r="G465" s="1">
        <v>0.56310000000000004</v>
      </c>
      <c r="H465" s="1">
        <v>0.78910000000000002</v>
      </c>
      <c r="I465" s="1">
        <v>0.50239999999999996</v>
      </c>
      <c r="J465" s="1">
        <v>48160</v>
      </c>
      <c r="K465" s="1">
        <v>22858</v>
      </c>
      <c r="L465" s="1">
        <v>9693</v>
      </c>
      <c r="M465" s="1">
        <v>18</v>
      </c>
      <c r="N465" s="1" t="s">
        <v>28</v>
      </c>
      <c r="O465" s="1" t="s">
        <v>29</v>
      </c>
      <c r="P465" s="1" t="s">
        <v>30</v>
      </c>
      <c r="Q465" s="1" t="s">
        <v>31</v>
      </c>
      <c r="R465">
        <v>0.66803506090188247</v>
      </c>
    </row>
    <row r="466" spans="1:18" x14ac:dyDescent="0.2">
      <c r="A466" s="1">
        <v>140818</v>
      </c>
      <c r="B466" s="1" t="s">
        <v>538</v>
      </c>
      <c r="C466" s="1" t="s">
        <v>126</v>
      </c>
      <c r="D466" s="1">
        <v>0.93279999999999996</v>
      </c>
      <c r="E466" s="1">
        <v>1117</v>
      </c>
      <c r="F466" s="1">
        <v>31700</v>
      </c>
      <c r="G466" s="1">
        <v>0.47410000000000002</v>
      </c>
      <c r="H466" s="1">
        <v>0.69820000000000004</v>
      </c>
      <c r="I466" s="1">
        <v>0.42349999999999999</v>
      </c>
      <c r="J466" s="1">
        <v>49130</v>
      </c>
      <c r="K466" s="1">
        <v>25000</v>
      </c>
      <c r="L466" s="1">
        <v>7502</v>
      </c>
      <c r="M466" s="1">
        <v>12</v>
      </c>
      <c r="N466" s="1" t="s">
        <v>20</v>
      </c>
      <c r="O466" s="1" t="s">
        <v>42</v>
      </c>
      <c r="P466" s="1" t="s">
        <v>30</v>
      </c>
      <c r="Q466" s="1" t="s">
        <v>31</v>
      </c>
      <c r="R466">
        <v>0.66793626711401932</v>
      </c>
    </row>
    <row r="467" spans="1:18" x14ac:dyDescent="0.2">
      <c r="A467" s="1">
        <v>181464</v>
      </c>
      <c r="B467" s="1" t="s">
        <v>539</v>
      </c>
      <c r="C467" s="1" t="s">
        <v>221</v>
      </c>
      <c r="D467" s="1">
        <v>0.87490000000000001</v>
      </c>
      <c r="E467" s="1">
        <v>19178</v>
      </c>
      <c r="F467" s="1">
        <v>28584</v>
      </c>
      <c r="G467" s="1">
        <v>0.66969999999999996</v>
      </c>
      <c r="H467" s="1">
        <v>0.8599</v>
      </c>
      <c r="I467" s="1">
        <v>0.22770000000000001</v>
      </c>
      <c r="J467" s="1">
        <v>56887</v>
      </c>
      <c r="K467" s="1">
        <v>21000</v>
      </c>
      <c r="L467" s="1">
        <v>12658</v>
      </c>
      <c r="M467" s="1">
        <v>17</v>
      </c>
      <c r="N467" s="1" t="s">
        <v>28</v>
      </c>
      <c r="O467" s="1" t="s">
        <v>29</v>
      </c>
      <c r="P467" s="1" t="s">
        <v>22</v>
      </c>
      <c r="Q467" s="1" t="s">
        <v>23</v>
      </c>
      <c r="R467">
        <v>0.66759164837090434</v>
      </c>
    </row>
    <row r="468" spans="1:18" x14ac:dyDescent="0.2">
      <c r="A468" s="1">
        <v>240453</v>
      </c>
      <c r="B468" s="1" t="s">
        <v>540</v>
      </c>
      <c r="C468" s="1" t="s">
        <v>50</v>
      </c>
      <c r="D468" s="1">
        <v>0.90680000000000005</v>
      </c>
      <c r="E468" s="1">
        <v>16758</v>
      </c>
      <c r="F468" s="1">
        <v>22398</v>
      </c>
      <c r="G468" s="1">
        <v>0.49320000000000003</v>
      </c>
      <c r="H468" s="1">
        <v>0.72950000000000004</v>
      </c>
      <c r="I468" s="1">
        <v>0.32750000000000001</v>
      </c>
      <c r="J468" s="1">
        <v>54990</v>
      </c>
      <c r="K468" s="1">
        <v>23000</v>
      </c>
      <c r="L468" s="1">
        <v>9960</v>
      </c>
      <c r="M468" s="1">
        <v>17</v>
      </c>
      <c r="N468" s="1" t="s">
        <v>28</v>
      </c>
      <c r="O468" s="1" t="s">
        <v>29</v>
      </c>
      <c r="P468" s="1" t="s">
        <v>22</v>
      </c>
      <c r="Q468" s="1" t="s">
        <v>23</v>
      </c>
      <c r="R468">
        <v>0.66752677997638099</v>
      </c>
    </row>
    <row r="469" spans="1:18" x14ac:dyDescent="0.2">
      <c r="A469" s="1">
        <v>172051</v>
      </c>
      <c r="B469" s="1" t="s">
        <v>541</v>
      </c>
      <c r="C469" s="1" t="s">
        <v>109</v>
      </c>
      <c r="D469" s="1">
        <v>0.72070000000000001</v>
      </c>
      <c r="E469" s="1">
        <v>5989</v>
      </c>
      <c r="F469" s="1">
        <v>30450</v>
      </c>
      <c r="G469" s="1">
        <v>0.48249999999999998</v>
      </c>
      <c r="H469" s="1">
        <v>0.77569999999999995</v>
      </c>
      <c r="I469" s="1">
        <v>0.35170000000000001</v>
      </c>
      <c r="J469" s="1">
        <v>51955</v>
      </c>
      <c r="K469" s="1">
        <v>25000</v>
      </c>
      <c r="L469" s="1">
        <v>9515</v>
      </c>
      <c r="M469" s="1">
        <v>16</v>
      </c>
      <c r="N469" s="1" t="s">
        <v>28</v>
      </c>
      <c r="O469" s="1" t="s">
        <v>21</v>
      </c>
      <c r="P469" s="1" t="s">
        <v>22</v>
      </c>
      <c r="Q469" s="1" t="s">
        <v>23</v>
      </c>
      <c r="R469">
        <v>0.66594944623085817</v>
      </c>
    </row>
    <row r="470" spans="1:18" x14ac:dyDescent="0.2">
      <c r="A470" s="1">
        <v>174075</v>
      </c>
      <c r="B470" s="1" t="s">
        <v>542</v>
      </c>
      <c r="C470" s="1" t="s">
        <v>54</v>
      </c>
      <c r="D470" s="1">
        <v>0.87860000000000005</v>
      </c>
      <c r="E470" s="1">
        <v>1729</v>
      </c>
      <c r="F470" s="1">
        <v>13288</v>
      </c>
      <c r="G470" s="1">
        <v>0.49759999999999999</v>
      </c>
      <c r="H470" s="1">
        <v>0.8</v>
      </c>
      <c r="I470" s="1">
        <v>0.20250000000000001</v>
      </c>
      <c r="J470" s="1">
        <v>58056</v>
      </c>
      <c r="K470" s="1">
        <v>20500</v>
      </c>
      <c r="L470" s="1">
        <v>9241</v>
      </c>
      <c r="M470" s="1">
        <v>18</v>
      </c>
      <c r="N470" s="1" t="s">
        <v>28</v>
      </c>
      <c r="O470" s="1" t="s">
        <v>42</v>
      </c>
      <c r="P470" s="1" t="s">
        <v>22</v>
      </c>
      <c r="Q470" s="1" t="s">
        <v>23</v>
      </c>
      <c r="R470">
        <v>0.66267964219795561</v>
      </c>
    </row>
    <row r="471" spans="1:18" x14ac:dyDescent="0.2">
      <c r="A471" s="1">
        <v>179557</v>
      </c>
      <c r="B471" s="1" t="s">
        <v>543</v>
      </c>
      <c r="C471" s="1" t="s">
        <v>77</v>
      </c>
      <c r="D471" s="1">
        <v>0.73519999999999996</v>
      </c>
      <c r="E471" s="1">
        <v>6373</v>
      </c>
      <c r="F471" s="1">
        <v>9903</v>
      </c>
      <c r="G471" s="1">
        <v>0.57930000000000004</v>
      </c>
      <c r="H471" s="1">
        <v>0.75760000000000005</v>
      </c>
      <c r="I471" s="1">
        <v>0.30399999999999999</v>
      </c>
      <c r="J471" s="1">
        <v>44030</v>
      </c>
      <c r="K471" s="1">
        <v>21500</v>
      </c>
      <c r="L471" s="1">
        <v>8551</v>
      </c>
      <c r="M471" s="1">
        <v>20</v>
      </c>
      <c r="N471" s="1" t="s">
        <v>28</v>
      </c>
      <c r="O471" s="1" t="s">
        <v>29</v>
      </c>
      <c r="P471" s="1" t="s">
        <v>22</v>
      </c>
      <c r="Q471" s="1" t="s">
        <v>31</v>
      </c>
      <c r="R471">
        <v>0.66252581519632303</v>
      </c>
    </row>
    <row r="472" spans="1:18" x14ac:dyDescent="0.2">
      <c r="A472" s="1">
        <v>233921</v>
      </c>
      <c r="B472" s="1" t="s">
        <v>544</v>
      </c>
      <c r="C472" s="1" t="s">
        <v>52</v>
      </c>
      <c r="D472" s="1">
        <v>0.54779999999999995</v>
      </c>
      <c r="E472" s="1">
        <v>30923</v>
      </c>
      <c r="F472" s="1">
        <v>37764</v>
      </c>
      <c r="G472" s="1">
        <v>0.86219999999999997</v>
      </c>
      <c r="H472" s="1">
        <v>0.93079999999999996</v>
      </c>
      <c r="I472" s="1">
        <v>0.15290000000000001</v>
      </c>
      <c r="J472" s="1">
        <v>81698</v>
      </c>
      <c r="K472" s="1">
        <v>21500</v>
      </c>
      <c r="L472" s="1">
        <v>14162</v>
      </c>
      <c r="M472" s="1">
        <v>17</v>
      </c>
      <c r="N472" s="1" t="s">
        <v>28</v>
      </c>
      <c r="O472" s="1" t="s">
        <v>29</v>
      </c>
      <c r="P472" s="1" t="s">
        <v>30</v>
      </c>
      <c r="Q472" s="1" t="s">
        <v>23</v>
      </c>
      <c r="R472">
        <v>0.66096448330736601</v>
      </c>
    </row>
    <row r="473" spans="1:18" x14ac:dyDescent="0.2">
      <c r="A473" s="1">
        <v>193353</v>
      </c>
      <c r="B473" s="1" t="s">
        <v>545</v>
      </c>
      <c r="C473" s="1" t="s">
        <v>58</v>
      </c>
      <c r="D473" s="1">
        <v>0.88880000000000003</v>
      </c>
      <c r="E473" s="1">
        <v>1148</v>
      </c>
      <c r="F473" s="1">
        <v>43450</v>
      </c>
      <c r="G473" s="1">
        <v>0.65459999999999996</v>
      </c>
      <c r="H473" s="1">
        <v>0.73629999999999995</v>
      </c>
      <c r="I473" s="1">
        <v>0.2225</v>
      </c>
      <c r="J473" s="1">
        <v>67705</v>
      </c>
      <c r="K473" s="1">
        <v>26007</v>
      </c>
      <c r="L473" s="1">
        <v>9710</v>
      </c>
      <c r="M473" s="1">
        <v>12</v>
      </c>
      <c r="N473" s="1" t="s">
        <v>20</v>
      </c>
      <c r="O473" s="1" t="s">
        <v>29</v>
      </c>
      <c r="P473" s="1" t="s">
        <v>39</v>
      </c>
      <c r="Q473" s="1" t="s">
        <v>23</v>
      </c>
      <c r="R473">
        <v>0.66076374820858963</v>
      </c>
    </row>
    <row r="474" spans="1:18" x14ac:dyDescent="0.2">
      <c r="A474" s="1">
        <v>157289</v>
      </c>
      <c r="B474" s="1" t="s">
        <v>546</v>
      </c>
      <c r="C474" s="1" t="s">
        <v>104</v>
      </c>
      <c r="D474" s="1">
        <v>0.79410000000000003</v>
      </c>
      <c r="E474" s="1">
        <v>14727</v>
      </c>
      <c r="F474" s="1">
        <v>29482</v>
      </c>
      <c r="G474" s="1">
        <v>0.61229999999999996</v>
      </c>
      <c r="H474" s="1">
        <v>0.81489999999999996</v>
      </c>
      <c r="I474" s="1">
        <v>0.30599999999999999</v>
      </c>
      <c r="J474" s="1">
        <v>53899</v>
      </c>
      <c r="K474" s="1">
        <v>20500</v>
      </c>
      <c r="L474" s="1">
        <v>9671</v>
      </c>
      <c r="M474" s="1">
        <v>14</v>
      </c>
      <c r="N474" s="1" t="s">
        <v>28</v>
      </c>
      <c r="O474" s="1" t="s">
        <v>29</v>
      </c>
      <c r="P474" s="1" t="s">
        <v>30</v>
      </c>
      <c r="Q474" s="1" t="s">
        <v>23</v>
      </c>
      <c r="R474">
        <v>0.6607203976190742</v>
      </c>
    </row>
    <row r="475" spans="1:18" x14ac:dyDescent="0.2">
      <c r="A475" s="1">
        <v>237932</v>
      </c>
      <c r="B475" s="1" t="s">
        <v>547</v>
      </c>
      <c r="C475" s="1" t="s">
        <v>255</v>
      </c>
      <c r="D475" s="1">
        <v>0.97270000000000001</v>
      </c>
      <c r="E475" s="1">
        <v>1511</v>
      </c>
      <c r="F475" s="1">
        <v>17442</v>
      </c>
      <c r="G475" s="1">
        <v>0.59530000000000005</v>
      </c>
      <c r="H475" s="1">
        <v>0.68859999999999999</v>
      </c>
      <c r="I475" s="1">
        <v>0.31879999999999997</v>
      </c>
      <c r="J475" s="1">
        <v>43296</v>
      </c>
      <c r="K475" s="1">
        <v>23250</v>
      </c>
      <c r="L475" s="1">
        <v>7150</v>
      </c>
      <c r="M475" s="1">
        <v>12</v>
      </c>
      <c r="N475" s="1" t="s">
        <v>28</v>
      </c>
      <c r="O475" s="1" t="s">
        <v>42</v>
      </c>
      <c r="P475" s="1" t="s">
        <v>30</v>
      </c>
      <c r="Q475" s="1" t="s">
        <v>31</v>
      </c>
      <c r="R475">
        <v>0.65916597005378696</v>
      </c>
    </row>
    <row r="476" spans="1:18" x14ac:dyDescent="0.2">
      <c r="A476" s="1">
        <v>179894</v>
      </c>
      <c r="B476" s="1" t="s">
        <v>548</v>
      </c>
      <c r="C476" s="1" t="s">
        <v>77</v>
      </c>
      <c r="D476" s="1">
        <v>0.86229999999999996</v>
      </c>
      <c r="E476" s="1">
        <v>2304</v>
      </c>
      <c r="F476" s="1">
        <v>31750</v>
      </c>
      <c r="G476" s="1">
        <v>0.64390000000000003</v>
      </c>
      <c r="H476" s="1">
        <v>0.68659999999999999</v>
      </c>
      <c r="I476" s="1">
        <v>0.28820000000000001</v>
      </c>
      <c r="J476" s="1">
        <v>50876</v>
      </c>
      <c r="K476" s="1">
        <v>23000</v>
      </c>
      <c r="L476" s="1">
        <v>9218</v>
      </c>
      <c r="M476" s="1">
        <v>16</v>
      </c>
      <c r="N476" s="1" t="s">
        <v>20</v>
      </c>
      <c r="O476" s="1" t="s">
        <v>21</v>
      </c>
      <c r="P476" s="1" t="s">
        <v>22</v>
      </c>
      <c r="Q476" s="1" t="s">
        <v>23</v>
      </c>
      <c r="R476">
        <v>0.65905795338987183</v>
      </c>
    </row>
    <row r="477" spans="1:18" x14ac:dyDescent="0.2">
      <c r="A477" s="1">
        <v>445188</v>
      </c>
      <c r="B477" s="1" t="s">
        <v>549</v>
      </c>
      <c r="C477" s="1" t="s">
        <v>33</v>
      </c>
      <c r="D477" s="1">
        <v>0.90529999999999999</v>
      </c>
      <c r="E477" s="1">
        <v>8372</v>
      </c>
      <c r="F477" s="1">
        <v>49823</v>
      </c>
      <c r="G477" s="1">
        <v>0.68720000000000003</v>
      </c>
      <c r="H477" s="1">
        <v>0.82130000000000003</v>
      </c>
      <c r="I477" s="1">
        <v>0.58889999999999998</v>
      </c>
      <c r="J477" s="1">
        <v>64368</v>
      </c>
      <c r="K477" s="1">
        <v>16144</v>
      </c>
      <c r="L477" s="1">
        <v>14834</v>
      </c>
      <c r="M477" s="1">
        <v>20</v>
      </c>
      <c r="N477" s="1" t="s">
        <v>28</v>
      </c>
      <c r="O477" s="1" t="s">
        <v>21</v>
      </c>
      <c r="P477" s="1" t="s">
        <v>22</v>
      </c>
      <c r="Q477" s="1" t="s">
        <v>23</v>
      </c>
      <c r="R477">
        <v>0.65856915074329125</v>
      </c>
    </row>
    <row r="478" spans="1:18" x14ac:dyDescent="0.2">
      <c r="A478" s="1">
        <v>150774</v>
      </c>
      <c r="B478" s="1" t="s">
        <v>550</v>
      </c>
      <c r="C478" s="1" t="s">
        <v>102</v>
      </c>
      <c r="D478" s="1">
        <v>0.75180000000000002</v>
      </c>
      <c r="E478" s="1">
        <v>639</v>
      </c>
      <c r="F478" s="1">
        <v>36600</v>
      </c>
      <c r="G478" s="1">
        <v>0.72889999999999999</v>
      </c>
      <c r="H478" s="1">
        <v>0.70389999999999997</v>
      </c>
      <c r="I478" s="1">
        <v>0.29749999999999999</v>
      </c>
      <c r="J478" s="1">
        <v>50416</v>
      </c>
      <c r="K478" s="1">
        <v>24000</v>
      </c>
      <c r="L478" s="1">
        <v>7176</v>
      </c>
      <c r="M478" s="1">
        <v>13</v>
      </c>
      <c r="N478" s="1" t="s">
        <v>20</v>
      </c>
      <c r="O478" s="1" t="s">
        <v>21</v>
      </c>
      <c r="P478" s="1" t="s">
        <v>22</v>
      </c>
      <c r="Q478" s="1" t="s">
        <v>23</v>
      </c>
      <c r="R478">
        <v>0.6575911222453279</v>
      </c>
    </row>
    <row r="479" spans="1:18" x14ac:dyDescent="0.2">
      <c r="A479" s="1">
        <v>199218</v>
      </c>
      <c r="B479" s="1" t="s">
        <v>551</v>
      </c>
      <c r="C479" s="1" t="s">
        <v>86</v>
      </c>
      <c r="D479" s="1">
        <v>0.64239999999999997</v>
      </c>
      <c r="E479" s="1">
        <v>14922</v>
      </c>
      <c r="F479" s="1">
        <v>24152</v>
      </c>
      <c r="G479" s="1">
        <v>0.70589999999999997</v>
      </c>
      <c r="H479" s="1">
        <v>0.88160000000000005</v>
      </c>
      <c r="I479" s="1">
        <v>0.23949999999999999</v>
      </c>
      <c r="J479" s="1">
        <v>54967</v>
      </c>
      <c r="K479" s="1">
        <v>19500</v>
      </c>
      <c r="L479" s="1">
        <v>10074</v>
      </c>
      <c r="M479" s="1">
        <v>17</v>
      </c>
      <c r="N479" s="1" t="s">
        <v>28</v>
      </c>
      <c r="O479" s="1" t="s">
        <v>29</v>
      </c>
      <c r="P479" s="1" t="s">
        <v>30</v>
      </c>
      <c r="Q479" s="1" t="s">
        <v>23</v>
      </c>
      <c r="R479">
        <v>0.6574052899565741</v>
      </c>
    </row>
    <row r="480" spans="1:18" x14ac:dyDescent="0.2">
      <c r="A480" s="1">
        <v>110510</v>
      </c>
      <c r="B480" s="1" t="s">
        <v>552</v>
      </c>
      <c r="C480" s="1" t="s">
        <v>33</v>
      </c>
      <c r="D480" s="1">
        <v>0.93740000000000001</v>
      </c>
      <c r="E480" s="1">
        <v>15023</v>
      </c>
      <c r="F480" s="1">
        <v>20693</v>
      </c>
      <c r="G480" s="1">
        <v>0.54900000000000004</v>
      </c>
      <c r="H480" s="1">
        <v>0.79590000000000005</v>
      </c>
      <c r="I480" s="1">
        <v>0.57620000000000005</v>
      </c>
      <c r="J480" s="1">
        <v>59977</v>
      </c>
      <c r="K480" s="1">
        <v>14715</v>
      </c>
      <c r="L480" s="1">
        <v>11988</v>
      </c>
      <c r="M480" s="1">
        <v>22</v>
      </c>
      <c r="N480" s="1" t="s">
        <v>28</v>
      </c>
      <c r="O480" s="1" t="s">
        <v>29</v>
      </c>
      <c r="P480" s="1" t="s">
        <v>22</v>
      </c>
      <c r="Q480" s="1" t="s">
        <v>23</v>
      </c>
      <c r="R480">
        <v>0.65710213619955293</v>
      </c>
    </row>
    <row r="481" spans="1:18" x14ac:dyDescent="0.2">
      <c r="A481" s="1">
        <v>214670</v>
      </c>
      <c r="B481" s="1" t="s">
        <v>553</v>
      </c>
      <c r="C481" s="1" t="s">
        <v>98</v>
      </c>
      <c r="D481" s="1">
        <v>0.97370000000000001</v>
      </c>
      <c r="E481" s="1">
        <v>859</v>
      </c>
      <c r="F481" s="1">
        <v>25392</v>
      </c>
      <c r="G481" s="1">
        <v>0.17829999999999999</v>
      </c>
      <c r="H481" s="1">
        <v>0.83389999999999997</v>
      </c>
      <c r="I481" s="1">
        <v>0.35010000000000002</v>
      </c>
      <c r="J481" s="1">
        <v>63435</v>
      </c>
      <c r="K481" s="1">
        <v>25000</v>
      </c>
      <c r="L481" s="1">
        <v>8550</v>
      </c>
      <c r="M481" s="1">
        <v>14</v>
      </c>
      <c r="N481" s="1" t="s">
        <v>28</v>
      </c>
      <c r="O481" s="1" t="s">
        <v>21</v>
      </c>
      <c r="P481" s="1" t="s">
        <v>39</v>
      </c>
      <c r="Q481" s="1" t="s">
        <v>23</v>
      </c>
      <c r="R481">
        <v>0.65638079094669044</v>
      </c>
    </row>
    <row r="482" spans="1:18" x14ac:dyDescent="0.2">
      <c r="A482" s="1">
        <v>182670</v>
      </c>
      <c r="B482" s="1" t="s">
        <v>554</v>
      </c>
      <c r="C482" s="1" t="s">
        <v>38</v>
      </c>
      <c r="D482" s="1">
        <v>5.3999999999999999E-2</v>
      </c>
      <c r="E482" s="1">
        <v>4541</v>
      </c>
      <c r="F482" s="1">
        <v>68268</v>
      </c>
      <c r="G482" s="1">
        <v>0.95540000000000003</v>
      </c>
      <c r="H482" s="1">
        <v>0.98419999999999996</v>
      </c>
      <c r="I482" s="1">
        <v>0.14349999999999999</v>
      </c>
      <c r="J482" s="1">
        <v>97434</v>
      </c>
      <c r="K482" s="1">
        <v>17500</v>
      </c>
      <c r="L482" s="1">
        <v>19770</v>
      </c>
      <c r="M482" s="1">
        <v>7</v>
      </c>
      <c r="N482" s="1" t="s">
        <v>20</v>
      </c>
      <c r="O482" s="1" t="s">
        <v>42</v>
      </c>
      <c r="P482" s="1" t="s">
        <v>39</v>
      </c>
      <c r="Q482" s="1" t="s">
        <v>23</v>
      </c>
      <c r="R482">
        <v>0.65605202850911737</v>
      </c>
    </row>
    <row r="483" spans="1:18" x14ac:dyDescent="0.2">
      <c r="A483" s="1">
        <v>153126</v>
      </c>
      <c r="B483" s="1" t="s">
        <v>555</v>
      </c>
      <c r="C483" s="1" t="s">
        <v>81</v>
      </c>
      <c r="D483" s="1">
        <v>0.71830000000000005</v>
      </c>
      <c r="E483" s="1">
        <v>742</v>
      </c>
      <c r="F483" s="1">
        <v>40910</v>
      </c>
      <c r="G483" s="1">
        <v>0.56120000000000003</v>
      </c>
      <c r="H483" s="1">
        <v>0.6734</v>
      </c>
      <c r="I483" s="1">
        <v>0.36730000000000002</v>
      </c>
      <c r="J483" s="1">
        <v>55396</v>
      </c>
      <c r="K483" s="1">
        <v>26717</v>
      </c>
      <c r="L483" s="1">
        <v>6842</v>
      </c>
      <c r="M483" s="1">
        <v>9</v>
      </c>
      <c r="N483" s="1" t="s">
        <v>20</v>
      </c>
      <c r="O483" s="1" t="s">
        <v>29</v>
      </c>
      <c r="P483" s="1" t="s">
        <v>22</v>
      </c>
      <c r="Q483" s="1" t="s">
        <v>23</v>
      </c>
      <c r="R483">
        <v>0.65604134268689884</v>
      </c>
    </row>
    <row r="484" spans="1:18" x14ac:dyDescent="0.2">
      <c r="A484" s="1">
        <v>131496</v>
      </c>
      <c r="B484" s="1" t="s">
        <v>556</v>
      </c>
      <c r="C484" s="1" t="s">
        <v>84</v>
      </c>
      <c r="D484" s="1">
        <v>0.12909999999999999</v>
      </c>
      <c r="E484" s="1">
        <v>7569</v>
      </c>
      <c r="F484" s="1">
        <v>68017</v>
      </c>
      <c r="G484" s="1">
        <v>0.94810000000000005</v>
      </c>
      <c r="H484" s="1">
        <v>0.96750000000000003</v>
      </c>
      <c r="I484" s="1">
        <v>0.1012</v>
      </c>
      <c r="J484" s="1">
        <v>103494</v>
      </c>
      <c r="K484" s="1">
        <v>15500</v>
      </c>
      <c r="L484" s="1">
        <v>18098</v>
      </c>
      <c r="M484" s="1">
        <v>11</v>
      </c>
      <c r="N484" s="1" t="s">
        <v>20</v>
      </c>
      <c r="O484" s="1" t="s">
        <v>29</v>
      </c>
      <c r="P484" s="1" t="s">
        <v>30</v>
      </c>
      <c r="Q484" s="1" t="s">
        <v>23</v>
      </c>
      <c r="R484">
        <v>0.65395686685023469</v>
      </c>
    </row>
    <row r="485" spans="1:18" x14ac:dyDescent="0.2">
      <c r="A485" s="1">
        <v>179159</v>
      </c>
      <c r="B485" s="1" t="s">
        <v>557</v>
      </c>
      <c r="C485" s="1" t="s">
        <v>77</v>
      </c>
      <c r="D485" s="1">
        <v>0.75039999999999996</v>
      </c>
      <c r="E485" s="1">
        <v>7267</v>
      </c>
      <c r="F485" s="1">
        <v>55760</v>
      </c>
      <c r="G485" s="1">
        <v>0.79530000000000001</v>
      </c>
      <c r="H485" s="1">
        <v>0.87839999999999996</v>
      </c>
      <c r="I485" s="1">
        <v>0.16889999999999999</v>
      </c>
      <c r="J485" s="1">
        <v>70783</v>
      </c>
      <c r="K485" s="1">
        <v>25000</v>
      </c>
      <c r="L485" s="1">
        <v>11423</v>
      </c>
      <c r="M485" s="1">
        <v>9</v>
      </c>
      <c r="N485" s="1" t="s">
        <v>20</v>
      </c>
      <c r="O485" s="1" t="s">
        <v>29</v>
      </c>
      <c r="P485" s="1" t="s">
        <v>22</v>
      </c>
      <c r="Q485" s="1" t="s">
        <v>23</v>
      </c>
      <c r="R485">
        <v>0.65347026019070653</v>
      </c>
    </row>
    <row r="486" spans="1:18" x14ac:dyDescent="0.2">
      <c r="A486" s="1">
        <v>110617</v>
      </c>
      <c r="B486" s="1" t="s">
        <v>558</v>
      </c>
      <c r="C486" s="1" t="s">
        <v>33</v>
      </c>
      <c r="D486" s="1">
        <v>0.93989999999999996</v>
      </c>
      <c r="E486" s="1">
        <v>28350</v>
      </c>
      <c r="F486" s="1">
        <v>20618</v>
      </c>
      <c r="G486" s="1">
        <v>0.56289999999999996</v>
      </c>
      <c r="H486" s="1">
        <v>0.81910000000000005</v>
      </c>
      <c r="I486" s="1">
        <v>0.49130000000000001</v>
      </c>
      <c r="J486" s="1">
        <v>64876</v>
      </c>
      <c r="K486" s="1">
        <v>15000</v>
      </c>
      <c r="L486" s="1">
        <v>11717</v>
      </c>
      <c r="M486" s="1">
        <v>24</v>
      </c>
      <c r="N486" s="1" t="s">
        <v>28</v>
      </c>
      <c r="O486" s="1" t="s">
        <v>29</v>
      </c>
      <c r="P486" s="1" t="s">
        <v>22</v>
      </c>
      <c r="Q486" s="1" t="s">
        <v>23</v>
      </c>
      <c r="R486">
        <v>0.65340854636980239</v>
      </c>
    </row>
    <row r="487" spans="1:18" x14ac:dyDescent="0.2">
      <c r="A487" s="1">
        <v>202523</v>
      </c>
      <c r="B487" s="1" t="s">
        <v>559</v>
      </c>
      <c r="C487" s="1" t="s">
        <v>19</v>
      </c>
      <c r="D487" s="1">
        <v>0.1739</v>
      </c>
      <c r="E487" s="1">
        <v>2380</v>
      </c>
      <c r="F487" s="1">
        <v>67000</v>
      </c>
      <c r="G487" s="1">
        <v>0.78900000000000003</v>
      </c>
      <c r="H487" s="1">
        <v>0.88519999999999999</v>
      </c>
      <c r="I487" s="1">
        <v>0.1255</v>
      </c>
      <c r="J487" s="1">
        <v>67753</v>
      </c>
      <c r="K487" s="1">
        <v>26000</v>
      </c>
      <c r="L487" s="1">
        <v>11237</v>
      </c>
      <c r="M487" s="1">
        <v>9</v>
      </c>
      <c r="N487" s="1" t="s">
        <v>20</v>
      </c>
      <c r="O487" s="1" t="s">
        <v>21</v>
      </c>
      <c r="P487" s="1" t="s">
        <v>22</v>
      </c>
      <c r="Q487" s="1" t="s">
        <v>23</v>
      </c>
      <c r="R487">
        <v>0.65288758910957057</v>
      </c>
    </row>
    <row r="488" spans="1:18" x14ac:dyDescent="0.2">
      <c r="A488" s="1">
        <v>140447</v>
      </c>
      <c r="B488" s="1" t="s">
        <v>560</v>
      </c>
      <c r="C488" s="1" t="s">
        <v>126</v>
      </c>
      <c r="D488" s="1">
        <v>0.68889999999999996</v>
      </c>
      <c r="E488" s="1">
        <v>4500</v>
      </c>
      <c r="F488" s="1">
        <v>42312</v>
      </c>
      <c r="G488" s="1">
        <v>0.69620000000000004</v>
      </c>
      <c r="H488" s="1">
        <v>0.8216</v>
      </c>
      <c r="I488" s="1">
        <v>0.3543</v>
      </c>
      <c r="J488" s="1">
        <v>58354</v>
      </c>
      <c r="K488" s="1">
        <v>24199</v>
      </c>
      <c r="L488" s="1">
        <v>9556</v>
      </c>
      <c r="M488" s="1">
        <v>11</v>
      </c>
      <c r="N488" s="1" t="s">
        <v>20</v>
      </c>
      <c r="O488" s="1" t="s">
        <v>29</v>
      </c>
      <c r="P488" s="1" t="s">
        <v>30</v>
      </c>
      <c r="Q488" s="1" t="s">
        <v>23</v>
      </c>
      <c r="R488">
        <v>0.65153907511345321</v>
      </c>
    </row>
    <row r="489" spans="1:18" x14ac:dyDescent="0.2">
      <c r="A489" s="1">
        <v>156620</v>
      </c>
      <c r="B489" s="1" t="s">
        <v>561</v>
      </c>
      <c r="C489" s="1" t="s">
        <v>104</v>
      </c>
      <c r="D489" s="1">
        <v>0.77610000000000001</v>
      </c>
      <c r="E489" s="1">
        <v>12318</v>
      </c>
      <c r="F489" s="1">
        <v>21230</v>
      </c>
      <c r="G489" s="1">
        <v>0.50039999999999996</v>
      </c>
      <c r="H489" s="1">
        <v>0.76929999999999998</v>
      </c>
      <c r="I489" s="1">
        <v>0.41099999999999998</v>
      </c>
      <c r="J489" s="1">
        <v>45795</v>
      </c>
      <c r="K489" s="1">
        <v>22500</v>
      </c>
      <c r="L489" s="1">
        <v>7826</v>
      </c>
      <c r="M489" s="1">
        <v>17</v>
      </c>
      <c r="N489" s="1" t="s">
        <v>28</v>
      </c>
      <c r="O489" s="1" t="s">
        <v>42</v>
      </c>
      <c r="P489" s="1" t="s">
        <v>30</v>
      </c>
      <c r="Q489" s="1" t="s">
        <v>31</v>
      </c>
      <c r="R489">
        <v>0.65125282303571475</v>
      </c>
    </row>
    <row r="490" spans="1:18" x14ac:dyDescent="0.2">
      <c r="A490" s="1">
        <v>498571</v>
      </c>
      <c r="B490" s="1" t="s">
        <v>562</v>
      </c>
      <c r="C490" s="1" t="s">
        <v>98</v>
      </c>
      <c r="D490" s="1">
        <v>0.94330000000000003</v>
      </c>
      <c r="E490" s="1">
        <v>7451</v>
      </c>
      <c r="F490" s="1">
        <v>16054</v>
      </c>
      <c r="G490" s="1">
        <v>0.51880000000000004</v>
      </c>
      <c r="H490" s="1">
        <v>0.71689999999999998</v>
      </c>
      <c r="I490" s="1">
        <v>0.38300000000000001</v>
      </c>
      <c r="J490" s="1">
        <v>47295</v>
      </c>
      <c r="K490" s="1">
        <v>23725</v>
      </c>
      <c r="L490" s="1">
        <v>11870</v>
      </c>
      <c r="M490" s="1">
        <v>18</v>
      </c>
      <c r="N490" s="1" t="s">
        <v>28</v>
      </c>
      <c r="O490" s="1" t="s">
        <v>42</v>
      </c>
      <c r="P490" s="1" t="s">
        <v>39</v>
      </c>
      <c r="Q490" s="1" t="s">
        <v>31</v>
      </c>
      <c r="R490">
        <v>0.65115219115752421</v>
      </c>
    </row>
    <row r="491" spans="1:18" x14ac:dyDescent="0.2">
      <c r="A491" s="1">
        <v>173902</v>
      </c>
      <c r="B491" s="1" t="s">
        <v>563</v>
      </c>
      <c r="C491" s="1" t="s">
        <v>54</v>
      </c>
      <c r="D491" s="1">
        <v>0.28520000000000001</v>
      </c>
      <c r="E491" s="1">
        <v>2131</v>
      </c>
      <c r="F491" s="1">
        <v>68104</v>
      </c>
      <c r="G491" s="1">
        <v>0.871</v>
      </c>
      <c r="H491" s="1">
        <v>0.92279999999999995</v>
      </c>
      <c r="I491" s="1">
        <v>0.17230000000000001</v>
      </c>
      <c r="J491" s="1">
        <v>63878</v>
      </c>
      <c r="K491" s="1">
        <v>23000</v>
      </c>
      <c r="L491" s="1">
        <v>11951</v>
      </c>
      <c r="M491" s="1">
        <v>10</v>
      </c>
      <c r="N491" s="1" t="s">
        <v>20</v>
      </c>
      <c r="O491" s="1" t="s">
        <v>29</v>
      </c>
      <c r="P491" s="1" t="s">
        <v>22</v>
      </c>
      <c r="Q491" s="1" t="s">
        <v>23</v>
      </c>
      <c r="R491">
        <v>0.6489569758906748</v>
      </c>
    </row>
    <row r="492" spans="1:18" x14ac:dyDescent="0.2">
      <c r="A492" s="1">
        <v>155335</v>
      </c>
      <c r="B492" s="1" t="s">
        <v>564</v>
      </c>
      <c r="C492" s="1" t="s">
        <v>56</v>
      </c>
      <c r="D492" s="1">
        <v>0.73980000000000001</v>
      </c>
      <c r="E492" s="1">
        <v>851</v>
      </c>
      <c r="F492" s="1">
        <v>35500</v>
      </c>
      <c r="G492" s="1">
        <v>0.52810000000000001</v>
      </c>
      <c r="H492" s="1">
        <v>0.68869999999999998</v>
      </c>
      <c r="I492" s="1">
        <v>0.1226</v>
      </c>
      <c r="J492" s="1">
        <v>55041</v>
      </c>
      <c r="K492" s="1">
        <v>20801</v>
      </c>
      <c r="L492" s="1">
        <v>6512</v>
      </c>
      <c r="M492" s="1">
        <v>16</v>
      </c>
      <c r="N492" s="1" t="s">
        <v>20</v>
      </c>
      <c r="O492" s="1" t="s">
        <v>29</v>
      </c>
      <c r="P492" s="1" t="s">
        <v>22</v>
      </c>
      <c r="Q492" s="1" t="s">
        <v>23</v>
      </c>
      <c r="R492">
        <v>0.64772933696717361</v>
      </c>
    </row>
    <row r="493" spans="1:18" x14ac:dyDescent="0.2">
      <c r="A493" s="1">
        <v>191515</v>
      </c>
      <c r="B493" s="1" t="s">
        <v>565</v>
      </c>
      <c r="C493" s="1" t="s">
        <v>58</v>
      </c>
      <c r="D493" s="1">
        <v>0.13619999999999999</v>
      </c>
      <c r="E493" s="1">
        <v>2030</v>
      </c>
      <c r="F493" s="1">
        <v>68960</v>
      </c>
      <c r="G493" s="1">
        <v>0.90629999999999999</v>
      </c>
      <c r="H493" s="1">
        <v>0.94810000000000005</v>
      </c>
      <c r="I493" s="1">
        <v>0.1772</v>
      </c>
      <c r="J493" s="1">
        <v>78411</v>
      </c>
      <c r="K493" s="1">
        <v>17000</v>
      </c>
      <c r="L493" s="1">
        <v>12404</v>
      </c>
      <c r="M493" s="1">
        <v>9</v>
      </c>
      <c r="N493" s="1" t="s">
        <v>20</v>
      </c>
      <c r="O493" s="1" t="s">
        <v>21</v>
      </c>
      <c r="P493" s="1" t="s">
        <v>39</v>
      </c>
      <c r="Q493" s="1" t="s">
        <v>23</v>
      </c>
      <c r="R493">
        <v>0.64622572086581043</v>
      </c>
    </row>
    <row r="494" spans="1:18" x14ac:dyDescent="0.2">
      <c r="A494" s="1">
        <v>144351</v>
      </c>
      <c r="B494" s="1" t="s">
        <v>566</v>
      </c>
      <c r="C494" s="1" t="s">
        <v>25</v>
      </c>
      <c r="D494" s="1">
        <v>0.92789999999999995</v>
      </c>
      <c r="E494" s="1">
        <v>1323</v>
      </c>
      <c r="F494" s="1">
        <v>37488</v>
      </c>
      <c r="G494" s="1">
        <v>0.36459999999999998</v>
      </c>
      <c r="H494" s="1">
        <v>0.60499999999999998</v>
      </c>
      <c r="I494" s="1">
        <v>0.45679999999999998</v>
      </c>
      <c r="J494" s="1">
        <v>54089</v>
      </c>
      <c r="K494" s="1">
        <v>23000</v>
      </c>
      <c r="L494" s="1">
        <v>6759</v>
      </c>
      <c r="M494" s="1">
        <v>13</v>
      </c>
      <c r="N494" s="1" t="s">
        <v>20</v>
      </c>
      <c r="O494" s="1" t="s">
        <v>21</v>
      </c>
      <c r="P494" s="1" t="s">
        <v>22</v>
      </c>
      <c r="Q494" s="1" t="s">
        <v>23</v>
      </c>
      <c r="R494">
        <v>0.64525857689479638</v>
      </c>
    </row>
    <row r="495" spans="1:18" x14ac:dyDescent="0.2">
      <c r="A495" s="1">
        <v>153366</v>
      </c>
      <c r="B495" s="1" t="s">
        <v>567</v>
      </c>
      <c r="C495" s="1" t="s">
        <v>81</v>
      </c>
      <c r="D495" s="1">
        <v>0.80830000000000002</v>
      </c>
      <c r="E495" s="1">
        <v>798</v>
      </c>
      <c r="F495" s="1">
        <v>20950</v>
      </c>
      <c r="G495" s="1">
        <v>0.41949999999999998</v>
      </c>
      <c r="H495" s="1">
        <v>0.5504</v>
      </c>
      <c r="I495" s="1">
        <v>0.49230000000000002</v>
      </c>
      <c r="J495" s="1">
        <v>47361</v>
      </c>
      <c r="K495" s="1">
        <v>21212</v>
      </c>
      <c r="L495" s="1">
        <v>6885</v>
      </c>
      <c r="M495" s="1">
        <v>12</v>
      </c>
      <c r="N495" s="1" t="s">
        <v>20</v>
      </c>
      <c r="O495" s="1" t="s">
        <v>42</v>
      </c>
      <c r="P495" s="1" t="s">
        <v>22</v>
      </c>
      <c r="Q495" s="1" t="s">
        <v>31</v>
      </c>
      <c r="R495">
        <v>0.64463329992748242</v>
      </c>
    </row>
    <row r="496" spans="1:18" x14ac:dyDescent="0.2">
      <c r="A496" s="1">
        <v>134097</v>
      </c>
      <c r="B496" s="1" t="s">
        <v>568</v>
      </c>
      <c r="C496" s="1" t="s">
        <v>27</v>
      </c>
      <c r="D496" s="1">
        <v>0.2422</v>
      </c>
      <c r="E496" s="1">
        <v>32212</v>
      </c>
      <c r="F496" s="1">
        <v>18786</v>
      </c>
      <c r="G496" s="1">
        <v>0.85609999999999997</v>
      </c>
      <c r="H496" s="1">
        <v>0.96050000000000002</v>
      </c>
      <c r="I496" s="1">
        <v>0.22969999999999999</v>
      </c>
      <c r="J496" s="1">
        <v>61675</v>
      </c>
      <c r="K496" s="1">
        <v>18000</v>
      </c>
      <c r="L496" s="1">
        <v>12841</v>
      </c>
      <c r="M496" s="1">
        <v>17</v>
      </c>
      <c r="N496" s="1" t="s">
        <v>28</v>
      </c>
      <c r="O496" s="1" t="s">
        <v>29</v>
      </c>
      <c r="P496" s="1" t="s">
        <v>30</v>
      </c>
      <c r="Q496" s="1" t="s">
        <v>23</v>
      </c>
      <c r="R496">
        <v>0.64462292850738401</v>
      </c>
    </row>
    <row r="497" spans="1:18" x14ac:dyDescent="0.2">
      <c r="A497" s="1">
        <v>232256</v>
      </c>
      <c r="B497" s="1" t="s">
        <v>569</v>
      </c>
      <c r="C497" s="1" t="s">
        <v>52</v>
      </c>
      <c r="D497" s="1">
        <v>0.40920000000000001</v>
      </c>
      <c r="E497" s="1">
        <v>946</v>
      </c>
      <c r="F497" s="1">
        <v>54550</v>
      </c>
      <c r="G497" s="1">
        <v>0.62170000000000003</v>
      </c>
      <c r="H497" s="1">
        <v>0.83679999999999999</v>
      </c>
      <c r="I497" s="1">
        <v>0.2263</v>
      </c>
      <c r="J497" s="1">
        <v>67640</v>
      </c>
      <c r="K497" s="1">
        <v>26000</v>
      </c>
      <c r="L497" s="1">
        <v>9550</v>
      </c>
      <c r="M497" s="1">
        <v>9</v>
      </c>
      <c r="N497" s="1" t="s">
        <v>20</v>
      </c>
      <c r="O497" s="1" t="s">
        <v>42</v>
      </c>
      <c r="P497" s="1" t="s">
        <v>30</v>
      </c>
      <c r="Q497" s="1" t="s">
        <v>23</v>
      </c>
      <c r="R497">
        <v>0.64462068165690678</v>
      </c>
    </row>
    <row r="498" spans="1:18" x14ac:dyDescent="0.2">
      <c r="A498" s="1">
        <v>441982</v>
      </c>
      <c r="B498" s="1" t="s">
        <v>570</v>
      </c>
      <c r="C498" s="1" t="s">
        <v>129</v>
      </c>
      <c r="D498" s="1">
        <v>0.252</v>
      </c>
      <c r="E498" s="1">
        <v>377</v>
      </c>
      <c r="F498" s="1">
        <v>66398</v>
      </c>
      <c r="G498" s="1">
        <v>0.96389999999999998</v>
      </c>
      <c r="H498" s="1">
        <v>0.97960000000000003</v>
      </c>
      <c r="I498" s="1">
        <v>0.12130000000000001</v>
      </c>
      <c r="J498" s="1">
        <v>129455</v>
      </c>
      <c r="K498" s="1">
        <v>19500</v>
      </c>
      <c r="L498" s="1">
        <v>15357</v>
      </c>
      <c r="M498" s="1">
        <v>9</v>
      </c>
      <c r="N498" s="1" t="s">
        <v>20</v>
      </c>
      <c r="O498" s="1" t="s">
        <v>21</v>
      </c>
      <c r="P498" s="1" t="s">
        <v>39</v>
      </c>
      <c r="Q498" s="1" t="s">
        <v>23</v>
      </c>
      <c r="R498">
        <v>0.64443263988050004</v>
      </c>
    </row>
    <row r="499" spans="1:18" x14ac:dyDescent="0.2">
      <c r="A499" s="1">
        <v>203775</v>
      </c>
      <c r="B499" s="1" t="s">
        <v>571</v>
      </c>
      <c r="C499" s="1" t="s">
        <v>19</v>
      </c>
      <c r="D499" s="1">
        <v>0.75860000000000005</v>
      </c>
      <c r="E499" s="1">
        <v>798</v>
      </c>
      <c r="F499" s="1">
        <v>37160</v>
      </c>
      <c r="G499" s="1">
        <v>0.44979999999999998</v>
      </c>
      <c r="H499" s="1">
        <v>0.75580000000000003</v>
      </c>
      <c r="I499" s="1">
        <v>0.32519999999999999</v>
      </c>
      <c r="J499" s="1">
        <v>48909</v>
      </c>
      <c r="K499" s="1">
        <v>26289</v>
      </c>
      <c r="L499" s="1">
        <v>6917</v>
      </c>
      <c r="M499" s="1">
        <v>14</v>
      </c>
      <c r="N499" s="1" t="s">
        <v>20</v>
      </c>
      <c r="O499" s="1" t="s">
        <v>29</v>
      </c>
      <c r="P499" s="1" t="s">
        <v>22</v>
      </c>
      <c r="Q499" s="1" t="s">
        <v>31</v>
      </c>
      <c r="R499">
        <v>0.6443749241981469</v>
      </c>
    </row>
    <row r="500" spans="1:18" x14ac:dyDescent="0.2">
      <c r="A500" s="1">
        <v>112084</v>
      </c>
      <c r="B500" s="1" t="s">
        <v>572</v>
      </c>
      <c r="C500" s="1" t="s">
        <v>33</v>
      </c>
      <c r="D500" s="1">
        <v>0.30809999999999998</v>
      </c>
      <c r="E500" s="1">
        <v>87</v>
      </c>
      <c r="F500" s="1">
        <v>28012</v>
      </c>
      <c r="G500" s="1">
        <v>0.19670000000000001</v>
      </c>
      <c r="H500" s="1">
        <v>0.85709999999999997</v>
      </c>
      <c r="I500" s="1">
        <v>0.45</v>
      </c>
      <c r="J500" s="1">
        <v>49766</v>
      </c>
      <c r="K500" s="1">
        <v>24941</v>
      </c>
      <c r="L500" s="1">
        <v>7898</v>
      </c>
      <c r="M500" s="1">
        <v>9</v>
      </c>
      <c r="N500" s="1" t="s">
        <v>20</v>
      </c>
      <c r="O500" s="1" t="s">
        <v>21</v>
      </c>
      <c r="P500" s="1" t="s">
        <v>22</v>
      </c>
      <c r="Q500" s="1" t="s">
        <v>31</v>
      </c>
      <c r="R500">
        <v>0.6438718612944323</v>
      </c>
    </row>
    <row r="501" spans="1:18" x14ac:dyDescent="0.2">
      <c r="A501" s="1">
        <v>234173</v>
      </c>
      <c r="B501" s="1" t="s">
        <v>573</v>
      </c>
      <c r="C501" s="1" t="s">
        <v>52</v>
      </c>
      <c r="D501" s="1">
        <v>0.72870000000000001</v>
      </c>
      <c r="E501" s="1">
        <v>1256</v>
      </c>
      <c r="F501" s="1">
        <v>37500</v>
      </c>
      <c r="G501" s="1">
        <v>0.41639999999999999</v>
      </c>
      <c r="H501" s="1">
        <v>0.74250000000000005</v>
      </c>
      <c r="I501" s="1">
        <v>0.2712</v>
      </c>
      <c r="J501" s="1">
        <v>50074</v>
      </c>
      <c r="K501" s="1">
        <v>27000</v>
      </c>
      <c r="L501" s="1">
        <v>8756</v>
      </c>
      <c r="M501" s="1">
        <v>15</v>
      </c>
      <c r="N501" s="1" t="s">
        <v>20</v>
      </c>
      <c r="O501" s="1" t="s">
        <v>29</v>
      </c>
      <c r="P501" s="1" t="s">
        <v>30</v>
      </c>
      <c r="Q501" s="1" t="s">
        <v>23</v>
      </c>
      <c r="R501">
        <v>0.64311901777334546</v>
      </c>
    </row>
    <row r="502" spans="1:18" x14ac:dyDescent="0.2">
      <c r="A502" s="1">
        <v>155900</v>
      </c>
      <c r="B502" s="1" t="s">
        <v>574</v>
      </c>
      <c r="C502" s="1" t="s">
        <v>56</v>
      </c>
      <c r="D502" s="1">
        <v>0.75549999999999995</v>
      </c>
      <c r="E502" s="1">
        <v>924</v>
      </c>
      <c r="F502" s="1">
        <v>39822</v>
      </c>
      <c r="G502" s="1">
        <v>0.35680000000000001</v>
      </c>
      <c r="H502" s="1">
        <v>0.55900000000000005</v>
      </c>
      <c r="I502" s="1">
        <v>0.40849999999999997</v>
      </c>
      <c r="J502" s="1">
        <v>55646</v>
      </c>
      <c r="K502" s="1">
        <v>25000</v>
      </c>
      <c r="L502" s="1">
        <v>6799</v>
      </c>
      <c r="M502" s="1">
        <v>10</v>
      </c>
      <c r="N502" s="1" t="s">
        <v>20</v>
      </c>
      <c r="O502" s="1" t="s">
        <v>42</v>
      </c>
      <c r="P502" s="1" t="s">
        <v>22</v>
      </c>
      <c r="Q502" s="1" t="s">
        <v>23</v>
      </c>
      <c r="R502">
        <v>0.64273107338758495</v>
      </c>
    </row>
    <row r="503" spans="1:18" x14ac:dyDescent="0.2">
      <c r="A503" s="1">
        <v>152336</v>
      </c>
      <c r="B503" s="1" t="s">
        <v>575</v>
      </c>
      <c r="C503" s="1" t="s">
        <v>102</v>
      </c>
      <c r="D503" s="1">
        <v>0.9597</v>
      </c>
      <c r="E503" s="1">
        <v>1567</v>
      </c>
      <c r="F503" s="1">
        <v>36460</v>
      </c>
      <c r="G503" s="1">
        <v>0.54969999999999997</v>
      </c>
      <c r="H503" s="1">
        <v>0.70720000000000005</v>
      </c>
      <c r="I503" s="1">
        <v>0.4385</v>
      </c>
      <c r="J503" s="1">
        <v>55362</v>
      </c>
      <c r="K503" s="1">
        <v>25976</v>
      </c>
      <c r="L503" s="1">
        <v>7265</v>
      </c>
      <c r="M503" s="1">
        <v>11</v>
      </c>
      <c r="N503" s="1" t="s">
        <v>20</v>
      </c>
      <c r="O503" s="1" t="s">
        <v>29</v>
      </c>
      <c r="P503" s="1" t="s">
        <v>22</v>
      </c>
      <c r="Q503" s="1" t="s">
        <v>23</v>
      </c>
      <c r="R503">
        <v>0.64240180753419274</v>
      </c>
    </row>
    <row r="504" spans="1:18" x14ac:dyDescent="0.2">
      <c r="A504" s="1"/>
      <c r="B504" s="1"/>
      <c r="C504" s="1"/>
      <c r="D504" s="1"/>
      <c r="E504" s="1"/>
      <c r="F504" s="1"/>
      <c r="G504" s="1"/>
      <c r="H504" s="1"/>
      <c r="I504" s="1"/>
      <c r="J504" s="1"/>
      <c r="K504" s="1"/>
      <c r="L504" s="1"/>
      <c r="M504" s="1"/>
      <c r="N504" s="1"/>
      <c r="O504" s="1"/>
      <c r="P504" s="1"/>
      <c r="Q504" s="1"/>
    </row>
    <row r="505" spans="1:18" x14ac:dyDescent="0.2">
      <c r="A505" s="1"/>
      <c r="B505" s="1"/>
      <c r="C505" s="1"/>
      <c r="D505" s="1"/>
      <c r="E505" s="1"/>
      <c r="F505" s="1"/>
      <c r="G505" s="1"/>
      <c r="H505" s="1"/>
      <c r="I505" s="1"/>
      <c r="J505" s="1"/>
      <c r="K505" s="1"/>
      <c r="L505" s="1"/>
      <c r="M505" s="1"/>
      <c r="N505" s="1"/>
      <c r="O505" s="1"/>
      <c r="P505" s="1"/>
      <c r="Q505" s="1"/>
    </row>
    <row r="506" spans="1:18" x14ac:dyDescent="0.2">
      <c r="A506" s="1"/>
      <c r="B506" s="1"/>
      <c r="C506" s="1"/>
      <c r="D506" s="1"/>
      <c r="E506" s="1"/>
      <c r="F506" s="1"/>
      <c r="G506" s="1"/>
      <c r="H506" s="1"/>
      <c r="I506" s="1"/>
      <c r="J506" s="1"/>
      <c r="K506" s="1"/>
      <c r="L506" s="1"/>
      <c r="M506" s="1"/>
      <c r="N506" s="1"/>
      <c r="O506" s="1"/>
      <c r="P506" s="1"/>
      <c r="Q506" s="1"/>
    </row>
    <row r="507" spans="1:18" x14ac:dyDescent="0.2">
      <c r="A507" s="1"/>
      <c r="B507" s="1"/>
      <c r="C507" s="1"/>
      <c r="D507" s="1"/>
      <c r="E507" s="1"/>
      <c r="F507" s="1"/>
      <c r="G507" s="1"/>
      <c r="H507" s="1"/>
      <c r="I507" s="1"/>
      <c r="J507" s="1"/>
      <c r="K507" s="1"/>
      <c r="L507" s="1"/>
      <c r="M507" s="1"/>
      <c r="N507" s="1"/>
      <c r="O507" s="1"/>
      <c r="P507" s="1"/>
      <c r="Q507" s="1"/>
    </row>
    <row r="508" spans="1:18" x14ac:dyDescent="0.2">
      <c r="A508" s="1"/>
      <c r="B508" s="1"/>
      <c r="C508" s="1"/>
      <c r="D508" s="1"/>
      <c r="E508" s="1"/>
      <c r="F508" s="1"/>
      <c r="G508" s="1"/>
      <c r="H508" s="1"/>
      <c r="I508" s="1"/>
      <c r="J508" s="1"/>
      <c r="K508" s="1"/>
      <c r="L508" s="1"/>
      <c r="M508" s="1"/>
      <c r="N508" s="1"/>
      <c r="O508" s="1"/>
      <c r="P508" s="1"/>
      <c r="Q508" s="1"/>
    </row>
    <row r="509" spans="1:18" x14ac:dyDescent="0.2">
      <c r="A509" s="1"/>
      <c r="B509" s="1"/>
      <c r="C509" s="1"/>
      <c r="D509" s="1"/>
      <c r="E509" s="1"/>
      <c r="F509" s="1"/>
      <c r="G509" s="1"/>
      <c r="H509" s="1"/>
      <c r="I509" s="1"/>
      <c r="J509" s="1"/>
      <c r="K509" s="1"/>
      <c r="L509" s="1"/>
      <c r="M509" s="1"/>
      <c r="N509" s="1"/>
      <c r="O509" s="1"/>
      <c r="P509" s="1"/>
      <c r="Q509" s="1"/>
    </row>
    <row r="510" spans="1:18" x14ac:dyDescent="0.2">
      <c r="A510" s="1"/>
      <c r="B510" s="1"/>
      <c r="C510" s="1"/>
      <c r="D510" s="1"/>
      <c r="E510" s="1"/>
      <c r="F510" s="1"/>
      <c r="G510" s="1"/>
      <c r="H510" s="1"/>
      <c r="I510" s="1"/>
      <c r="J510" s="1"/>
      <c r="K510" s="1"/>
      <c r="L510" s="1"/>
      <c r="M510" s="1"/>
      <c r="N510" s="1"/>
      <c r="O510" s="1"/>
      <c r="P510" s="1"/>
      <c r="Q510" s="1"/>
    </row>
    <row r="511" spans="1:18" x14ac:dyDescent="0.2">
      <c r="A511" s="1"/>
      <c r="B511" s="1"/>
      <c r="C511" s="1"/>
      <c r="D511" s="1"/>
      <c r="E511" s="1"/>
      <c r="F511" s="1"/>
      <c r="G511" s="1"/>
      <c r="H511" s="1"/>
      <c r="I511" s="1"/>
      <c r="J511" s="1"/>
      <c r="K511" s="1"/>
      <c r="L511" s="1"/>
      <c r="M511" s="1"/>
      <c r="N511" s="1"/>
      <c r="O511" s="1"/>
      <c r="P511" s="1"/>
      <c r="Q511" s="1"/>
    </row>
    <row r="512" spans="1:18" x14ac:dyDescent="0.2">
      <c r="A512" s="1"/>
      <c r="B512" s="1"/>
      <c r="C512" s="1"/>
      <c r="D512" s="1"/>
      <c r="E512" s="1"/>
      <c r="F512" s="1"/>
      <c r="G512" s="1"/>
      <c r="H512" s="1"/>
      <c r="I512" s="1"/>
      <c r="J512" s="1"/>
      <c r="K512" s="1"/>
      <c r="L512" s="1"/>
      <c r="M512" s="1"/>
      <c r="N512" s="1"/>
      <c r="O512" s="1"/>
      <c r="P512" s="1"/>
      <c r="Q512" s="1"/>
    </row>
    <row r="513" spans="1:17" x14ac:dyDescent="0.2">
      <c r="A513" s="1"/>
      <c r="B513" s="1"/>
      <c r="C513" s="1"/>
      <c r="D513" s="1"/>
      <c r="E513" s="1"/>
      <c r="F513" s="1"/>
      <c r="G513" s="1"/>
      <c r="H513" s="1"/>
      <c r="I513" s="1"/>
      <c r="J513" s="1"/>
      <c r="K513" s="1"/>
      <c r="L513" s="1"/>
      <c r="M513" s="1"/>
      <c r="N513" s="1"/>
      <c r="O513" s="1"/>
      <c r="P513" s="1"/>
      <c r="Q513" s="1"/>
    </row>
    <row r="514" spans="1:17" x14ac:dyDescent="0.2">
      <c r="A514" s="1"/>
      <c r="B514" s="1"/>
      <c r="C514" s="1"/>
      <c r="D514" s="1"/>
      <c r="E514" s="1"/>
      <c r="F514" s="1"/>
      <c r="G514" s="1"/>
      <c r="H514" s="1"/>
      <c r="I514" s="1"/>
      <c r="J514" s="1"/>
      <c r="K514" s="1"/>
      <c r="L514" s="1"/>
      <c r="M514" s="1"/>
      <c r="N514" s="1"/>
      <c r="O514" s="1"/>
      <c r="P514" s="1"/>
      <c r="Q514" s="1"/>
    </row>
    <row r="515" spans="1:17" x14ac:dyDescent="0.2">
      <c r="A515" s="1"/>
      <c r="B515" s="1"/>
      <c r="C515" s="1"/>
      <c r="D515" s="1"/>
      <c r="E515" s="1"/>
      <c r="F515" s="1"/>
      <c r="G515" s="1"/>
      <c r="H515" s="1"/>
      <c r="I515" s="1"/>
      <c r="J515" s="1"/>
      <c r="K515" s="1"/>
      <c r="L515" s="1"/>
      <c r="M515" s="1"/>
      <c r="N515" s="1"/>
      <c r="O515" s="1"/>
      <c r="P515" s="1"/>
      <c r="Q515" s="1"/>
    </row>
    <row r="516" spans="1:17" x14ac:dyDescent="0.2">
      <c r="A516" s="1"/>
      <c r="B516" s="1"/>
      <c r="C516" s="1"/>
      <c r="D516" s="1"/>
      <c r="E516" s="1"/>
      <c r="F516" s="1"/>
      <c r="G516" s="1"/>
      <c r="H516" s="1"/>
      <c r="I516" s="1"/>
      <c r="J516" s="1"/>
      <c r="K516" s="1"/>
      <c r="L516" s="1"/>
      <c r="M516" s="1"/>
      <c r="N516" s="1"/>
      <c r="O516" s="1"/>
      <c r="P516" s="1"/>
      <c r="Q516" s="1"/>
    </row>
    <row r="517" spans="1:17" x14ac:dyDescent="0.2">
      <c r="A517" s="1"/>
      <c r="B517" s="1"/>
      <c r="C517" s="1"/>
      <c r="D517" s="1"/>
      <c r="E517" s="1"/>
      <c r="F517" s="1"/>
      <c r="G517" s="1"/>
      <c r="H517" s="1"/>
      <c r="I517" s="1"/>
      <c r="J517" s="1"/>
      <c r="K517" s="1"/>
      <c r="L517" s="1"/>
      <c r="M517" s="1"/>
      <c r="N517" s="1"/>
      <c r="O517" s="1"/>
      <c r="P517" s="1"/>
      <c r="Q517" s="1"/>
    </row>
    <row r="518" spans="1:17" x14ac:dyDescent="0.2">
      <c r="A518" s="1"/>
      <c r="B518" s="1"/>
      <c r="C518" s="1"/>
      <c r="D518" s="1"/>
      <c r="E518" s="1"/>
      <c r="F518" s="1"/>
      <c r="G518" s="1"/>
      <c r="H518" s="1"/>
      <c r="I518" s="1"/>
      <c r="J518" s="1"/>
      <c r="K518" s="1"/>
      <c r="L518" s="1"/>
      <c r="M518" s="1"/>
      <c r="N518" s="1"/>
      <c r="O518" s="1"/>
      <c r="P518" s="1"/>
      <c r="Q518" s="1"/>
    </row>
    <row r="519" spans="1:17" x14ac:dyDescent="0.2">
      <c r="A519" s="1"/>
      <c r="B519" s="1"/>
      <c r="C519" s="1"/>
      <c r="D519" s="1"/>
      <c r="E519" s="1"/>
      <c r="F519" s="1"/>
      <c r="G519" s="1"/>
      <c r="H519" s="1"/>
      <c r="I519" s="1"/>
      <c r="J519" s="1"/>
      <c r="K519" s="1"/>
      <c r="L519" s="1"/>
      <c r="M519" s="1"/>
      <c r="N519" s="1"/>
      <c r="O519" s="1"/>
      <c r="P519" s="1"/>
      <c r="Q519" s="1"/>
    </row>
    <row r="520" spans="1:17" x14ac:dyDescent="0.2">
      <c r="A520" s="1"/>
      <c r="B520" s="1"/>
      <c r="C520" s="1"/>
      <c r="D520" s="1"/>
      <c r="E520" s="1"/>
      <c r="F520" s="1"/>
      <c r="G520" s="1"/>
      <c r="H520" s="1"/>
      <c r="I520" s="1"/>
      <c r="J520" s="1"/>
      <c r="K520" s="1"/>
      <c r="L520" s="1"/>
      <c r="M520" s="1"/>
      <c r="N520" s="1"/>
      <c r="O520" s="1"/>
      <c r="P520" s="1"/>
      <c r="Q520" s="1"/>
    </row>
    <row r="521" spans="1:17" x14ac:dyDescent="0.2">
      <c r="A521" s="1"/>
      <c r="B521" s="1"/>
      <c r="C521" s="1"/>
      <c r="D521" s="1"/>
      <c r="E521" s="1"/>
      <c r="F521" s="1"/>
      <c r="G521" s="1"/>
      <c r="H521" s="1"/>
      <c r="I521" s="1"/>
      <c r="J521" s="1"/>
      <c r="K521" s="1"/>
      <c r="L521" s="1"/>
      <c r="M521" s="1"/>
      <c r="N521" s="1"/>
      <c r="O521" s="1"/>
      <c r="P521" s="1"/>
      <c r="Q521" s="1"/>
    </row>
    <row r="522" spans="1:17" x14ac:dyDescent="0.2">
      <c r="A522" s="1"/>
      <c r="B522" s="1"/>
      <c r="C522" s="1"/>
      <c r="D522" s="1"/>
      <c r="E522" s="1"/>
      <c r="F522" s="1"/>
      <c r="G522" s="1"/>
      <c r="H522" s="1"/>
      <c r="I522" s="1"/>
      <c r="J522" s="1"/>
      <c r="K522" s="1"/>
      <c r="L522" s="1"/>
      <c r="M522" s="1"/>
      <c r="N522" s="1"/>
      <c r="O522" s="1"/>
      <c r="P522" s="1"/>
      <c r="Q522" s="1"/>
    </row>
    <row r="523" spans="1:17" x14ac:dyDescent="0.2">
      <c r="A523" s="1"/>
      <c r="B523" s="1"/>
      <c r="C523" s="1"/>
      <c r="D523" s="1"/>
      <c r="E523" s="1"/>
      <c r="F523" s="1"/>
      <c r="G523" s="1"/>
      <c r="H523" s="1"/>
      <c r="I523" s="1"/>
      <c r="J523" s="1"/>
      <c r="K523" s="1"/>
      <c r="L523" s="1"/>
      <c r="M523" s="1"/>
      <c r="N523" s="1"/>
      <c r="O523" s="1"/>
      <c r="P523" s="1"/>
      <c r="Q523" s="1"/>
    </row>
    <row r="524" spans="1:17" x14ac:dyDescent="0.2">
      <c r="A524" s="1"/>
      <c r="B524" s="1"/>
      <c r="C524" s="1"/>
      <c r="D524" s="1"/>
      <c r="E524" s="1"/>
      <c r="F524" s="1"/>
      <c r="G524" s="1"/>
      <c r="H524" s="1"/>
      <c r="I524" s="1"/>
      <c r="J524" s="1"/>
      <c r="K524" s="1"/>
      <c r="L524" s="1"/>
      <c r="M524" s="1"/>
      <c r="N524" s="1"/>
      <c r="O524" s="1"/>
      <c r="P524" s="1"/>
      <c r="Q524" s="1"/>
    </row>
    <row r="525" spans="1:17" x14ac:dyDescent="0.2">
      <c r="A525" s="1"/>
      <c r="B525" s="1"/>
      <c r="C525" s="1"/>
      <c r="D525" s="1"/>
      <c r="E525" s="1"/>
      <c r="F525" s="1"/>
      <c r="G525" s="1"/>
      <c r="H525" s="1"/>
      <c r="I525" s="1"/>
      <c r="J525" s="1"/>
      <c r="K525" s="1"/>
      <c r="L525" s="1"/>
      <c r="M525" s="1"/>
      <c r="N525" s="1"/>
      <c r="O525" s="1"/>
      <c r="P525" s="1"/>
      <c r="Q525" s="1"/>
    </row>
    <row r="526" spans="1:17" x14ac:dyDescent="0.2">
      <c r="A526" s="1"/>
      <c r="B526" s="1"/>
      <c r="C526" s="1"/>
      <c r="D526" s="1"/>
      <c r="E526" s="1"/>
      <c r="F526" s="1"/>
      <c r="G526" s="1"/>
      <c r="H526" s="1"/>
      <c r="I526" s="1"/>
      <c r="J526" s="1"/>
      <c r="K526" s="1"/>
      <c r="L526" s="1"/>
      <c r="M526" s="1"/>
      <c r="N526" s="1"/>
      <c r="O526" s="1"/>
      <c r="P526" s="1"/>
      <c r="Q526" s="1"/>
    </row>
    <row r="527" spans="1:17" x14ac:dyDescent="0.2">
      <c r="A527" s="1"/>
      <c r="B527" s="1"/>
      <c r="C527" s="1"/>
      <c r="D527" s="1"/>
      <c r="E527" s="1"/>
      <c r="F527" s="1"/>
      <c r="G527" s="1"/>
      <c r="H527" s="1"/>
      <c r="I527" s="1"/>
      <c r="J527" s="1"/>
      <c r="K527" s="1"/>
      <c r="L527" s="1"/>
      <c r="M527" s="1"/>
      <c r="N527" s="1"/>
      <c r="O527" s="1"/>
      <c r="P527" s="1"/>
      <c r="Q527" s="1"/>
    </row>
    <row r="528" spans="1:17" x14ac:dyDescent="0.2">
      <c r="A528" s="1"/>
      <c r="B528" s="1"/>
      <c r="C528" s="1"/>
      <c r="D528" s="1"/>
      <c r="E528" s="1"/>
      <c r="F528" s="1"/>
      <c r="G528" s="1"/>
      <c r="H528" s="1"/>
      <c r="I528" s="1"/>
      <c r="J528" s="1"/>
      <c r="K528" s="1"/>
      <c r="L528" s="1"/>
      <c r="M528" s="1"/>
      <c r="N528" s="1"/>
      <c r="O528" s="1"/>
      <c r="P528" s="1"/>
      <c r="Q528" s="1"/>
    </row>
    <row r="529" spans="1:17" x14ac:dyDescent="0.2">
      <c r="A529" s="1"/>
      <c r="B529" s="1"/>
      <c r="C529" s="1"/>
      <c r="D529" s="1"/>
      <c r="E529" s="1"/>
      <c r="F529" s="1"/>
      <c r="G529" s="1"/>
      <c r="H529" s="1"/>
      <c r="I529" s="1"/>
      <c r="J529" s="1"/>
      <c r="K529" s="1"/>
      <c r="L529" s="1"/>
      <c r="M529" s="1"/>
      <c r="N529" s="1"/>
      <c r="O529" s="1"/>
      <c r="P529" s="1"/>
      <c r="Q529" s="1"/>
    </row>
    <row r="530" spans="1:17" x14ac:dyDescent="0.2">
      <c r="A530" s="1"/>
      <c r="B530" s="1"/>
      <c r="C530" s="1"/>
      <c r="D530" s="1"/>
      <c r="E530" s="1"/>
      <c r="F530" s="1"/>
      <c r="G530" s="1"/>
      <c r="H530" s="1"/>
      <c r="I530" s="1"/>
      <c r="J530" s="1"/>
      <c r="K530" s="1"/>
      <c r="L530" s="1"/>
      <c r="M530" s="1"/>
      <c r="N530" s="1"/>
      <c r="O530" s="1"/>
      <c r="P530" s="1"/>
      <c r="Q530" s="1"/>
    </row>
    <row r="531" spans="1:17" x14ac:dyDescent="0.2">
      <c r="A531" s="1"/>
      <c r="B531" s="1"/>
      <c r="C531" s="1"/>
      <c r="D531" s="1"/>
      <c r="E531" s="1"/>
      <c r="F531" s="1"/>
      <c r="G531" s="1"/>
      <c r="H531" s="1"/>
      <c r="I531" s="1"/>
      <c r="J531" s="1"/>
      <c r="K531" s="1"/>
      <c r="L531" s="1"/>
      <c r="M531" s="1"/>
      <c r="N531" s="1"/>
      <c r="O531" s="1"/>
      <c r="P531" s="1"/>
      <c r="Q531" s="1"/>
    </row>
    <row r="532" spans="1:17" x14ac:dyDescent="0.2">
      <c r="A532" s="1"/>
      <c r="B532" s="1"/>
      <c r="C532" s="1"/>
      <c r="D532" s="1"/>
      <c r="E532" s="1"/>
      <c r="F532" s="1"/>
      <c r="G532" s="1"/>
      <c r="H532" s="1"/>
      <c r="I532" s="1"/>
      <c r="J532" s="1"/>
      <c r="K532" s="1"/>
      <c r="L532" s="1"/>
      <c r="M532" s="1"/>
      <c r="N532" s="1"/>
      <c r="O532" s="1"/>
      <c r="P532" s="1"/>
      <c r="Q532" s="1"/>
    </row>
    <row r="533" spans="1:17" x14ac:dyDescent="0.2">
      <c r="A533" s="1"/>
      <c r="B533" s="1"/>
      <c r="C533" s="1"/>
      <c r="D533" s="1"/>
      <c r="E533" s="1"/>
      <c r="F533" s="1"/>
      <c r="G533" s="1"/>
      <c r="H533" s="1"/>
      <c r="I533" s="1"/>
      <c r="J533" s="1"/>
      <c r="K533" s="1"/>
      <c r="L533" s="1"/>
      <c r="M533" s="1"/>
      <c r="N533" s="1"/>
      <c r="O533" s="1"/>
      <c r="P533" s="1"/>
      <c r="Q533" s="1"/>
    </row>
    <row r="534" spans="1:17" x14ac:dyDescent="0.2">
      <c r="A534" s="1"/>
      <c r="B534" s="1"/>
      <c r="C534" s="1"/>
      <c r="D534" s="1"/>
      <c r="E534" s="1"/>
      <c r="F534" s="1"/>
      <c r="G534" s="1"/>
      <c r="H534" s="1"/>
      <c r="I534" s="1"/>
      <c r="J534" s="1"/>
      <c r="K534" s="1"/>
      <c r="L534" s="1"/>
      <c r="M534" s="1"/>
      <c r="N534" s="1"/>
      <c r="O534" s="1"/>
      <c r="P534" s="1"/>
      <c r="Q534" s="1"/>
    </row>
    <row r="535" spans="1:17" x14ac:dyDescent="0.2">
      <c r="A535" s="1"/>
      <c r="B535" s="1"/>
      <c r="C535" s="1"/>
      <c r="D535" s="1"/>
      <c r="E535" s="1"/>
      <c r="F535" s="1"/>
      <c r="G535" s="1"/>
      <c r="H535" s="1"/>
      <c r="I535" s="1"/>
      <c r="J535" s="1"/>
      <c r="K535" s="1"/>
      <c r="L535" s="1"/>
      <c r="M535" s="1"/>
      <c r="N535" s="1"/>
      <c r="O535" s="1"/>
      <c r="P535" s="1"/>
      <c r="Q535" s="1"/>
    </row>
    <row r="536" spans="1:17" x14ac:dyDescent="0.2">
      <c r="A536" s="1"/>
      <c r="B536" s="1"/>
      <c r="C536" s="1"/>
      <c r="D536" s="1"/>
      <c r="E536" s="1"/>
      <c r="F536" s="1"/>
      <c r="G536" s="1"/>
      <c r="H536" s="1"/>
      <c r="I536" s="1"/>
      <c r="J536" s="1"/>
      <c r="K536" s="1"/>
      <c r="L536" s="1"/>
      <c r="M536" s="1"/>
      <c r="N536" s="1"/>
      <c r="O536" s="1"/>
      <c r="P536" s="1"/>
      <c r="Q536" s="1"/>
    </row>
    <row r="537" spans="1:17" x14ac:dyDescent="0.2">
      <c r="A537" s="1"/>
      <c r="B537" s="1"/>
      <c r="C537" s="1"/>
      <c r="D537" s="1"/>
      <c r="E537" s="1"/>
      <c r="F537" s="1"/>
      <c r="G537" s="1"/>
      <c r="H537" s="1"/>
      <c r="I537" s="1"/>
      <c r="J537" s="1"/>
      <c r="K537" s="1"/>
      <c r="L537" s="1"/>
      <c r="M537" s="1"/>
      <c r="N537" s="1"/>
      <c r="O537" s="1"/>
      <c r="P537" s="1"/>
      <c r="Q537" s="1"/>
    </row>
    <row r="538" spans="1:17" x14ac:dyDescent="0.2">
      <c r="A538" s="1"/>
      <c r="B538" s="1"/>
      <c r="C538" s="1"/>
      <c r="D538" s="1"/>
      <c r="E538" s="1"/>
      <c r="F538" s="1"/>
      <c r="G538" s="1"/>
      <c r="H538" s="1"/>
      <c r="I538" s="1"/>
      <c r="J538" s="1"/>
      <c r="K538" s="1"/>
      <c r="L538" s="1"/>
      <c r="M538" s="1"/>
      <c r="N538" s="1"/>
      <c r="O538" s="1"/>
      <c r="P538" s="1"/>
      <c r="Q538" s="1"/>
    </row>
    <row r="539" spans="1:17" x14ac:dyDescent="0.2">
      <c r="A539" s="1"/>
      <c r="B539" s="1"/>
      <c r="C539" s="1"/>
      <c r="D539" s="1"/>
      <c r="E539" s="1"/>
      <c r="F539" s="1"/>
      <c r="G539" s="1"/>
      <c r="H539" s="1"/>
      <c r="I539" s="1"/>
      <c r="J539" s="1"/>
      <c r="K539" s="1"/>
      <c r="L539" s="1"/>
      <c r="M539" s="1"/>
      <c r="N539" s="1"/>
      <c r="O539" s="1"/>
      <c r="P539" s="1"/>
      <c r="Q539" s="1"/>
    </row>
    <row r="540" spans="1:17" x14ac:dyDescent="0.2">
      <c r="A540" s="1"/>
      <c r="B540" s="1"/>
      <c r="C540" s="1"/>
      <c r="D540" s="1"/>
      <c r="E540" s="1"/>
      <c r="F540" s="1"/>
      <c r="G540" s="1"/>
      <c r="H540" s="1"/>
      <c r="I540" s="1"/>
      <c r="J540" s="1"/>
      <c r="K540" s="1"/>
      <c r="L540" s="1"/>
      <c r="M540" s="1"/>
      <c r="N540" s="1"/>
      <c r="O540" s="1"/>
      <c r="P540" s="1"/>
      <c r="Q540" s="1"/>
    </row>
    <row r="541" spans="1:17" x14ac:dyDescent="0.2">
      <c r="A541" s="1"/>
      <c r="B541" s="1"/>
      <c r="C541" s="1"/>
      <c r="D541" s="1"/>
      <c r="E541" s="1"/>
      <c r="F541" s="1"/>
      <c r="G541" s="1"/>
      <c r="H541" s="1"/>
      <c r="I541" s="1"/>
      <c r="J541" s="1"/>
      <c r="K541" s="1"/>
      <c r="L541" s="1"/>
      <c r="M541" s="1"/>
      <c r="N541" s="1"/>
      <c r="O541" s="1"/>
      <c r="P541" s="1"/>
      <c r="Q541" s="1"/>
    </row>
    <row r="542" spans="1:17" x14ac:dyDescent="0.2">
      <c r="A542" s="1"/>
      <c r="B542" s="1"/>
      <c r="C542" s="1"/>
      <c r="D542" s="1"/>
      <c r="E542" s="1"/>
      <c r="F542" s="1"/>
      <c r="G542" s="1"/>
      <c r="H542" s="1"/>
      <c r="I542" s="1"/>
      <c r="J542" s="1"/>
      <c r="K542" s="1"/>
      <c r="L542" s="1"/>
      <c r="M542" s="1"/>
      <c r="N542" s="1"/>
      <c r="O542" s="1"/>
      <c r="P542" s="1"/>
      <c r="Q542" s="1"/>
    </row>
    <row r="543" spans="1:17" x14ac:dyDescent="0.2">
      <c r="A543" s="1"/>
      <c r="B543" s="1"/>
      <c r="C543" s="1"/>
      <c r="D543" s="1"/>
      <c r="E543" s="1"/>
      <c r="F543" s="1"/>
      <c r="G543" s="1"/>
      <c r="H543" s="1"/>
      <c r="I543" s="1"/>
      <c r="J543" s="1"/>
      <c r="K543" s="1"/>
      <c r="L543" s="1"/>
      <c r="M543" s="1"/>
      <c r="N543" s="1"/>
      <c r="O543" s="1"/>
      <c r="P543" s="1"/>
      <c r="Q543" s="1"/>
    </row>
    <row r="544" spans="1:17" x14ac:dyDescent="0.2">
      <c r="A544" s="1"/>
      <c r="B544" s="1"/>
      <c r="C544" s="1"/>
      <c r="D544" s="1"/>
      <c r="E544" s="1"/>
      <c r="F544" s="1"/>
      <c r="G544" s="1"/>
      <c r="H544" s="1"/>
      <c r="I544" s="1"/>
      <c r="J544" s="1"/>
      <c r="K544" s="1"/>
      <c r="L544" s="1"/>
      <c r="M544" s="1"/>
      <c r="N544" s="1"/>
      <c r="O544" s="1"/>
      <c r="P544" s="1"/>
      <c r="Q544" s="1"/>
    </row>
    <row r="545" spans="1:17" x14ac:dyDescent="0.2">
      <c r="A545" s="1"/>
      <c r="B545" s="1"/>
      <c r="C545" s="1"/>
      <c r="D545" s="1"/>
      <c r="E545" s="1"/>
      <c r="F545" s="1"/>
      <c r="G545" s="1"/>
      <c r="H545" s="1"/>
      <c r="I545" s="1"/>
      <c r="J545" s="1"/>
      <c r="K545" s="1"/>
      <c r="L545" s="1"/>
      <c r="M545" s="1"/>
      <c r="N545" s="1"/>
      <c r="O545" s="1"/>
      <c r="P545" s="1"/>
      <c r="Q545" s="1"/>
    </row>
    <row r="546" spans="1:17" x14ac:dyDescent="0.2">
      <c r="A546" s="1"/>
      <c r="B546" s="1"/>
      <c r="C546" s="1"/>
      <c r="D546" s="1"/>
      <c r="E546" s="1"/>
      <c r="F546" s="1"/>
      <c r="G546" s="1"/>
      <c r="H546" s="1"/>
      <c r="I546" s="1"/>
      <c r="J546" s="1"/>
      <c r="K546" s="1"/>
      <c r="L546" s="1"/>
      <c r="M546" s="1"/>
      <c r="N546" s="1"/>
      <c r="O546" s="1"/>
      <c r="P546" s="1"/>
      <c r="Q546" s="1"/>
    </row>
    <row r="547" spans="1:17" x14ac:dyDescent="0.2">
      <c r="A547" s="1"/>
      <c r="B547" s="1"/>
      <c r="C547" s="1"/>
      <c r="D547" s="1"/>
      <c r="E547" s="1"/>
      <c r="F547" s="1"/>
      <c r="G547" s="1"/>
      <c r="H547" s="1"/>
      <c r="I547" s="1"/>
      <c r="J547" s="1"/>
      <c r="K547" s="1"/>
      <c r="L547" s="1"/>
      <c r="M547" s="1"/>
      <c r="N547" s="1"/>
      <c r="O547" s="1"/>
      <c r="P547" s="1"/>
      <c r="Q547" s="1"/>
    </row>
    <row r="548" spans="1:17" x14ac:dyDescent="0.2">
      <c r="A548" s="1"/>
      <c r="B548" s="1"/>
      <c r="C548" s="1"/>
      <c r="D548" s="1"/>
      <c r="E548" s="1"/>
      <c r="F548" s="1"/>
      <c r="G548" s="1"/>
      <c r="H548" s="1"/>
      <c r="I548" s="1"/>
      <c r="J548" s="1"/>
      <c r="K548" s="1"/>
      <c r="L548" s="1"/>
      <c r="M548" s="1"/>
      <c r="N548" s="1"/>
      <c r="O548" s="1"/>
      <c r="P548" s="1"/>
      <c r="Q548" s="1"/>
    </row>
    <row r="549" spans="1:17" x14ac:dyDescent="0.2">
      <c r="A549" s="1"/>
      <c r="B549" s="1"/>
      <c r="C549" s="1"/>
      <c r="D549" s="1"/>
      <c r="E549" s="1"/>
      <c r="F549" s="1"/>
      <c r="G549" s="1"/>
      <c r="H549" s="1"/>
      <c r="I549" s="1"/>
      <c r="J549" s="1"/>
      <c r="K549" s="1"/>
      <c r="L549" s="1"/>
      <c r="M549" s="1"/>
      <c r="N549" s="1"/>
      <c r="O549" s="1"/>
      <c r="P549" s="1"/>
      <c r="Q549" s="1"/>
    </row>
    <row r="550" spans="1:17" x14ac:dyDescent="0.2">
      <c r="A550" s="1"/>
      <c r="B550" s="1"/>
      <c r="C550" s="1"/>
      <c r="D550" s="1"/>
      <c r="E550" s="1"/>
      <c r="F550" s="1"/>
      <c r="G550" s="1"/>
      <c r="H550" s="1"/>
      <c r="I550" s="1"/>
      <c r="J550" s="1"/>
      <c r="K550" s="1"/>
      <c r="L550" s="1"/>
      <c r="M550" s="1"/>
      <c r="N550" s="1"/>
      <c r="O550" s="1"/>
      <c r="P550" s="1"/>
      <c r="Q550" s="1"/>
    </row>
    <row r="551" spans="1:17" x14ac:dyDescent="0.2">
      <c r="A551" s="1"/>
      <c r="B551" s="1"/>
      <c r="C551" s="1"/>
      <c r="D551" s="1"/>
      <c r="E551" s="1"/>
      <c r="F551" s="1"/>
      <c r="G551" s="1"/>
      <c r="H551" s="1"/>
      <c r="I551" s="1"/>
      <c r="J551" s="1"/>
      <c r="K551" s="1"/>
      <c r="L551" s="1"/>
      <c r="M551" s="1"/>
      <c r="N551" s="1"/>
      <c r="O551" s="1"/>
      <c r="P551" s="1"/>
      <c r="Q551" s="1"/>
    </row>
    <row r="552" spans="1:17" x14ac:dyDescent="0.2">
      <c r="A552" s="1"/>
      <c r="B552" s="1"/>
      <c r="C552" s="1"/>
      <c r="D552" s="1"/>
      <c r="E552" s="1"/>
      <c r="F552" s="1"/>
      <c r="G552" s="1"/>
      <c r="H552" s="1"/>
      <c r="I552" s="1"/>
      <c r="J552" s="1"/>
      <c r="K552" s="1"/>
      <c r="L552" s="1"/>
      <c r="M552" s="1"/>
      <c r="N552" s="1"/>
      <c r="O552" s="1"/>
      <c r="P552" s="1"/>
      <c r="Q552" s="1"/>
    </row>
    <row r="553" spans="1:17" x14ac:dyDescent="0.2">
      <c r="A553" s="1"/>
      <c r="B553" s="1"/>
      <c r="C553" s="1"/>
      <c r="D553" s="1"/>
      <c r="E553" s="1"/>
      <c r="F553" s="1"/>
      <c r="G553" s="1"/>
      <c r="H553" s="1"/>
      <c r="I553" s="1"/>
      <c r="J553" s="1"/>
      <c r="K553" s="1"/>
      <c r="L553" s="1"/>
      <c r="M553" s="1"/>
      <c r="N553" s="1"/>
      <c r="O553" s="1"/>
      <c r="P553" s="1"/>
      <c r="Q553" s="1"/>
    </row>
    <row r="554" spans="1:17" x14ac:dyDescent="0.2">
      <c r="A554" s="1"/>
      <c r="B554" s="1"/>
      <c r="C554" s="1"/>
      <c r="D554" s="1"/>
      <c r="E554" s="1"/>
      <c r="F554" s="1"/>
      <c r="G554" s="1"/>
      <c r="H554" s="1"/>
      <c r="I554" s="1"/>
      <c r="J554" s="1"/>
      <c r="K554" s="1"/>
      <c r="L554" s="1"/>
      <c r="M554" s="1"/>
      <c r="N554" s="1"/>
      <c r="O554" s="1"/>
      <c r="P554" s="1"/>
      <c r="Q554" s="1"/>
    </row>
    <row r="555" spans="1:17" x14ac:dyDescent="0.2">
      <c r="A555" s="1"/>
      <c r="B555" s="1"/>
      <c r="C555" s="1"/>
      <c r="D555" s="1"/>
      <c r="E555" s="1"/>
      <c r="F555" s="1"/>
      <c r="G555" s="1"/>
      <c r="H555" s="1"/>
      <c r="I555" s="1"/>
      <c r="J555" s="1"/>
      <c r="K555" s="1"/>
      <c r="L555" s="1"/>
      <c r="M555" s="1"/>
      <c r="N555" s="1"/>
      <c r="O555" s="1"/>
      <c r="P555" s="1"/>
      <c r="Q555" s="1"/>
    </row>
    <row r="556" spans="1:17" x14ac:dyDescent="0.2">
      <c r="A556" s="1"/>
      <c r="B556" s="1"/>
      <c r="C556" s="1"/>
      <c r="D556" s="1"/>
      <c r="E556" s="1"/>
      <c r="F556" s="1"/>
      <c r="G556" s="1"/>
      <c r="H556" s="1"/>
      <c r="I556" s="1"/>
      <c r="J556" s="1"/>
      <c r="K556" s="1"/>
      <c r="L556" s="1"/>
      <c r="M556" s="1"/>
      <c r="N556" s="1"/>
      <c r="O556" s="1"/>
      <c r="P556" s="1"/>
      <c r="Q556" s="1"/>
    </row>
    <row r="557" spans="1:17" x14ac:dyDescent="0.2">
      <c r="A557" s="1"/>
      <c r="B557" s="1"/>
      <c r="C557" s="1"/>
      <c r="D557" s="1"/>
      <c r="E557" s="1"/>
      <c r="F557" s="1"/>
      <c r="G557" s="1"/>
      <c r="H557" s="1"/>
      <c r="I557" s="1"/>
      <c r="J557" s="1"/>
      <c r="K557" s="1"/>
      <c r="L557" s="1"/>
      <c r="M557" s="1"/>
      <c r="N557" s="1"/>
      <c r="O557" s="1"/>
      <c r="P557" s="1"/>
      <c r="Q557" s="1"/>
    </row>
    <row r="558" spans="1:17" x14ac:dyDescent="0.2">
      <c r="A558" s="1"/>
      <c r="B558" s="1"/>
      <c r="C558" s="1"/>
      <c r="D558" s="1"/>
      <c r="E558" s="1"/>
      <c r="F558" s="1"/>
      <c r="G558" s="1"/>
      <c r="H558" s="1"/>
      <c r="I558" s="1"/>
      <c r="J558" s="1"/>
      <c r="K558" s="1"/>
      <c r="L558" s="1"/>
      <c r="M558" s="1"/>
      <c r="N558" s="1"/>
      <c r="O558" s="1"/>
      <c r="P558" s="1"/>
      <c r="Q558" s="1"/>
    </row>
    <row r="559" spans="1:17" x14ac:dyDescent="0.2">
      <c r="A559" s="1"/>
      <c r="B559" s="1"/>
      <c r="C559" s="1"/>
      <c r="D559" s="1"/>
      <c r="E559" s="1"/>
      <c r="F559" s="1"/>
      <c r="G559" s="1"/>
      <c r="H559" s="1"/>
      <c r="I559" s="1"/>
      <c r="J559" s="1"/>
      <c r="K559" s="1"/>
      <c r="L559" s="1"/>
      <c r="M559" s="1"/>
      <c r="N559" s="1"/>
      <c r="O559" s="1"/>
      <c r="P559" s="1"/>
      <c r="Q559" s="1"/>
    </row>
    <row r="560" spans="1:17" x14ac:dyDescent="0.2">
      <c r="A560" s="1"/>
      <c r="B560" s="1"/>
      <c r="C560" s="1"/>
      <c r="D560" s="1"/>
      <c r="E560" s="1"/>
      <c r="F560" s="1"/>
      <c r="G560" s="1"/>
      <c r="H560" s="1"/>
      <c r="I560" s="1"/>
      <c r="J560" s="1"/>
      <c r="K560" s="1"/>
      <c r="L560" s="1"/>
      <c r="M560" s="1"/>
      <c r="N560" s="1"/>
      <c r="O560" s="1"/>
      <c r="P560" s="1"/>
      <c r="Q560" s="1"/>
    </row>
    <row r="561" spans="1:17" x14ac:dyDescent="0.2">
      <c r="A561" s="1"/>
      <c r="B561" s="1"/>
      <c r="C561" s="1"/>
      <c r="D561" s="1"/>
      <c r="E561" s="1"/>
      <c r="F561" s="1"/>
      <c r="G561" s="1"/>
      <c r="H561" s="1"/>
      <c r="I561" s="1"/>
      <c r="J561" s="1"/>
      <c r="K561" s="1"/>
      <c r="L561" s="1"/>
      <c r="M561" s="1"/>
      <c r="N561" s="1"/>
      <c r="O561" s="1"/>
      <c r="P561" s="1"/>
      <c r="Q561" s="1"/>
    </row>
    <row r="562" spans="1:17" x14ac:dyDescent="0.2">
      <c r="A562" s="1"/>
      <c r="B562" s="1"/>
      <c r="C562" s="1"/>
      <c r="D562" s="1"/>
      <c r="E562" s="1"/>
      <c r="F562" s="1"/>
      <c r="G562" s="1"/>
      <c r="H562" s="1"/>
      <c r="I562" s="1"/>
      <c r="J562" s="1"/>
      <c r="K562" s="1"/>
      <c r="L562" s="1"/>
      <c r="M562" s="1"/>
      <c r="N562" s="1"/>
      <c r="O562" s="1"/>
      <c r="P562" s="1"/>
      <c r="Q562" s="1"/>
    </row>
    <row r="563" spans="1:17" x14ac:dyDescent="0.2">
      <c r="A563" s="1"/>
      <c r="B563" s="1"/>
      <c r="C563" s="1"/>
      <c r="D563" s="1"/>
      <c r="E563" s="1"/>
      <c r="F563" s="1"/>
      <c r="G563" s="1"/>
      <c r="H563" s="1"/>
      <c r="I563" s="1"/>
      <c r="J563" s="1"/>
      <c r="K563" s="1"/>
      <c r="L563" s="1"/>
      <c r="M563" s="1"/>
      <c r="N563" s="1"/>
      <c r="O563" s="1"/>
      <c r="P563" s="1"/>
      <c r="Q563" s="1"/>
    </row>
    <row r="564" spans="1:17" x14ac:dyDescent="0.2">
      <c r="A564" s="1"/>
      <c r="B564" s="1"/>
      <c r="C564" s="1"/>
      <c r="D564" s="1"/>
      <c r="E564" s="1"/>
      <c r="F564" s="1"/>
      <c r="G564" s="1"/>
      <c r="H564" s="1"/>
      <c r="I564" s="1"/>
      <c r="J564" s="1"/>
      <c r="K564" s="1"/>
      <c r="L564" s="1"/>
      <c r="M564" s="1"/>
      <c r="N564" s="1"/>
      <c r="O564" s="1"/>
      <c r="P564" s="1"/>
      <c r="Q564" s="1"/>
    </row>
    <row r="565" spans="1:17" x14ac:dyDescent="0.2">
      <c r="A565" s="1"/>
      <c r="B565" s="1"/>
      <c r="C565" s="1"/>
      <c r="D565" s="1"/>
      <c r="E565" s="1"/>
      <c r="F565" s="1"/>
      <c r="G565" s="1"/>
      <c r="H565" s="1"/>
      <c r="I565" s="1"/>
      <c r="J565" s="1"/>
      <c r="K565" s="1"/>
      <c r="L565" s="1"/>
      <c r="M565" s="1"/>
      <c r="N565" s="1"/>
      <c r="O565" s="1"/>
      <c r="P565" s="1"/>
      <c r="Q565" s="1"/>
    </row>
    <row r="566" spans="1:17" x14ac:dyDescent="0.2">
      <c r="A566" s="1"/>
      <c r="B566" s="1"/>
      <c r="C566" s="1"/>
      <c r="D566" s="1"/>
      <c r="E566" s="1"/>
      <c r="F566" s="1"/>
      <c r="G566" s="1"/>
      <c r="H566" s="1"/>
      <c r="I566" s="1"/>
      <c r="J566" s="1"/>
      <c r="K566" s="1"/>
      <c r="L566" s="1"/>
      <c r="M566" s="1"/>
      <c r="N566" s="1"/>
      <c r="O566" s="1"/>
      <c r="P566" s="1"/>
      <c r="Q566" s="1"/>
    </row>
    <row r="567" spans="1:17" x14ac:dyDescent="0.2">
      <c r="A567" s="1"/>
      <c r="B567" s="1"/>
      <c r="C567" s="1"/>
      <c r="D567" s="1"/>
      <c r="E567" s="1"/>
      <c r="F567" s="1"/>
      <c r="G567" s="1"/>
      <c r="H567" s="1"/>
      <c r="I567" s="1"/>
      <c r="J567" s="1"/>
      <c r="K567" s="1"/>
      <c r="L567" s="1"/>
      <c r="M567" s="1"/>
      <c r="N567" s="1"/>
      <c r="O567" s="1"/>
      <c r="P567" s="1"/>
      <c r="Q567" s="1"/>
    </row>
    <row r="568" spans="1:17" x14ac:dyDescent="0.2">
      <c r="A568" s="1"/>
      <c r="B568" s="1"/>
      <c r="C568" s="1"/>
      <c r="D568" s="1"/>
      <c r="E568" s="1"/>
      <c r="F568" s="1"/>
      <c r="G568" s="1"/>
      <c r="H568" s="1"/>
      <c r="I568" s="1"/>
      <c r="J568" s="1"/>
      <c r="K568" s="1"/>
      <c r="L568" s="1"/>
      <c r="M568" s="1"/>
      <c r="N568" s="1"/>
      <c r="O568" s="1"/>
      <c r="P568" s="1"/>
      <c r="Q568" s="1"/>
    </row>
    <row r="569" spans="1:17" x14ac:dyDescent="0.2">
      <c r="A569" s="1"/>
      <c r="B569" s="1"/>
      <c r="C569" s="1"/>
      <c r="D569" s="1"/>
      <c r="E569" s="1"/>
      <c r="F569" s="1"/>
      <c r="G569" s="1"/>
      <c r="H569" s="1"/>
      <c r="I569" s="1"/>
      <c r="J569" s="1"/>
      <c r="K569" s="1"/>
      <c r="L569" s="1"/>
      <c r="M569" s="1"/>
      <c r="N569" s="1"/>
      <c r="O569" s="1"/>
      <c r="P569" s="1"/>
      <c r="Q569" s="1"/>
    </row>
    <row r="570" spans="1:17" x14ac:dyDescent="0.2">
      <c r="A570" s="1"/>
      <c r="B570" s="1"/>
      <c r="C570" s="1"/>
      <c r="D570" s="1"/>
      <c r="E570" s="1"/>
      <c r="F570" s="1"/>
      <c r="G570" s="1"/>
      <c r="H570" s="1"/>
      <c r="I570" s="1"/>
      <c r="J570" s="1"/>
      <c r="K570" s="1"/>
      <c r="L570" s="1"/>
      <c r="M570" s="1"/>
      <c r="N570" s="1"/>
      <c r="O570" s="1"/>
      <c r="P570" s="1"/>
      <c r="Q570" s="1"/>
    </row>
    <row r="571" spans="1:17" x14ac:dyDescent="0.2">
      <c r="A571" s="1"/>
      <c r="B571" s="1"/>
      <c r="C571" s="1"/>
      <c r="D571" s="1"/>
      <c r="E571" s="1"/>
      <c r="F571" s="1"/>
      <c r="G571" s="1"/>
      <c r="H571" s="1"/>
      <c r="I571" s="1"/>
      <c r="J571" s="1"/>
      <c r="K571" s="1"/>
      <c r="L571" s="1"/>
      <c r="M571" s="1"/>
      <c r="N571" s="1"/>
      <c r="O571" s="1"/>
      <c r="P571" s="1"/>
      <c r="Q571" s="1"/>
    </row>
    <row r="572" spans="1:17" x14ac:dyDescent="0.2">
      <c r="A572" s="1"/>
      <c r="B572" s="1"/>
      <c r="C572" s="1"/>
      <c r="D572" s="1"/>
      <c r="E572" s="1"/>
      <c r="F572" s="1"/>
      <c r="G572" s="1"/>
      <c r="H572" s="1"/>
      <c r="I572" s="1"/>
      <c r="J572" s="1"/>
      <c r="K572" s="1"/>
      <c r="L572" s="1"/>
      <c r="M572" s="1"/>
      <c r="N572" s="1"/>
      <c r="O572" s="1"/>
      <c r="P572" s="1"/>
      <c r="Q572" s="1"/>
    </row>
    <row r="573" spans="1:17" x14ac:dyDescent="0.2">
      <c r="A573" s="1"/>
      <c r="B573" s="1"/>
      <c r="C573" s="1"/>
      <c r="D573" s="1"/>
      <c r="E573" s="1"/>
      <c r="F573" s="1"/>
      <c r="G573" s="1"/>
      <c r="H573" s="1"/>
      <c r="I573" s="1"/>
      <c r="J573" s="1"/>
      <c r="K573" s="1"/>
      <c r="L573" s="1"/>
      <c r="M573" s="1"/>
      <c r="N573" s="1"/>
      <c r="O573" s="1"/>
      <c r="P573" s="1"/>
      <c r="Q573" s="1"/>
    </row>
    <row r="574" spans="1:17" x14ac:dyDescent="0.2">
      <c r="A574" s="1"/>
      <c r="B574" s="1"/>
      <c r="C574" s="1"/>
      <c r="D574" s="1"/>
      <c r="E574" s="1"/>
      <c r="F574" s="1"/>
      <c r="G574" s="1"/>
      <c r="H574" s="1"/>
      <c r="I574" s="1"/>
      <c r="J574" s="1"/>
      <c r="K574" s="1"/>
      <c r="L574" s="1"/>
      <c r="M574" s="1"/>
      <c r="N574" s="1"/>
      <c r="O574" s="1"/>
      <c r="P574" s="1"/>
      <c r="Q574" s="1"/>
    </row>
    <row r="575" spans="1:17" x14ac:dyDescent="0.2">
      <c r="A575" s="1"/>
      <c r="B575" s="1"/>
      <c r="C575" s="1"/>
      <c r="D575" s="1"/>
      <c r="E575" s="1"/>
      <c r="F575" s="1"/>
      <c r="G575" s="1"/>
      <c r="H575" s="1"/>
      <c r="I575" s="1"/>
      <c r="J575" s="1"/>
      <c r="K575" s="1"/>
      <c r="L575" s="1"/>
      <c r="M575" s="1"/>
      <c r="N575" s="1"/>
      <c r="O575" s="1"/>
      <c r="P575" s="1"/>
      <c r="Q575" s="1"/>
    </row>
    <row r="576" spans="1:17" x14ac:dyDescent="0.2">
      <c r="A576" s="1"/>
      <c r="B576" s="1"/>
      <c r="C576" s="1"/>
      <c r="D576" s="1"/>
      <c r="E576" s="1"/>
      <c r="F576" s="1"/>
      <c r="G576" s="1"/>
      <c r="H576" s="1"/>
      <c r="I576" s="1"/>
      <c r="J576" s="1"/>
      <c r="K576" s="1"/>
      <c r="L576" s="1"/>
      <c r="M576" s="1"/>
      <c r="N576" s="1"/>
      <c r="O576" s="1"/>
      <c r="P576" s="1"/>
      <c r="Q576" s="1"/>
    </row>
    <row r="577" spans="1:17" x14ac:dyDescent="0.2">
      <c r="A577" s="1"/>
      <c r="B577" s="1"/>
      <c r="C577" s="1"/>
      <c r="D577" s="1"/>
      <c r="E577" s="1"/>
      <c r="F577" s="1"/>
      <c r="G577" s="1"/>
      <c r="H577" s="1"/>
      <c r="I577" s="1"/>
      <c r="J577" s="1"/>
      <c r="K577" s="1"/>
      <c r="L577" s="1"/>
      <c r="M577" s="1"/>
      <c r="N577" s="1"/>
      <c r="O577" s="1"/>
      <c r="P577" s="1"/>
      <c r="Q577" s="1"/>
    </row>
    <row r="578" spans="1:17" x14ac:dyDescent="0.2">
      <c r="A578" s="1"/>
      <c r="B578" s="1"/>
      <c r="C578" s="1"/>
      <c r="D578" s="1"/>
      <c r="E578" s="1"/>
      <c r="F578" s="1"/>
      <c r="G578" s="1"/>
      <c r="H578" s="1"/>
      <c r="I578" s="1"/>
      <c r="J578" s="1"/>
      <c r="K578" s="1"/>
      <c r="L578" s="1"/>
      <c r="M578" s="1"/>
      <c r="N578" s="1"/>
      <c r="O578" s="1"/>
      <c r="P578" s="1"/>
      <c r="Q578" s="1"/>
    </row>
    <row r="579" spans="1:17" x14ac:dyDescent="0.2">
      <c r="A579" s="1"/>
      <c r="B579" s="1"/>
      <c r="C579" s="1"/>
      <c r="D579" s="1"/>
      <c r="E579" s="1"/>
      <c r="F579" s="1"/>
      <c r="G579" s="1"/>
      <c r="H579" s="1"/>
      <c r="I579" s="1"/>
      <c r="J579" s="1"/>
      <c r="K579" s="1"/>
      <c r="L579" s="1"/>
      <c r="M579" s="1"/>
      <c r="N579" s="1"/>
      <c r="O579" s="1"/>
      <c r="P579" s="1"/>
      <c r="Q579" s="1"/>
    </row>
    <row r="580" spans="1:17" x14ac:dyDescent="0.2">
      <c r="A580" s="1"/>
      <c r="B580" s="1"/>
      <c r="C580" s="1"/>
      <c r="D580" s="1"/>
      <c r="E580" s="1"/>
      <c r="F580" s="1"/>
      <c r="G580" s="1"/>
      <c r="H580" s="1"/>
      <c r="I580" s="1"/>
      <c r="J580" s="1"/>
      <c r="K580" s="1"/>
      <c r="L580" s="1"/>
      <c r="M580" s="1"/>
      <c r="N580" s="1"/>
      <c r="O580" s="1"/>
      <c r="P580" s="1"/>
      <c r="Q580" s="1"/>
    </row>
    <row r="581" spans="1:17" x14ac:dyDescent="0.2">
      <c r="A581" s="1"/>
      <c r="B581" s="1"/>
      <c r="C581" s="1"/>
      <c r="D581" s="1"/>
      <c r="E581" s="1"/>
      <c r="F581" s="1"/>
      <c r="G581" s="1"/>
      <c r="H581" s="1"/>
      <c r="I581" s="1"/>
      <c r="J581" s="1"/>
      <c r="K581" s="1"/>
      <c r="L581" s="1"/>
      <c r="M581" s="1"/>
      <c r="N581" s="1"/>
      <c r="O581" s="1"/>
      <c r="P581" s="1"/>
      <c r="Q581" s="1"/>
    </row>
    <row r="582" spans="1:17" x14ac:dyDescent="0.2">
      <c r="A582" s="1"/>
      <c r="B582" s="1"/>
      <c r="C582" s="1"/>
      <c r="D582" s="1"/>
      <c r="E582" s="1"/>
      <c r="F582" s="1"/>
      <c r="G582" s="1"/>
      <c r="H582" s="1"/>
      <c r="I582" s="1"/>
      <c r="J582" s="1"/>
      <c r="K582" s="1"/>
      <c r="L582" s="1"/>
      <c r="M582" s="1"/>
      <c r="N582" s="1"/>
      <c r="O582" s="1"/>
      <c r="P582" s="1"/>
      <c r="Q582" s="1"/>
    </row>
    <row r="583" spans="1:17" x14ac:dyDescent="0.2">
      <c r="A583" s="1"/>
      <c r="B583" s="1"/>
      <c r="C583" s="1"/>
      <c r="D583" s="1"/>
      <c r="E583" s="1"/>
      <c r="F583" s="1"/>
      <c r="G583" s="1"/>
      <c r="H583" s="1"/>
      <c r="I583" s="1"/>
      <c r="J583" s="1"/>
      <c r="K583" s="1"/>
      <c r="L583" s="1"/>
      <c r="M583" s="1"/>
      <c r="N583" s="1"/>
      <c r="O583" s="1"/>
      <c r="P583" s="1"/>
      <c r="Q583" s="1"/>
    </row>
    <row r="584" spans="1:17" x14ac:dyDescent="0.2">
      <c r="A584" s="1"/>
      <c r="B584" s="1"/>
      <c r="C584" s="1"/>
      <c r="D584" s="1"/>
      <c r="E584" s="1"/>
      <c r="F584" s="1"/>
      <c r="G584" s="1"/>
      <c r="H584" s="1"/>
      <c r="I584" s="1"/>
      <c r="J584" s="1"/>
      <c r="K584" s="1"/>
      <c r="L584" s="1"/>
      <c r="M584" s="1"/>
      <c r="N584" s="1"/>
      <c r="O584" s="1"/>
      <c r="P584" s="1"/>
      <c r="Q584" s="1"/>
    </row>
    <row r="585" spans="1:17" x14ac:dyDescent="0.2">
      <c r="A585" s="1"/>
      <c r="B585" s="1"/>
      <c r="C585" s="1"/>
      <c r="D585" s="1"/>
      <c r="E585" s="1"/>
      <c r="F585" s="1"/>
      <c r="G585" s="1"/>
      <c r="H585" s="1"/>
      <c r="I585" s="1"/>
      <c r="J585" s="1"/>
      <c r="K585" s="1"/>
      <c r="L585" s="1"/>
      <c r="M585" s="1"/>
      <c r="N585" s="1"/>
      <c r="O585" s="1"/>
      <c r="P585" s="1"/>
      <c r="Q585" s="1"/>
    </row>
    <row r="586" spans="1:17" x14ac:dyDescent="0.2">
      <c r="A586" s="1"/>
      <c r="B586" s="1"/>
      <c r="C586" s="1"/>
      <c r="D586" s="1"/>
      <c r="E586" s="1"/>
      <c r="F586" s="1"/>
      <c r="G586" s="1"/>
      <c r="H586" s="1"/>
      <c r="I586" s="1"/>
      <c r="J586" s="1"/>
      <c r="K586" s="1"/>
      <c r="L586" s="1"/>
      <c r="M586" s="1"/>
      <c r="N586" s="1"/>
      <c r="O586" s="1"/>
      <c r="P586" s="1"/>
      <c r="Q586" s="1"/>
    </row>
    <row r="587" spans="1:17" x14ac:dyDescent="0.2">
      <c r="A587" s="1"/>
      <c r="B587" s="1"/>
      <c r="C587" s="1"/>
      <c r="D587" s="1"/>
      <c r="E587" s="1"/>
      <c r="F587" s="1"/>
      <c r="G587" s="1"/>
      <c r="H587" s="1"/>
      <c r="I587" s="1"/>
      <c r="J587" s="1"/>
      <c r="K587" s="1"/>
      <c r="L587" s="1"/>
      <c r="M587" s="1"/>
      <c r="N587" s="1"/>
      <c r="O587" s="1"/>
      <c r="P587" s="1"/>
      <c r="Q587" s="1"/>
    </row>
    <row r="588" spans="1:17" x14ac:dyDescent="0.2">
      <c r="A588" s="1"/>
      <c r="B588" s="1"/>
      <c r="C588" s="1"/>
      <c r="D588" s="1"/>
      <c r="E588" s="1"/>
      <c r="F588" s="1"/>
      <c r="G588" s="1"/>
      <c r="H588" s="1"/>
      <c r="I588" s="1"/>
      <c r="J588" s="1"/>
      <c r="K588" s="1"/>
      <c r="L588" s="1"/>
      <c r="M588" s="1"/>
      <c r="N588" s="1"/>
      <c r="O588" s="1"/>
      <c r="P588" s="1"/>
      <c r="Q588" s="1"/>
    </row>
    <row r="589" spans="1:17" x14ac:dyDescent="0.2">
      <c r="A589" s="1"/>
      <c r="B589" s="1"/>
      <c r="C589" s="1"/>
      <c r="D589" s="1"/>
      <c r="E589" s="1"/>
      <c r="F589" s="1"/>
      <c r="G589" s="1"/>
      <c r="H589" s="1"/>
      <c r="I589" s="1"/>
      <c r="J589" s="1"/>
      <c r="K589" s="1"/>
      <c r="L589" s="1"/>
      <c r="M589" s="1"/>
      <c r="N589" s="1"/>
      <c r="O589" s="1"/>
      <c r="P589" s="1"/>
      <c r="Q589" s="1"/>
    </row>
    <row r="590" spans="1:17" x14ac:dyDescent="0.2">
      <c r="A590" s="1"/>
      <c r="B590" s="1"/>
      <c r="C590" s="1"/>
      <c r="D590" s="1"/>
      <c r="E590" s="1"/>
      <c r="F590" s="1"/>
      <c r="G590" s="1"/>
      <c r="H590" s="1"/>
      <c r="I590" s="1"/>
      <c r="J590" s="1"/>
      <c r="K590" s="1"/>
      <c r="L590" s="1"/>
      <c r="M590" s="1"/>
      <c r="N590" s="1"/>
      <c r="O590" s="1"/>
      <c r="P590" s="1"/>
      <c r="Q590" s="1"/>
    </row>
    <row r="591" spans="1:17" x14ac:dyDescent="0.2">
      <c r="A591" s="1"/>
      <c r="B591" s="1"/>
      <c r="C591" s="1"/>
      <c r="D591" s="1"/>
      <c r="E591" s="1"/>
      <c r="F591" s="1"/>
      <c r="G591" s="1"/>
      <c r="H591" s="1"/>
      <c r="I591" s="1"/>
      <c r="J591" s="1"/>
      <c r="K591" s="1"/>
      <c r="L591" s="1"/>
      <c r="M591" s="1"/>
      <c r="N591" s="1"/>
      <c r="O591" s="1"/>
      <c r="P591" s="1"/>
      <c r="Q591" s="1"/>
    </row>
    <row r="592" spans="1:17" x14ac:dyDescent="0.2">
      <c r="A592" s="1"/>
      <c r="B592" s="1"/>
      <c r="C592" s="1"/>
      <c r="D592" s="1"/>
      <c r="E592" s="1"/>
      <c r="F592" s="1"/>
      <c r="G592" s="1"/>
      <c r="H592" s="1"/>
      <c r="I592" s="1"/>
      <c r="J592" s="1"/>
      <c r="K592" s="1"/>
      <c r="L592" s="1"/>
      <c r="M592" s="1"/>
      <c r="N592" s="1"/>
      <c r="O592" s="1"/>
      <c r="P592" s="1"/>
      <c r="Q592" s="1"/>
    </row>
    <row r="593" spans="1:17" x14ac:dyDescent="0.2">
      <c r="A593" s="1"/>
      <c r="B593" s="1"/>
      <c r="C593" s="1"/>
      <c r="D593" s="1"/>
      <c r="E593" s="1"/>
      <c r="F593" s="1"/>
      <c r="G593" s="1"/>
      <c r="H593" s="1"/>
      <c r="I593" s="1"/>
      <c r="J593" s="1"/>
      <c r="K593" s="1"/>
      <c r="L593" s="1"/>
      <c r="M593" s="1"/>
      <c r="N593" s="1"/>
      <c r="O593" s="1"/>
      <c r="P593" s="1"/>
      <c r="Q593" s="1"/>
    </row>
    <row r="594" spans="1:17" x14ac:dyDescent="0.2">
      <c r="A594" s="1"/>
      <c r="B594" s="1"/>
      <c r="C594" s="1"/>
      <c r="D594" s="1"/>
      <c r="E594" s="1"/>
      <c r="F594" s="1"/>
      <c r="G594" s="1"/>
      <c r="H594" s="1"/>
      <c r="I594" s="1"/>
      <c r="J594" s="1"/>
      <c r="K594" s="1"/>
      <c r="L594" s="1"/>
      <c r="M594" s="1"/>
      <c r="N594" s="1"/>
      <c r="O594" s="1"/>
      <c r="P594" s="1"/>
      <c r="Q594" s="1"/>
    </row>
    <row r="595" spans="1:17" x14ac:dyDescent="0.2">
      <c r="A595" s="1"/>
      <c r="B595" s="1"/>
      <c r="C595" s="1"/>
      <c r="D595" s="1"/>
      <c r="E595" s="1"/>
      <c r="F595" s="1"/>
      <c r="G595" s="1"/>
      <c r="H595" s="1"/>
      <c r="I595" s="1"/>
      <c r="J595" s="1"/>
      <c r="K595" s="1"/>
      <c r="L595" s="1"/>
      <c r="M595" s="1"/>
      <c r="N595" s="1"/>
      <c r="O595" s="1"/>
      <c r="P595" s="1"/>
      <c r="Q595" s="1"/>
    </row>
    <row r="596" spans="1:17" x14ac:dyDescent="0.2">
      <c r="A596" s="1"/>
      <c r="B596" s="1"/>
      <c r="C596" s="1"/>
      <c r="D596" s="1"/>
      <c r="E596" s="1"/>
      <c r="F596" s="1"/>
      <c r="G596" s="1"/>
      <c r="H596" s="1"/>
      <c r="I596" s="1"/>
      <c r="J596" s="1"/>
      <c r="K596" s="1"/>
      <c r="L596" s="1"/>
      <c r="M596" s="1"/>
      <c r="N596" s="1"/>
      <c r="O596" s="1"/>
      <c r="P596" s="1"/>
      <c r="Q596" s="1"/>
    </row>
    <row r="597" spans="1:17" x14ac:dyDescent="0.2">
      <c r="A597" s="1"/>
      <c r="B597" s="1"/>
      <c r="C597" s="1"/>
      <c r="D597" s="1"/>
      <c r="E597" s="1"/>
      <c r="F597" s="1"/>
      <c r="G597" s="1"/>
      <c r="H597" s="1"/>
      <c r="I597" s="1"/>
      <c r="J597" s="1"/>
      <c r="K597" s="1"/>
      <c r="L597" s="1"/>
      <c r="M597" s="1"/>
      <c r="N597" s="1"/>
      <c r="O597" s="1"/>
      <c r="P597" s="1"/>
      <c r="Q597" s="1"/>
    </row>
    <row r="598" spans="1:17" x14ac:dyDescent="0.2">
      <c r="A598" s="1"/>
      <c r="B598" s="1"/>
      <c r="C598" s="1"/>
      <c r="D598" s="1"/>
      <c r="E598" s="1"/>
      <c r="F598" s="1"/>
      <c r="G598" s="1"/>
      <c r="H598" s="1"/>
      <c r="I598" s="1"/>
      <c r="J598" s="1"/>
      <c r="K598" s="1"/>
      <c r="L598" s="1"/>
      <c r="M598" s="1"/>
      <c r="N598" s="1"/>
      <c r="O598" s="1"/>
      <c r="P598" s="1"/>
      <c r="Q598" s="1"/>
    </row>
    <row r="599" spans="1:17" x14ac:dyDescent="0.2">
      <c r="A599" s="1"/>
      <c r="B599" s="1"/>
      <c r="C599" s="1"/>
      <c r="D599" s="1"/>
      <c r="E599" s="1"/>
      <c r="F599" s="1"/>
      <c r="G599" s="1"/>
      <c r="H599" s="1"/>
      <c r="I599" s="1"/>
      <c r="J599" s="1"/>
      <c r="K599" s="1"/>
      <c r="L599" s="1"/>
      <c r="M599" s="1"/>
      <c r="N599" s="1"/>
      <c r="O599" s="1"/>
      <c r="P599" s="1"/>
      <c r="Q599" s="1"/>
    </row>
    <row r="600" spans="1:17" x14ac:dyDescent="0.2">
      <c r="A600" s="1"/>
      <c r="B600" s="1"/>
      <c r="C600" s="1"/>
      <c r="D600" s="1"/>
      <c r="E600" s="1"/>
      <c r="F600" s="1"/>
      <c r="G600" s="1"/>
      <c r="H600" s="1"/>
      <c r="I600" s="1"/>
      <c r="J600" s="1"/>
      <c r="K600" s="1"/>
      <c r="L600" s="1"/>
      <c r="M600" s="1"/>
      <c r="N600" s="1"/>
      <c r="O600" s="1"/>
      <c r="P600" s="1"/>
      <c r="Q600" s="1"/>
    </row>
    <row r="601" spans="1:17" x14ac:dyDescent="0.2">
      <c r="A601" s="1"/>
      <c r="B601" s="1"/>
      <c r="C601" s="1"/>
      <c r="D601" s="1"/>
      <c r="E601" s="1"/>
      <c r="F601" s="1"/>
      <c r="G601" s="1"/>
      <c r="H601" s="1"/>
      <c r="I601" s="1"/>
      <c r="J601" s="1"/>
      <c r="K601" s="1"/>
      <c r="L601" s="1"/>
      <c r="M601" s="1"/>
      <c r="N601" s="1"/>
      <c r="O601" s="1"/>
      <c r="P601" s="1"/>
      <c r="Q601" s="1"/>
    </row>
    <row r="602" spans="1:17" x14ac:dyDescent="0.2">
      <c r="A602" s="1"/>
      <c r="B602" s="1"/>
      <c r="C602" s="1"/>
      <c r="D602" s="1"/>
      <c r="E602" s="1"/>
      <c r="F602" s="1"/>
      <c r="G602" s="1"/>
      <c r="H602" s="1"/>
      <c r="I602" s="1"/>
      <c r="J602" s="1"/>
      <c r="K602" s="1"/>
      <c r="L602" s="1"/>
      <c r="M602" s="1"/>
      <c r="N602" s="1"/>
      <c r="O602" s="1"/>
      <c r="P602" s="1"/>
      <c r="Q602" s="1"/>
    </row>
    <row r="603" spans="1:17" x14ac:dyDescent="0.2">
      <c r="A603" s="1"/>
      <c r="B603" s="1"/>
      <c r="C603" s="1"/>
      <c r="D603" s="1"/>
      <c r="E603" s="1"/>
      <c r="F603" s="1"/>
      <c r="G603" s="1"/>
      <c r="H603" s="1"/>
      <c r="I603" s="1"/>
      <c r="J603" s="1"/>
      <c r="K603" s="1"/>
      <c r="L603" s="1"/>
      <c r="M603" s="1"/>
      <c r="N603" s="1"/>
      <c r="O603" s="1"/>
      <c r="P603" s="1"/>
      <c r="Q603" s="1"/>
    </row>
    <row r="604" spans="1:17" x14ac:dyDescent="0.2">
      <c r="A604" s="1"/>
      <c r="B604" s="1"/>
      <c r="C604" s="1"/>
      <c r="D604" s="1"/>
      <c r="E604" s="1"/>
      <c r="F604" s="1"/>
      <c r="G604" s="1"/>
      <c r="H604" s="1"/>
      <c r="I604" s="1"/>
      <c r="J604" s="1"/>
      <c r="K604" s="1"/>
      <c r="L604" s="1"/>
      <c r="M604" s="1"/>
      <c r="N604" s="1"/>
      <c r="O604" s="1"/>
      <c r="P604" s="1"/>
      <c r="Q604" s="1"/>
    </row>
    <row r="605" spans="1:17" x14ac:dyDescent="0.2">
      <c r="A605" s="1"/>
      <c r="B605" s="1"/>
      <c r="C605" s="1"/>
      <c r="D605" s="1"/>
      <c r="E605" s="1"/>
      <c r="F605" s="1"/>
      <c r="G605" s="1"/>
      <c r="H605" s="1"/>
      <c r="I605" s="1"/>
      <c r="J605" s="1"/>
      <c r="K605" s="1"/>
      <c r="L605" s="1"/>
      <c r="M605" s="1"/>
      <c r="N605" s="1"/>
      <c r="O605" s="1"/>
      <c r="P605" s="1"/>
      <c r="Q605" s="1"/>
    </row>
    <row r="606" spans="1:17" x14ac:dyDescent="0.2">
      <c r="A606" s="1"/>
      <c r="B606" s="1"/>
      <c r="C606" s="1"/>
      <c r="D606" s="1"/>
      <c r="E606" s="1"/>
      <c r="F606" s="1"/>
      <c r="G606" s="1"/>
      <c r="H606" s="1"/>
      <c r="I606" s="1"/>
      <c r="J606" s="1"/>
      <c r="K606" s="1"/>
      <c r="L606" s="1"/>
      <c r="M606" s="1"/>
      <c r="N606" s="1"/>
      <c r="O606" s="1"/>
      <c r="P606" s="1"/>
      <c r="Q606" s="1"/>
    </row>
    <row r="607" spans="1:17" x14ac:dyDescent="0.2">
      <c r="A607" s="1"/>
      <c r="B607" s="1"/>
      <c r="C607" s="1"/>
      <c r="D607" s="1"/>
      <c r="E607" s="1"/>
      <c r="F607" s="1"/>
      <c r="G607" s="1"/>
      <c r="H607" s="1"/>
      <c r="I607" s="1"/>
      <c r="J607" s="1"/>
      <c r="K607" s="1"/>
      <c r="L607" s="1"/>
      <c r="M607" s="1"/>
      <c r="N607" s="1"/>
      <c r="O607" s="1"/>
      <c r="P607" s="1"/>
      <c r="Q607" s="1"/>
    </row>
    <row r="608" spans="1:17" x14ac:dyDescent="0.2">
      <c r="A608" s="1"/>
      <c r="B608" s="1"/>
      <c r="C608" s="1"/>
      <c r="D608" s="1"/>
      <c r="E608" s="1"/>
      <c r="F608" s="1"/>
      <c r="G608" s="1"/>
      <c r="H608" s="1"/>
      <c r="I608" s="1"/>
      <c r="J608" s="1"/>
      <c r="K608" s="1"/>
      <c r="L608" s="1"/>
      <c r="M608" s="1"/>
      <c r="N608" s="1"/>
      <c r="O608" s="1"/>
      <c r="P608" s="1"/>
      <c r="Q608" s="1"/>
    </row>
    <row r="609" spans="1:17" x14ac:dyDescent="0.2">
      <c r="A609" s="1"/>
      <c r="B609" s="1"/>
      <c r="C609" s="1"/>
      <c r="D609" s="1"/>
      <c r="E609" s="1"/>
      <c r="F609" s="1"/>
      <c r="G609" s="1"/>
      <c r="H609" s="1"/>
      <c r="I609" s="1"/>
      <c r="J609" s="1"/>
      <c r="K609" s="1"/>
      <c r="L609" s="1"/>
      <c r="M609" s="1"/>
      <c r="N609" s="1"/>
      <c r="O609" s="1"/>
      <c r="P609" s="1"/>
      <c r="Q609" s="1"/>
    </row>
    <row r="610" spans="1:17" x14ac:dyDescent="0.2">
      <c r="A610" s="1"/>
      <c r="B610" s="1"/>
      <c r="C610" s="1"/>
      <c r="D610" s="1"/>
      <c r="E610" s="1"/>
      <c r="F610" s="1"/>
      <c r="G610" s="1"/>
      <c r="H610" s="1"/>
      <c r="I610" s="1"/>
      <c r="J610" s="1"/>
      <c r="K610" s="1"/>
      <c r="L610" s="1"/>
      <c r="M610" s="1"/>
      <c r="N610" s="1"/>
      <c r="O610" s="1"/>
      <c r="P610" s="1"/>
      <c r="Q610" s="1"/>
    </row>
    <row r="611" spans="1:17" x14ac:dyDescent="0.2">
      <c r="A611" s="1"/>
      <c r="B611" s="1"/>
      <c r="C611" s="1"/>
      <c r="D611" s="1"/>
      <c r="E611" s="1"/>
      <c r="F611" s="1"/>
      <c r="G611" s="1"/>
      <c r="H611" s="1"/>
      <c r="I611" s="1"/>
      <c r="J611" s="1"/>
      <c r="K611" s="1"/>
      <c r="L611" s="1"/>
      <c r="M611" s="1"/>
      <c r="N611" s="1"/>
      <c r="O611" s="1"/>
      <c r="P611" s="1"/>
      <c r="Q611" s="1"/>
    </row>
    <row r="612" spans="1:17" x14ac:dyDescent="0.2">
      <c r="A612" s="1"/>
      <c r="B612" s="1"/>
      <c r="C612" s="1"/>
      <c r="D612" s="1"/>
      <c r="E612" s="1"/>
      <c r="F612" s="1"/>
      <c r="G612" s="1"/>
      <c r="H612" s="1"/>
      <c r="I612" s="1"/>
      <c r="J612" s="1"/>
      <c r="K612" s="1"/>
      <c r="L612" s="1"/>
      <c r="M612" s="1"/>
      <c r="N612" s="1"/>
      <c r="O612" s="1"/>
      <c r="P612" s="1"/>
      <c r="Q612" s="1"/>
    </row>
    <row r="613" spans="1:17" x14ac:dyDescent="0.2">
      <c r="A613" s="1"/>
      <c r="B613" s="1"/>
      <c r="C613" s="1"/>
      <c r="D613" s="1"/>
      <c r="E613" s="1"/>
      <c r="F613" s="1"/>
      <c r="G613" s="1"/>
      <c r="H613" s="1"/>
      <c r="I613" s="1"/>
      <c r="J613" s="1"/>
      <c r="K613" s="1"/>
      <c r="L613" s="1"/>
      <c r="M613" s="1"/>
      <c r="N613" s="1"/>
      <c r="O613" s="1"/>
      <c r="P613" s="1"/>
      <c r="Q613" s="1"/>
    </row>
    <row r="614" spans="1:17" x14ac:dyDescent="0.2">
      <c r="A614" s="1"/>
      <c r="B614" s="1"/>
      <c r="C614" s="1"/>
      <c r="D614" s="1"/>
      <c r="E614" s="1"/>
      <c r="F614" s="1"/>
      <c r="G614" s="1"/>
      <c r="H614" s="1"/>
      <c r="I614" s="1"/>
      <c r="J614" s="1"/>
      <c r="K614" s="1"/>
      <c r="L614" s="1"/>
      <c r="M614" s="1"/>
      <c r="N614" s="1"/>
      <c r="O614" s="1"/>
      <c r="P614" s="1"/>
      <c r="Q614" s="1"/>
    </row>
    <row r="615" spans="1:17" x14ac:dyDescent="0.2">
      <c r="A615" s="1"/>
      <c r="B615" s="1"/>
      <c r="C615" s="1"/>
      <c r="D615" s="1"/>
      <c r="E615" s="1"/>
      <c r="F615" s="1"/>
      <c r="G615" s="1"/>
      <c r="H615" s="1"/>
      <c r="I615" s="1"/>
      <c r="J615" s="1"/>
      <c r="K615" s="1"/>
      <c r="L615" s="1"/>
      <c r="M615" s="1"/>
      <c r="N615" s="1"/>
      <c r="O615" s="1"/>
      <c r="P615" s="1"/>
      <c r="Q615" s="1"/>
    </row>
    <row r="616" spans="1:17" x14ac:dyDescent="0.2">
      <c r="A616" s="1"/>
      <c r="B616" s="1"/>
      <c r="C616" s="1"/>
      <c r="D616" s="1"/>
      <c r="E616" s="1"/>
      <c r="F616" s="1"/>
      <c r="G616" s="1"/>
      <c r="H616" s="1"/>
      <c r="I616" s="1"/>
      <c r="J616" s="1"/>
      <c r="K616" s="1"/>
      <c r="L616" s="1"/>
      <c r="M616" s="1"/>
      <c r="N616" s="1"/>
      <c r="O616" s="1"/>
      <c r="P616" s="1"/>
      <c r="Q616" s="1"/>
    </row>
    <row r="617" spans="1:17" x14ac:dyDescent="0.2">
      <c r="A617" s="1"/>
      <c r="B617" s="1"/>
      <c r="C617" s="1"/>
      <c r="D617" s="1"/>
      <c r="E617" s="1"/>
      <c r="F617" s="1"/>
      <c r="G617" s="1"/>
      <c r="H617" s="1"/>
      <c r="I617" s="1"/>
      <c r="J617" s="1"/>
      <c r="K617" s="1"/>
      <c r="L617" s="1"/>
      <c r="M617" s="1"/>
      <c r="N617" s="1"/>
      <c r="O617" s="1"/>
      <c r="P617" s="1"/>
      <c r="Q617" s="1"/>
    </row>
    <row r="618" spans="1:17" x14ac:dyDescent="0.2">
      <c r="A618" s="1"/>
      <c r="B618" s="1"/>
      <c r="C618" s="1"/>
      <c r="D618" s="1"/>
      <c r="E618" s="1"/>
      <c r="F618" s="1"/>
      <c r="G618" s="1"/>
      <c r="H618" s="1"/>
      <c r="I618" s="1"/>
      <c r="J618" s="1"/>
      <c r="K618" s="1"/>
      <c r="L618" s="1"/>
      <c r="M618" s="1"/>
      <c r="N618" s="1"/>
      <c r="O618" s="1"/>
      <c r="P618" s="1"/>
      <c r="Q618" s="1"/>
    </row>
    <row r="619" spans="1:17" x14ac:dyDescent="0.2">
      <c r="A619" s="1"/>
      <c r="B619" s="1"/>
      <c r="C619" s="1"/>
      <c r="D619" s="1"/>
      <c r="E619" s="1"/>
      <c r="F619" s="1"/>
      <c r="G619" s="1"/>
      <c r="H619" s="1"/>
      <c r="I619" s="1"/>
      <c r="J619" s="1"/>
      <c r="K619" s="1"/>
      <c r="L619" s="1"/>
      <c r="M619" s="1"/>
      <c r="N619" s="1"/>
      <c r="O619" s="1"/>
      <c r="P619" s="1"/>
      <c r="Q619" s="1"/>
    </row>
    <row r="620" spans="1:17" x14ac:dyDescent="0.2">
      <c r="A620" s="1"/>
      <c r="B620" s="1"/>
      <c r="C620" s="1"/>
      <c r="D620" s="1"/>
      <c r="E620" s="1"/>
      <c r="F620" s="1"/>
      <c r="G620" s="1"/>
      <c r="H620" s="1"/>
      <c r="I620" s="1"/>
      <c r="J620" s="1"/>
      <c r="K620" s="1"/>
      <c r="L620" s="1"/>
      <c r="M620" s="1"/>
      <c r="N620" s="1"/>
      <c r="O620" s="1"/>
      <c r="P620" s="1"/>
      <c r="Q620" s="1"/>
    </row>
    <row r="621" spans="1:17" x14ac:dyDescent="0.2">
      <c r="A621" s="1"/>
      <c r="B621" s="1"/>
      <c r="C621" s="1"/>
      <c r="D621" s="1"/>
      <c r="E621" s="1"/>
      <c r="F621" s="1"/>
      <c r="G621" s="1"/>
      <c r="H621" s="1"/>
      <c r="I621" s="1"/>
      <c r="J621" s="1"/>
      <c r="K621" s="1"/>
      <c r="L621" s="1"/>
      <c r="M621" s="1"/>
      <c r="N621" s="1"/>
      <c r="O621" s="1"/>
      <c r="P621" s="1"/>
      <c r="Q621" s="1"/>
    </row>
    <row r="622" spans="1:17" x14ac:dyDescent="0.2">
      <c r="A622" s="1"/>
      <c r="B622" s="1"/>
      <c r="C622" s="1"/>
      <c r="D622" s="1"/>
      <c r="E622" s="1"/>
      <c r="F622" s="1"/>
      <c r="G622" s="1"/>
      <c r="H622" s="1"/>
      <c r="I622" s="1"/>
      <c r="J622" s="1"/>
      <c r="K622" s="1"/>
      <c r="L622" s="1"/>
      <c r="M622" s="1"/>
      <c r="N622" s="1"/>
      <c r="O622" s="1"/>
      <c r="P622" s="1"/>
      <c r="Q622" s="1"/>
    </row>
    <row r="623" spans="1:17" x14ac:dyDescent="0.2">
      <c r="A623" s="1"/>
      <c r="B623" s="1"/>
      <c r="C623" s="1"/>
      <c r="D623" s="1"/>
      <c r="E623" s="1"/>
      <c r="F623" s="1"/>
      <c r="G623" s="1"/>
      <c r="H623" s="1"/>
      <c r="I623" s="1"/>
      <c r="J623" s="1"/>
      <c r="K623" s="1"/>
      <c r="L623" s="1"/>
      <c r="M623" s="1"/>
      <c r="N623" s="1"/>
      <c r="O623" s="1"/>
      <c r="P623" s="1"/>
      <c r="Q623" s="1"/>
    </row>
    <row r="624" spans="1:17" x14ac:dyDescent="0.2">
      <c r="A624" s="1"/>
      <c r="B624" s="1"/>
      <c r="C624" s="1"/>
      <c r="D624" s="1"/>
      <c r="E624" s="1"/>
      <c r="F624" s="1"/>
      <c r="G624" s="1"/>
      <c r="H624" s="1"/>
      <c r="I624" s="1"/>
      <c r="J624" s="1"/>
      <c r="K624" s="1"/>
      <c r="L624" s="1"/>
      <c r="M624" s="1"/>
      <c r="N624" s="1"/>
      <c r="O624" s="1"/>
      <c r="P624" s="1"/>
      <c r="Q624" s="1"/>
    </row>
    <row r="625" spans="1:17" x14ac:dyDescent="0.2">
      <c r="A625" s="1"/>
      <c r="B625" s="1"/>
      <c r="C625" s="1"/>
      <c r="D625" s="1"/>
      <c r="E625" s="1"/>
      <c r="F625" s="1"/>
      <c r="G625" s="1"/>
      <c r="H625" s="1"/>
      <c r="I625" s="1"/>
      <c r="J625" s="1"/>
      <c r="K625" s="1"/>
      <c r="L625" s="1"/>
      <c r="M625" s="1"/>
      <c r="N625" s="1"/>
      <c r="O625" s="1"/>
      <c r="P625" s="1"/>
      <c r="Q625" s="1"/>
    </row>
    <row r="626" spans="1:17" x14ac:dyDescent="0.2">
      <c r="A626" s="1"/>
      <c r="B626" s="1"/>
      <c r="C626" s="1"/>
      <c r="D626" s="1"/>
      <c r="E626" s="1"/>
      <c r="F626" s="1"/>
      <c r="G626" s="1"/>
      <c r="H626" s="1"/>
      <c r="I626" s="1"/>
      <c r="J626" s="1"/>
      <c r="K626" s="1"/>
      <c r="L626" s="1"/>
      <c r="M626" s="1"/>
      <c r="N626" s="1"/>
      <c r="O626" s="1"/>
      <c r="P626" s="1"/>
      <c r="Q626" s="1"/>
    </row>
    <row r="627" spans="1:17" x14ac:dyDescent="0.2">
      <c r="A627" s="1"/>
      <c r="B627" s="1"/>
      <c r="C627" s="1"/>
      <c r="D627" s="1"/>
      <c r="E627" s="1"/>
      <c r="F627" s="1"/>
      <c r="G627" s="1"/>
      <c r="H627" s="1"/>
      <c r="I627" s="1"/>
      <c r="J627" s="1"/>
      <c r="K627" s="1"/>
      <c r="L627" s="1"/>
      <c r="M627" s="1"/>
      <c r="N627" s="1"/>
      <c r="O627" s="1"/>
      <c r="P627" s="1"/>
      <c r="Q627" s="1"/>
    </row>
    <row r="628" spans="1:17" x14ac:dyDescent="0.2">
      <c r="A628" s="1"/>
      <c r="B628" s="1"/>
      <c r="C628" s="1"/>
      <c r="D628" s="1"/>
      <c r="E628" s="1"/>
      <c r="F628" s="1"/>
      <c r="G628" s="1"/>
      <c r="H628" s="1"/>
      <c r="I628" s="1"/>
      <c r="J628" s="1"/>
      <c r="K628" s="1"/>
      <c r="L628" s="1"/>
      <c r="M628" s="1"/>
      <c r="N628" s="1"/>
      <c r="O628" s="1"/>
      <c r="P628" s="1"/>
      <c r="Q628" s="1"/>
    </row>
    <row r="629" spans="1:17" x14ac:dyDescent="0.2">
      <c r="A629" s="1"/>
      <c r="B629" s="1"/>
      <c r="C629" s="1"/>
      <c r="D629" s="1"/>
      <c r="E629" s="1"/>
      <c r="F629" s="1"/>
      <c r="G629" s="1"/>
      <c r="H629" s="1"/>
      <c r="I629" s="1"/>
      <c r="J629" s="1"/>
      <c r="K629" s="1"/>
      <c r="L629" s="1"/>
      <c r="M629" s="1"/>
      <c r="N629" s="1"/>
      <c r="O629" s="1"/>
      <c r="P629" s="1"/>
      <c r="Q629" s="1"/>
    </row>
    <row r="630" spans="1:17" x14ac:dyDescent="0.2">
      <c r="A630" s="1"/>
      <c r="B630" s="1"/>
      <c r="C630" s="1"/>
      <c r="D630" s="1"/>
      <c r="E630" s="1"/>
      <c r="F630" s="1"/>
      <c r="G630" s="1"/>
      <c r="H630" s="1"/>
      <c r="I630" s="1"/>
      <c r="J630" s="1"/>
      <c r="K630" s="1"/>
      <c r="L630" s="1"/>
      <c r="M630" s="1"/>
      <c r="N630" s="1"/>
      <c r="O630" s="1"/>
      <c r="P630" s="1"/>
      <c r="Q630" s="1"/>
    </row>
    <row r="631" spans="1:17" x14ac:dyDescent="0.2">
      <c r="A631" s="1"/>
      <c r="B631" s="1"/>
      <c r="C631" s="1"/>
      <c r="D631" s="1"/>
      <c r="E631" s="1"/>
      <c r="F631" s="1"/>
      <c r="G631" s="1"/>
      <c r="H631" s="1"/>
      <c r="I631" s="1"/>
      <c r="J631" s="1"/>
      <c r="K631" s="1"/>
      <c r="L631" s="1"/>
      <c r="M631" s="1"/>
      <c r="N631" s="1"/>
      <c r="O631" s="1"/>
      <c r="P631" s="1"/>
      <c r="Q631" s="1"/>
    </row>
    <row r="632" spans="1:17" x14ac:dyDescent="0.2">
      <c r="A632" s="1"/>
      <c r="B632" s="1"/>
      <c r="C632" s="1"/>
      <c r="D632" s="1"/>
      <c r="E632" s="1"/>
      <c r="F632" s="1"/>
      <c r="G632" s="1"/>
      <c r="H632" s="1"/>
      <c r="I632" s="1"/>
      <c r="J632" s="1"/>
      <c r="K632" s="1"/>
      <c r="L632" s="1"/>
      <c r="M632" s="1"/>
      <c r="N632" s="1"/>
      <c r="O632" s="1"/>
      <c r="P632" s="1"/>
      <c r="Q632" s="1"/>
    </row>
    <row r="633" spans="1:17" x14ac:dyDescent="0.2">
      <c r="A633" s="1"/>
      <c r="B633" s="1"/>
      <c r="C633" s="1"/>
      <c r="D633" s="1"/>
      <c r="E633" s="1"/>
      <c r="F633" s="1"/>
      <c r="G633" s="1"/>
      <c r="H633" s="1"/>
      <c r="I633" s="1"/>
      <c r="J633" s="1"/>
      <c r="K633" s="1"/>
      <c r="L633" s="1"/>
      <c r="M633" s="1"/>
      <c r="N633" s="1"/>
      <c r="O633" s="1"/>
      <c r="P633" s="1"/>
      <c r="Q633" s="1"/>
    </row>
    <row r="634" spans="1:17" x14ac:dyDescent="0.2">
      <c r="A634" s="1"/>
      <c r="B634" s="1"/>
      <c r="C634" s="1"/>
      <c r="D634" s="1"/>
      <c r="E634" s="1"/>
      <c r="F634" s="1"/>
      <c r="G634" s="1"/>
      <c r="H634" s="1"/>
      <c r="I634" s="1"/>
      <c r="J634" s="1"/>
      <c r="K634" s="1"/>
      <c r="L634" s="1"/>
      <c r="M634" s="1"/>
      <c r="N634" s="1"/>
      <c r="O634" s="1"/>
      <c r="P634" s="1"/>
      <c r="Q634" s="1"/>
    </row>
    <row r="635" spans="1:17" x14ac:dyDescent="0.2">
      <c r="A635" s="1"/>
      <c r="B635" s="1"/>
      <c r="C635" s="1"/>
      <c r="D635" s="1"/>
      <c r="E635" s="1"/>
      <c r="F635" s="1"/>
      <c r="G635" s="1"/>
      <c r="H635" s="1"/>
      <c r="I635" s="1"/>
      <c r="J635" s="1"/>
      <c r="K635" s="1"/>
      <c r="L635" s="1"/>
      <c r="M635" s="1"/>
      <c r="N635" s="1"/>
      <c r="O635" s="1"/>
      <c r="P635" s="1"/>
      <c r="Q635" s="1"/>
    </row>
    <row r="636" spans="1:17" x14ac:dyDescent="0.2">
      <c r="A636" s="1"/>
      <c r="B636" s="1"/>
      <c r="C636" s="1"/>
      <c r="D636" s="1"/>
      <c r="E636" s="1"/>
      <c r="F636" s="1"/>
      <c r="G636" s="1"/>
      <c r="H636" s="1"/>
      <c r="I636" s="1"/>
      <c r="J636" s="1"/>
      <c r="K636" s="1"/>
      <c r="L636" s="1"/>
      <c r="M636" s="1"/>
      <c r="N636" s="1"/>
      <c r="O636" s="1"/>
      <c r="P636" s="1"/>
      <c r="Q636" s="1"/>
    </row>
    <row r="637" spans="1:17" x14ac:dyDescent="0.2">
      <c r="A637" s="1"/>
      <c r="B637" s="1"/>
      <c r="C637" s="1"/>
      <c r="D637" s="1"/>
      <c r="E637" s="1"/>
      <c r="F637" s="1"/>
      <c r="G637" s="1"/>
      <c r="H637" s="1"/>
      <c r="I637" s="1"/>
      <c r="J637" s="1"/>
      <c r="K637" s="1"/>
      <c r="L637" s="1"/>
      <c r="M637" s="1"/>
      <c r="N637" s="1"/>
      <c r="O637" s="1"/>
      <c r="P637" s="1"/>
      <c r="Q637" s="1"/>
    </row>
    <row r="638" spans="1:17" x14ac:dyDescent="0.2">
      <c r="A638" s="1"/>
      <c r="B638" s="1"/>
      <c r="C638" s="1"/>
      <c r="D638" s="1"/>
      <c r="E638" s="1"/>
      <c r="F638" s="1"/>
      <c r="G638" s="1"/>
      <c r="H638" s="1"/>
      <c r="I638" s="1"/>
      <c r="J638" s="1"/>
      <c r="K638" s="1"/>
      <c r="L638" s="1"/>
      <c r="M638" s="1"/>
      <c r="N638" s="1"/>
      <c r="O638" s="1"/>
      <c r="P638" s="1"/>
      <c r="Q638" s="1"/>
    </row>
    <row r="639" spans="1:17" x14ac:dyDescent="0.2">
      <c r="A639" s="1"/>
      <c r="B639" s="1"/>
      <c r="C639" s="1"/>
      <c r="D639" s="1"/>
      <c r="E639" s="1"/>
      <c r="F639" s="1"/>
      <c r="G639" s="1"/>
      <c r="H639" s="1"/>
      <c r="I639" s="1"/>
      <c r="J639" s="1"/>
      <c r="K639" s="1"/>
      <c r="L639" s="1"/>
      <c r="M639" s="1"/>
      <c r="N639" s="1"/>
      <c r="O639" s="1"/>
      <c r="P639" s="1"/>
      <c r="Q639" s="1"/>
    </row>
    <row r="640" spans="1:17" x14ac:dyDescent="0.2">
      <c r="A640" s="1"/>
      <c r="B640" s="1"/>
      <c r="C640" s="1"/>
      <c r="D640" s="1"/>
      <c r="E640" s="1"/>
      <c r="F640" s="1"/>
      <c r="G640" s="1"/>
      <c r="H640" s="1"/>
      <c r="I640" s="1"/>
      <c r="J640" s="1"/>
      <c r="K640" s="1"/>
      <c r="L640" s="1"/>
      <c r="M640" s="1"/>
      <c r="N640" s="1"/>
      <c r="O640" s="1"/>
      <c r="P640" s="1"/>
      <c r="Q640" s="1"/>
    </row>
    <row r="641" spans="1:17" x14ac:dyDescent="0.2">
      <c r="A641" s="1"/>
      <c r="B641" s="1"/>
      <c r="C641" s="1"/>
      <c r="D641" s="1"/>
      <c r="E641" s="1"/>
      <c r="F641" s="1"/>
      <c r="G641" s="1"/>
      <c r="H641" s="1"/>
      <c r="I641" s="1"/>
      <c r="J641" s="1"/>
      <c r="K641" s="1"/>
      <c r="L641" s="1"/>
      <c r="M641" s="1"/>
      <c r="N641" s="1"/>
      <c r="O641" s="1"/>
      <c r="P641" s="1"/>
      <c r="Q641" s="1"/>
    </row>
    <row r="642" spans="1:17" x14ac:dyDescent="0.2">
      <c r="A642" s="1"/>
      <c r="B642" s="1"/>
      <c r="C642" s="1"/>
      <c r="D642" s="1"/>
      <c r="E642" s="1"/>
      <c r="F642" s="1"/>
      <c r="G642" s="1"/>
      <c r="H642" s="1"/>
      <c r="I642" s="1"/>
      <c r="J642" s="1"/>
      <c r="K642" s="1"/>
      <c r="L642" s="1"/>
      <c r="M642" s="1"/>
      <c r="N642" s="1"/>
      <c r="O642" s="1"/>
      <c r="P642" s="1"/>
      <c r="Q642" s="1"/>
    </row>
    <row r="643" spans="1:17" x14ac:dyDescent="0.2">
      <c r="A643" s="1"/>
      <c r="B643" s="1"/>
      <c r="C643" s="1"/>
      <c r="D643" s="1"/>
      <c r="E643" s="1"/>
      <c r="F643" s="1"/>
      <c r="G643" s="1"/>
      <c r="H643" s="1"/>
      <c r="I643" s="1"/>
      <c r="J643" s="1"/>
      <c r="K643" s="1"/>
      <c r="L643" s="1"/>
      <c r="M643" s="1"/>
      <c r="N643" s="1"/>
      <c r="O643" s="1"/>
      <c r="P643" s="1"/>
      <c r="Q643" s="1"/>
    </row>
    <row r="644" spans="1:17" x14ac:dyDescent="0.2">
      <c r="A644" s="1"/>
      <c r="B644" s="1"/>
      <c r="C644" s="1"/>
      <c r="D644" s="1"/>
      <c r="E644" s="1"/>
      <c r="F644" s="1"/>
      <c r="G644" s="1"/>
      <c r="H644" s="1"/>
      <c r="I644" s="1"/>
      <c r="J644" s="1"/>
      <c r="K644" s="1"/>
      <c r="L644" s="1"/>
      <c r="M644" s="1"/>
      <c r="N644" s="1"/>
      <c r="O644" s="1"/>
      <c r="P644" s="1"/>
      <c r="Q644" s="1"/>
    </row>
    <row r="645" spans="1:17" x14ac:dyDescent="0.2">
      <c r="A645" s="1"/>
      <c r="B645" s="1"/>
      <c r="C645" s="1"/>
      <c r="D645" s="1"/>
      <c r="E645" s="1"/>
      <c r="F645" s="1"/>
      <c r="G645" s="1"/>
      <c r="H645" s="1"/>
      <c r="I645" s="1"/>
      <c r="J645" s="1"/>
      <c r="K645" s="1"/>
      <c r="L645" s="1"/>
      <c r="M645" s="1"/>
      <c r="N645" s="1"/>
      <c r="O645" s="1"/>
      <c r="P645" s="1"/>
      <c r="Q645" s="1"/>
    </row>
    <row r="646" spans="1:17" x14ac:dyDescent="0.2">
      <c r="A646" s="1"/>
      <c r="B646" s="1"/>
      <c r="C646" s="1"/>
      <c r="D646" s="1"/>
      <c r="E646" s="1"/>
      <c r="F646" s="1"/>
      <c r="G646" s="1"/>
      <c r="H646" s="1"/>
      <c r="I646" s="1"/>
      <c r="J646" s="1"/>
      <c r="K646" s="1"/>
      <c r="L646" s="1"/>
      <c r="M646" s="1"/>
      <c r="N646" s="1"/>
      <c r="O646" s="1"/>
      <c r="P646" s="1"/>
      <c r="Q646" s="1"/>
    </row>
    <row r="647" spans="1:17" x14ac:dyDescent="0.2">
      <c r="A647" s="1"/>
      <c r="B647" s="1"/>
      <c r="C647" s="1"/>
      <c r="D647" s="1"/>
      <c r="E647" s="1"/>
      <c r="F647" s="1"/>
      <c r="G647" s="1"/>
      <c r="H647" s="1"/>
      <c r="I647" s="1"/>
      <c r="J647" s="1"/>
      <c r="K647" s="1"/>
      <c r="L647" s="1"/>
      <c r="M647" s="1"/>
      <c r="N647" s="1"/>
      <c r="O647" s="1"/>
      <c r="P647" s="1"/>
      <c r="Q647" s="1"/>
    </row>
    <row r="648" spans="1:17" x14ac:dyDescent="0.2">
      <c r="A648" s="1"/>
      <c r="B648" s="1"/>
      <c r="C648" s="1"/>
      <c r="D648" s="1"/>
      <c r="E648" s="1"/>
      <c r="F648" s="1"/>
      <c r="G648" s="1"/>
      <c r="H648" s="1"/>
      <c r="I648" s="1"/>
      <c r="J648" s="1"/>
      <c r="K648" s="1"/>
      <c r="L648" s="1"/>
      <c r="M648" s="1"/>
      <c r="N648" s="1"/>
      <c r="O648" s="1"/>
      <c r="P648" s="1"/>
      <c r="Q648" s="1"/>
    </row>
    <row r="649" spans="1:17" x14ac:dyDescent="0.2">
      <c r="A649" s="1"/>
      <c r="B649" s="1"/>
      <c r="C649" s="1"/>
      <c r="D649" s="1"/>
      <c r="E649" s="1"/>
      <c r="F649" s="1"/>
      <c r="G649" s="1"/>
      <c r="H649" s="1"/>
      <c r="I649" s="1"/>
      <c r="J649" s="1"/>
      <c r="K649" s="1"/>
      <c r="L649" s="1"/>
      <c r="M649" s="1"/>
      <c r="N649" s="1"/>
      <c r="O649" s="1"/>
      <c r="P649" s="1"/>
      <c r="Q649" s="1"/>
    </row>
    <row r="650" spans="1:17" x14ac:dyDescent="0.2">
      <c r="A650" s="1"/>
      <c r="B650" s="1"/>
      <c r="C650" s="1"/>
      <c r="D650" s="1"/>
      <c r="E650" s="1"/>
      <c r="F650" s="1"/>
      <c r="G650" s="1"/>
      <c r="H650" s="1"/>
      <c r="I650" s="1"/>
      <c r="J650" s="1"/>
      <c r="K650" s="1"/>
      <c r="L650" s="1"/>
      <c r="M650" s="1"/>
      <c r="N650" s="1"/>
      <c r="O650" s="1"/>
      <c r="P650" s="1"/>
      <c r="Q650" s="1"/>
    </row>
    <row r="651" spans="1:17" x14ac:dyDescent="0.2">
      <c r="A651" s="1"/>
      <c r="B651" s="1"/>
      <c r="C651" s="1"/>
      <c r="D651" s="1"/>
      <c r="E651" s="1"/>
      <c r="F651" s="1"/>
      <c r="G651" s="1"/>
      <c r="H651" s="1"/>
      <c r="I651" s="1"/>
      <c r="J651" s="1"/>
      <c r="K651" s="1"/>
      <c r="L651" s="1"/>
      <c r="M651" s="1"/>
      <c r="N651" s="1"/>
      <c r="O651" s="1"/>
      <c r="P651" s="1"/>
      <c r="Q651" s="1"/>
    </row>
    <row r="652" spans="1:17" x14ac:dyDescent="0.2">
      <c r="A652" s="1"/>
      <c r="B652" s="1"/>
      <c r="C652" s="1"/>
      <c r="D652" s="1"/>
      <c r="E652" s="1"/>
      <c r="F652" s="1"/>
      <c r="G652" s="1"/>
      <c r="H652" s="1"/>
      <c r="I652" s="1"/>
      <c r="J652" s="1"/>
      <c r="K652" s="1"/>
      <c r="L652" s="1"/>
      <c r="M652" s="1"/>
      <c r="N652" s="1"/>
      <c r="O652" s="1"/>
      <c r="P652" s="1"/>
      <c r="Q652" s="1"/>
    </row>
    <row r="653" spans="1:17" x14ac:dyDescent="0.2">
      <c r="A653" s="1"/>
      <c r="B653" s="1"/>
      <c r="C653" s="1"/>
      <c r="D653" s="1"/>
      <c r="E653" s="1"/>
      <c r="F653" s="1"/>
      <c r="G653" s="1"/>
      <c r="H653" s="1"/>
      <c r="I653" s="1"/>
      <c r="J653" s="1"/>
      <c r="K653" s="1"/>
      <c r="L653" s="1"/>
      <c r="M653" s="1"/>
      <c r="N653" s="1"/>
      <c r="O653" s="1"/>
      <c r="P653" s="1"/>
      <c r="Q653" s="1"/>
    </row>
    <row r="654" spans="1:17" x14ac:dyDescent="0.2">
      <c r="A654" s="1"/>
      <c r="B654" s="1"/>
      <c r="C654" s="1"/>
      <c r="D654" s="1"/>
      <c r="E654" s="1"/>
      <c r="F654" s="1"/>
      <c r="G654" s="1"/>
      <c r="H654" s="1"/>
      <c r="I654" s="1"/>
      <c r="J654" s="1"/>
      <c r="K654" s="1"/>
      <c r="L654" s="1"/>
      <c r="M654" s="1"/>
      <c r="N654" s="1"/>
      <c r="O654" s="1"/>
      <c r="P654" s="1"/>
      <c r="Q654" s="1"/>
    </row>
    <row r="655" spans="1:17" x14ac:dyDescent="0.2">
      <c r="A655" s="1"/>
      <c r="B655" s="1"/>
      <c r="C655" s="1"/>
      <c r="D655" s="1"/>
      <c r="E655" s="1"/>
      <c r="F655" s="1"/>
      <c r="G655" s="1"/>
      <c r="H655" s="1"/>
      <c r="I655" s="1"/>
      <c r="J655" s="1"/>
      <c r="K655" s="1"/>
      <c r="L655" s="1"/>
      <c r="M655" s="1"/>
      <c r="N655" s="1"/>
      <c r="O655" s="1"/>
      <c r="P655" s="1"/>
      <c r="Q655" s="1"/>
    </row>
    <row r="656" spans="1:17" x14ac:dyDescent="0.2">
      <c r="A656" s="1"/>
      <c r="B656" s="1"/>
      <c r="C656" s="1"/>
      <c r="D656" s="1"/>
      <c r="E656" s="1"/>
      <c r="F656" s="1"/>
      <c r="G656" s="1"/>
      <c r="H656" s="1"/>
      <c r="I656" s="1"/>
      <c r="J656" s="1"/>
      <c r="K656" s="1"/>
      <c r="L656" s="1"/>
      <c r="M656" s="1"/>
      <c r="N656" s="1"/>
      <c r="O656" s="1"/>
      <c r="P656" s="1"/>
      <c r="Q656" s="1"/>
    </row>
    <row r="657" spans="1:17" x14ac:dyDescent="0.2">
      <c r="A657" s="1"/>
      <c r="B657" s="1"/>
      <c r="C657" s="1"/>
      <c r="D657" s="1"/>
      <c r="E657" s="1"/>
      <c r="F657" s="1"/>
      <c r="G657" s="1"/>
      <c r="H657" s="1"/>
      <c r="I657" s="1"/>
      <c r="J657" s="1"/>
      <c r="K657" s="1"/>
      <c r="L657" s="1"/>
      <c r="M657" s="1"/>
      <c r="N657" s="1"/>
      <c r="O657" s="1"/>
      <c r="P657" s="1"/>
      <c r="Q657" s="1"/>
    </row>
    <row r="658" spans="1:17" x14ac:dyDescent="0.2">
      <c r="A658" s="1"/>
      <c r="B658" s="1"/>
      <c r="C658" s="1"/>
      <c r="D658" s="1"/>
      <c r="E658" s="1"/>
      <c r="F658" s="1"/>
      <c r="G658" s="1"/>
      <c r="H658" s="1"/>
      <c r="I658" s="1"/>
      <c r="J658" s="1"/>
      <c r="K658" s="1"/>
      <c r="L658" s="1"/>
      <c r="M658" s="1"/>
      <c r="N658" s="1"/>
      <c r="O658" s="1"/>
      <c r="P658" s="1"/>
      <c r="Q658" s="1"/>
    </row>
    <row r="659" spans="1:17" x14ac:dyDescent="0.2">
      <c r="A659" s="1"/>
      <c r="B659" s="1"/>
      <c r="C659" s="1"/>
      <c r="D659" s="1"/>
      <c r="E659" s="1"/>
      <c r="F659" s="1"/>
      <c r="G659" s="1"/>
      <c r="H659" s="1"/>
      <c r="I659" s="1"/>
      <c r="J659" s="1"/>
      <c r="K659" s="1"/>
      <c r="L659" s="1"/>
      <c r="M659" s="1"/>
      <c r="N659" s="1"/>
      <c r="O659" s="1"/>
      <c r="P659" s="1"/>
      <c r="Q659" s="1"/>
    </row>
    <row r="660" spans="1:17" x14ac:dyDescent="0.2">
      <c r="A660" s="1"/>
      <c r="B660" s="1"/>
      <c r="C660" s="1"/>
      <c r="D660" s="1"/>
      <c r="E660" s="1"/>
      <c r="F660" s="1"/>
      <c r="G660" s="1"/>
      <c r="H660" s="1"/>
      <c r="I660" s="1"/>
      <c r="J660" s="1"/>
      <c r="K660" s="1"/>
      <c r="L660" s="1"/>
      <c r="M660" s="1"/>
      <c r="N660" s="1"/>
      <c r="O660" s="1"/>
      <c r="P660" s="1"/>
      <c r="Q660" s="1"/>
    </row>
    <row r="661" spans="1:17" x14ac:dyDescent="0.2">
      <c r="A661" s="1"/>
      <c r="B661" s="1"/>
      <c r="C661" s="1"/>
      <c r="D661" s="1"/>
      <c r="E661" s="1"/>
      <c r="F661" s="1"/>
      <c r="G661" s="1"/>
      <c r="H661" s="1"/>
      <c r="I661" s="1"/>
      <c r="J661" s="1"/>
      <c r="K661" s="1"/>
      <c r="L661" s="1"/>
      <c r="M661" s="1"/>
      <c r="N661" s="1"/>
      <c r="O661" s="1"/>
      <c r="P661" s="1"/>
      <c r="Q661" s="1"/>
    </row>
    <row r="662" spans="1:17" x14ac:dyDescent="0.2">
      <c r="A662" s="1"/>
      <c r="B662" s="1"/>
      <c r="C662" s="1"/>
      <c r="D662" s="1"/>
      <c r="E662" s="1"/>
      <c r="F662" s="1"/>
      <c r="G662" s="1"/>
      <c r="H662" s="1"/>
      <c r="I662" s="1"/>
      <c r="J662" s="1"/>
      <c r="K662" s="1"/>
      <c r="L662" s="1"/>
      <c r="M662" s="1"/>
      <c r="N662" s="1"/>
      <c r="O662" s="1"/>
      <c r="P662" s="1"/>
      <c r="Q662" s="1"/>
    </row>
    <row r="663" spans="1:17" x14ac:dyDescent="0.2">
      <c r="A663" s="1"/>
      <c r="B663" s="1"/>
      <c r="C663" s="1"/>
      <c r="D663" s="1"/>
      <c r="E663" s="1"/>
      <c r="F663" s="1"/>
      <c r="G663" s="1"/>
      <c r="H663" s="1"/>
      <c r="I663" s="1"/>
      <c r="J663" s="1"/>
      <c r="K663" s="1"/>
      <c r="L663" s="1"/>
      <c r="M663" s="1"/>
      <c r="N663" s="1"/>
      <c r="O663" s="1"/>
      <c r="P663" s="1"/>
      <c r="Q663" s="1"/>
    </row>
    <row r="664" spans="1:17" x14ac:dyDescent="0.2">
      <c r="A664" s="1"/>
      <c r="B664" s="1"/>
      <c r="C664" s="1"/>
      <c r="D664" s="1"/>
      <c r="E664" s="1"/>
      <c r="F664" s="1"/>
      <c r="G664" s="1"/>
      <c r="H664" s="1"/>
      <c r="I664" s="1"/>
      <c r="J664" s="1"/>
      <c r="K664" s="1"/>
      <c r="L664" s="1"/>
      <c r="M664" s="1"/>
      <c r="N664" s="1"/>
      <c r="O664" s="1"/>
      <c r="P664" s="1"/>
      <c r="Q664" s="1"/>
    </row>
    <row r="665" spans="1:17" x14ac:dyDescent="0.2">
      <c r="A665" s="1"/>
      <c r="B665" s="1"/>
      <c r="C665" s="1"/>
      <c r="D665" s="1"/>
      <c r="E665" s="1"/>
      <c r="F665" s="1"/>
      <c r="G665" s="1"/>
      <c r="H665" s="1"/>
      <c r="I665" s="1"/>
      <c r="J665" s="1"/>
      <c r="K665" s="1"/>
      <c r="L665" s="1"/>
      <c r="M665" s="1"/>
      <c r="N665" s="1"/>
      <c r="O665" s="1"/>
      <c r="P665" s="1"/>
      <c r="Q665" s="1"/>
    </row>
    <row r="666" spans="1:17" x14ac:dyDescent="0.2">
      <c r="A666" s="1"/>
      <c r="B666" s="1"/>
      <c r="C666" s="1"/>
      <c r="D666" s="1"/>
      <c r="E666" s="1"/>
      <c r="F666" s="1"/>
      <c r="G666" s="1"/>
      <c r="H666" s="1"/>
      <c r="I666" s="1"/>
      <c r="J666" s="1"/>
      <c r="K666" s="1"/>
      <c r="L666" s="1"/>
      <c r="M666" s="1"/>
      <c r="N666" s="1"/>
      <c r="O666" s="1"/>
      <c r="P666" s="1"/>
      <c r="Q666" s="1"/>
    </row>
    <row r="667" spans="1:17" x14ac:dyDescent="0.2">
      <c r="A667" s="1"/>
      <c r="B667" s="1"/>
      <c r="C667" s="1"/>
      <c r="D667" s="1"/>
      <c r="E667" s="1"/>
      <c r="F667" s="1"/>
      <c r="G667" s="1"/>
      <c r="H667" s="1"/>
      <c r="I667" s="1"/>
      <c r="J667" s="1"/>
      <c r="K667" s="1"/>
      <c r="L667" s="1"/>
      <c r="M667" s="1"/>
      <c r="N667" s="1"/>
      <c r="O667" s="1"/>
      <c r="P667" s="1"/>
      <c r="Q667" s="1"/>
    </row>
    <row r="668" spans="1:17" x14ac:dyDescent="0.2">
      <c r="A668" s="1"/>
      <c r="B668" s="1"/>
      <c r="C668" s="1"/>
      <c r="D668" s="1"/>
      <c r="E668" s="1"/>
      <c r="F668" s="1"/>
      <c r="G668" s="1"/>
      <c r="H668" s="1"/>
      <c r="I668" s="1"/>
      <c r="J668" s="1"/>
      <c r="K668" s="1"/>
      <c r="L668" s="1"/>
      <c r="M668" s="1"/>
      <c r="N668" s="1"/>
      <c r="O668" s="1"/>
      <c r="P668" s="1"/>
      <c r="Q668" s="1"/>
    </row>
    <row r="669" spans="1:17" x14ac:dyDescent="0.2">
      <c r="A669" s="1"/>
      <c r="B669" s="1"/>
      <c r="C669" s="1"/>
      <c r="D669" s="1"/>
      <c r="E669" s="1"/>
      <c r="F669" s="1"/>
      <c r="G669" s="1"/>
      <c r="H669" s="1"/>
      <c r="I669" s="1"/>
      <c r="J669" s="1"/>
      <c r="K669" s="1"/>
      <c r="L669" s="1"/>
      <c r="M669" s="1"/>
      <c r="N669" s="1"/>
      <c r="O669" s="1"/>
      <c r="P669" s="1"/>
      <c r="Q669" s="1"/>
    </row>
    <row r="670" spans="1:17" x14ac:dyDescent="0.2">
      <c r="A670" s="1"/>
      <c r="B670" s="1"/>
      <c r="C670" s="1"/>
      <c r="D670" s="1"/>
      <c r="E670" s="1"/>
      <c r="F670" s="1"/>
      <c r="G670" s="1"/>
      <c r="H670" s="1"/>
      <c r="I670" s="1"/>
      <c r="J670" s="1"/>
      <c r="K670" s="1"/>
      <c r="L670" s="1"/>
      <c r="M670" s="1"/>
      <c r="N670" s="1"/>
      <c r="O670" s="1"/>
      <c r="P670" s="1"/>
      <c r="Q670" s="1"/>
    </row>
    <row r="671" spans="1:17" x14ac:dyDescent="0.2">
      <c r="A671" s="1"/>
      <c r="B671" s="1"/>
      <c r="C671" s="1"/>
      <c r="D671" s="1"/>
      <c r="E671" s="1"/>
      <c r="F671" s="1"/>
      <c r="G671" s="1"/>
      <c r="H671" s="1"/>
      <c r="I671" s="1"/>
      <c r="J671" s="1"/>
      <c r="K671" s="1"/>
      <c r="L671" s="1"/>
      <c r="M671" s="1"/>
      <c r="N671" s="1"/>
      <c r="O671" s="1"/>
      <c r="P671" s="1"/>
      <c r="Q671" s="1"/>
    </row>
    <row r="672" spans="1:17" x14ac:dyDescent="0.2">
      <c r="A672" s="1"/>
      <c r="B672" s="1"/>
      <c r="C672" s="1"/>
      <c r="D672" s="1"/>
      <c r="E672" s="1"/>
      <c r="F672" s="1"/>
      <c r="G672" s="1"/>
      <c r="H672" s="1"/>
      <c r="I672" s="1"/>
      <c r="J672" s="1"/>
      <c r="K672" s="1"/>
      <c r="L672" s="1"/>
      <c r="M672" s="1"/>
      <c r="N672" s="1"/>
      <c r="O672" s="1"/>
      <c r="P672" s="1"/>
      <c r="Q672" s="1"/>
    </row>
    <row r="673" spans="1:17" x14ac:dyDescent="0.2">
      <c r="A673" s="1"/>
      <c r="B673" s="1"/>
      <c r="C673" s="1"/>
      <c r="D673" s="1"/>
      <c r="E673" s="1"/>
      <c r="F673" s="1"/>
      <c r="G673" s="1"/>
      <c r="H673" s="1"/>
      <c r="I673" s="1"/>
      <c r="J673" s="1"/>
      <c r="K673" s="1"/>
      <c r="L673" s="1"/>
      <c r="M673" s="1"/>
      <c r="N673" s="1"/>
      <c r="O673" s="1"/>
      <c r="P673" s="1"/>
      <c r="Q673" s="1"/>
    </row>
    <row r="674" spans="1:17" x14ac:dyDescent="0.2">
      <c r="A674" s="1"/>
      <c r="B674" s="1"/>
      <c r="C674" s="1"/>
      <c r="D674" s="1"/>
      <c r="E674" s="1"/>
      <c r="F674" s="1"/>
      <c r="G674" s="1"/>
      <c r="H674" s="1"/>
      <c r="I674" s="1"/>
      <c r="J674" s="1"/>
      <c r="K674" s="1"/>
      <c r="L674" s="1"/>
      <c r="M674" s="1"/>
      <c r="N674" s="1"/>
      <c r="O674" s="1"/>
      <c r="P674" s="1"/>
      <c r="Q674" s="1"/>
    </row>
    <row r="675" spans="1:17" x14ac:dyDescent="0.2">
      <c r="A675" s="1"/>
      <c r="B675" s="1"/>
      <c r="C675" s="1"/>
      <c r="D675" s="1"/>
      <c r="E675" s="1"/>
      <c r="F675" s="1"/>
      <c r="G675" s="1"/>
      <c r="H675" s="1"/>
      <c r="I675" s="1"/>
      <c r="J675" s="1"/>
      <c r="K675" s="1"/>
      <c r="L675" s="1"/>
      <c r="M675" s="1"/>
      <c r="N675" s="1"/>
      <c r="O675" s="1"/>
      <c r="P675" s="1"/>
      <c r="Q675" s="1"/>
    </row>
    <row r="676" spans="1:17" x14ac:dyDescent="0.2">
      <c r="A676" s="1"/>
      <c r="B676" s="1"/>
      <c r="C676" s="1"/>
      <c r="D676" s="1"/>
      <c r="E676" s="1"/>
      <c r="F676" s="1"/>
      <c r="G676" s="1"/>
      <c r="H676" s="1"/>
      <c r="I676" s="1"/>
      <c r="J676" s="1"/>
      <c r="K676" s="1"/>
      <c r="L676" s="1"/>
      <c r="M676" s="1"/>
      <c r="N676" s="1"/>
      <c r="O676" s="1"/>
      <c r="P676" s="1"/>
      <c r="Q676" s="1"/>
    </row>
    <row r="677" spans="1:17" x14ac:dyDescent="0.2">
      <c r="A677" s="1"/>
      <c r="B677" s="1"/>
      <c r="C677" s="1"/>
      <c r="D677" s="1"/>
      <c r="E677" s="1"/>
      <c r="F677" s="1"/>
      <c r="G677" s="1"/>
      <c r="H677" s="1"/>
      <c r="I677" s="1"/>
      <c r="J677" s="1"/>
      <c r="K677" s="1"/>
      <c r="L677" s="1"/>
      <c r="M677" s="1"/>
      <c r="N677" s="1"/>
      <c r="O677" s="1"/>
      <c r="P677" s="1"/>
      <c r="Q677" s="1"/>
    </row>
    <row r="678" spans="1:17" x14ac:dyDescent="0.2">
      <c r="A678" s="1"/>
      <c r="B678" s="1"/>
      <c r="C678" s="1"/>
      <c r="D678" s="1"/>
      <c r="E678" s="1"/>
      <c r="F678" s="1"/>
      <c r="G678" s="1"/>
      <c r="H678" s="1"/>
      <c r="I678" s="1"/>
      <c r="J678" s="1"/>
      <c r="K678" s="1"/>
      <c r="L678" s="1"/>
      <c r="M678" s="1"/>
      <c r="N678" s="1"/>
      <c r="O678" s="1"/>
      <c r="P678" s="1"/>
      <c r="Q678" s="1"/>
    </row>
    <row r="679" spans="1:17" x14ac:dyDescent="0.2">
      <c r="A679" s="1"/>
      <c r="B679" s="1"/>
      <c r="C679" s="1"/>
      <c r="D679" s="1"/>
      <c r="E679" s="1"/>
      <c r="F679" s="1"/>
      <c r="G679" s="1"/>
      <c r="H679" s="1"/>
      <c r="I679" s="1"/>
      <c r="J679" s="1"/>
      <c r="K679" s="1"/>
      <c r="L679" s="1"/>
      <c r="M679" s="1"/>
      <c r="N679" s="1"/>
      <c r="O679" s="1"/>
      <c r="P679" s="1"/>
      <c r="Q679" s="1"/>
    </row>
    <row r="680" spans="1:17" x14ac:dyDescent="0.2">
      <c r="A680" s="1"/>
      <c r="B680" s="1"/>
      <c r="C680" s="1"/>
      <c r="D680" s="1"/>
      <c r="E680" s="1"/>
      <c r="F680" s="1"/>
      <c r="G680" s="1"/>
      <c r="H680" s="1"/>
      <c r="I680" s="1"/>
      <c r="J680" s="1"/>
      <c r="K680" s="1"/>
      <c r="L680" s="1"/>
      <c r="M680" s="1"/>
      <c r="N680" s="1"/>
      <c r="O680" s="1"/>
      <c r="P680" s="1"/>
      <c r="Q680" s="1"/>
    </row>
    <row r="681" spans="1:17" x14ac:dyDescent="0.2">
      <c r="A681" s="1"/>
      <c r="B681" s="1"/>
      <c r="C681" s="1"/>
      <c r="D681" s="1"/>
      <c r="E681" s="1"/>
      <c r="F681" s="1"/>
      <c r="G681" s="1"/>
      <c r="H681" s="1"/>
      <c r="I681" s="1"/>
      <c r="J681" s="1"/>
      <c r="K681" s="1"/>
      <c r="L681" s="1"/>
      <c r="M681" s="1"/>
      <c r="N681" s="1"/>
      <c r="O681" s="1"/>
      <c r="P681" s="1"/>
      <c r="Q681" s="1"/>
    </row>
    <row r="682" spans="1:17" x14ac:dyDescent="0.2">
      <c r="A682" s="1"/>
      <c r="B682" s="1"/>
      <c r="C682" s="1"/>
      <c r="D682" s="1"/>
      <c r="E682" s="1"/>
      <c r="F682" s="1"/>
      <c r="G682" s="1"/>
      <c r="H682" s="1"/>
      <c r="I682" s="1"/>
      <c r="J682" s="1"/>
      <c r="K682" s="1"/>
      <c r="L682" s="1"/>
      <c r="M682" s="1"/>
      <c r="N682" s="1"/>
      <c r="O682" s="1"/>
      <c r="P682" s="1"/>
      <c r="Q682" s="1"/>
    </row>
    <row r="683" spans="1:17" x14ac:dyDescent="0.2">
      <c r="A683" s="1"/>
      <c r="B683" s="1"/>
      <c r="C683" s="1"/>
      <c r="D683" s="1"/>
      <c r="E683" s="1"/>
      <c r="F683" s="1"/>
      <c r="G683" s="1"/>
      <c r="H683" s="1"/>
      <c r="I683" s="1"/>
      <c r="J683" s="1"/>
      <c r="K683" s="1"/>
      <c r="L683" s="1"/>
      <c r="M683" s="1"/>
      <c r="N683" s="1"/>
      <c r="O683" s="1"/>
      <c r="P683" s="1"/>
      <c r="Q683" s="1"/>
    </row>
    <row r="684" spans="1:17" x14ac:dyDescent="0.2">
      <c r="A684" s="1"/>
      <c r="B684" s="1"/>
      <c r="C684" s="1"/>
      <c r="D684" s="1"/>
      <c r="E684" s="1"/>
      <c r="F684" s="1"/>
      <c r="G684" s="1"/>
      <c r="H684" s="1"/>
      <c r="I684" s="1"/>
      <c r="J684" s="1"/>
      <c r="K684" s="1"/>
      <c r="L684" s="1"/>
      <c r="M684" s="1"/>
      <c r="N684" s="1"/>
      <c r="O684" s="1"/>
      <c r="P684" s="1"/>
      <c r="Q684" s="1"/>
    </row>
    <row r="685" spans="1:17" x14ac:dyDescent="0.2">
      <c r="A685" s="1"/>
      <c r="B685" s="1"/>
      <c r="C685" s="1"/>
      <c r="D685" s="1"/>
      <c r="E685" s="1"/>
      <c r="F685" s="1"/>
      <c r="G685" s="1"/>
      <c r="H685" s="1"/>
      <c r="I685" s="1"/>
      <c r="J685" s="1"/>
      <c r="K685" s="1"/>
      <c r="L685" s="1"/>
      <c r="M685" s="1"/>
      <c r="N685" s="1"/>
      <c r="O685" s="1"/>
      <c r="P685" s="1"/>
      <c r="Q685" s="1"/>
    </row>
    <row r="686" spans="1:17" x14ac:dyDescent="0.2">
      <c r="A686" s="1"/>
      <c r="B686" s="1"/>
      <c r="C686" s="1"/>
      <c r="D686" s="1"/>
      <c r="E686" s="1"/>
      <c r="F686" s="1"/>
      <c r="G686" s="1"/>
      <c r="H686" s="1"/>
      <c r="I686" s="1"/>
      <c r="J686" s="1"/>
      <c r="K686" s="1"/>
      <c r="L686" s="1"/>
      <c r="M686" s="1"/>
      <c r="N686" s="1"/>
      <c r="O686" s="1"/>
      <c r="P686" s="1"/>
      <c r="Q686" s="1"/>
    </row>
    <row r="687" spans="1:17" x14ac:dyDescent="0.2">
      <c r="A687" s="1"/>
      <c r="B687" s="1"/>
      <c r="C687" s="1"/>
      <c r="D687" s="1"/>
      <c r="E687" s="1"/>
      <c r="F687" s="1"/>
      <c r="G687" s="1"/>
      <c r="H687" s="1"/>
      <c r="I687" s="1"/>
      <c r="J687" s="1"/>
      <c r="K687" s="1"/>
      <c r="L687" s="1"/>
      <c r="M687" s="1"/>
      <c r="N687" s="1"/>
      <c r="O687" s="1"/>
      <c r="P687" s="1"/>
      <c r="Q687" s="1"/>
    </row>
    <row r="688" spans="1:17" x14ac:dyDescent="0.2">
      <c r="A688" s="1"/>
      <c r="B688" s="1"/>
      <c r="C688" s="1"/>
      <c r="D688" s="1"/>
      <c r="E688" s="1"/>
      <c r="F688" s="1"/>
      <c r="G688" s="1"/>
      <c r="H688" s="1"/>
      <c r="I688" s="1"/>
      <c r="J688" s="1"/>
      <c r="K688" s="1"/>
      <c r="L688" s="1"/>
      <c r="M688" s="1"/>
      <c r="N688" s="1"/>
      <c r="O688" s="1"/>
      <c r="P688" s="1"/>
      <c r="Q688" s="1"/>
    </row>
    <row r="689" spans="1:17" x14ac:dyDescent="0.2">
      <c r="A689" s="1"/>
      <c r="B689" s="1"/>
      <c r="C689" s="1"/>
      <c r="D689" s="1"/>
      <c r="E689" s="1"/>
      <c r="F689" s="1"/>
      <c r="G689" s="1"/>
      <c r="H689" s="1"/>
      <c r="I689" s="1"/>
      <c r="J689" s="1"/>
      <c r="K689" s="1"/>
      <c r="L689" s="1"/>
      <c r="M689" s="1"/>
      <c r="N689" s="1"/>
      <c r="O689" s="1"/>
      <c r="P689" s="1"/>
      <c r="Q689" s="1"/>
    </row>
    <row r="690" spans="1:17" x14ac:dyDescent="0.2">
      <c r="A690" s="1"/>
      <c r="B690" s="1"/>
      <c r="C690" s="1"/>
      <c r="D690" s="1"/>
      <c r="E690" s="1"/>
      <c r="F690" s="1"/>
      <c r="G690" s="1"/>
      <c r="H690" s="1"/>
      <c r="I690" s="1"/>
      <c r="J690" s="1"/>
      <c r="K690" s="1"/>
      <c r="L690" s="1"/>
      <c r="M690" s="1"/>
      <c r="N690" s="1"/>
      <c r="O690" s="1"/>
      <c r="P690" s="1"/>
      <c r="Q690" s="1"/>
    </row>
    <row r="691" spans="1:17" x14ac:dyDescent="0.2">
      <c r="A691" s="1"/>
      <c r="B691" s="1"/>
      <c r="C691" s="1"/>
      <c r="D691" s="1"/>
      <c r="E691" s="1"/>
      <c r="F691" s="1"/>
      <c r="G691" s="1"/>
      <c r="H691" s="1"/>
      <c r="I691" s="1"/>
      <c r="J691" s="1"/>
      <c r="K691" s="1"/>
      <c r="L691" s="1"/>
      <c r="M691" s="1"/>
      <c r="N691" s="1"/>
      <c r="O691" s="1"/>
      <c r="P691" s="1"/>
      <c r="Q691" s="1"/>
    </row>
    <row r="692" spans="1:17" x14ac:dyDescent="0.2">
      <c r="A692" s="1"/>
      <c r="B692" s="1"/>
      <c r="C692" s="1"/>
      <c r="D692" s="1"/>
      <c r="E692" s="1"/>
      <c r="F692" s="1"/>
      <c r="G692" s="1"/>
      <c r="H692" s="1"/>
      <c r="I692" s="1"/>
      <c r="J692" s="1"/>
      <c r="K692" s="1"/>
      <c r="L692" s="1"/>
      <c r="M692" s="1"/>
      <c r="N692" s="1"/>
      <c r="O692" s="1"/>
      <c r="P692" s="1"/>
      <c r="Q692" s="1"/>
    </row>
    <row r="693" spans="1:17" x14ac:dyDescent="0.2">
      <c r="A693" s="1"/>
      <c r="B693" s="1"/>
      <c r="C693" s="1"/>
      <c r="D693" s="1"/>
      <c r="E693" s="1"/>
      <c r="F693" s="1"/>
      <c r="G693" s="1"/>
      <c r="H693" s="1"/>
      <c r="I693" s="1"/>
      <c r="J693" s="1"/>
      <c r="K693" s="1"/>
      <c r="L693" s="1"/>
      <c r="M693" s="1"/>
      <c r="N693" s="1"/>
      <c r="O693" s="1"/>
      <c r="P693" s="1"/>
      <c r="Q693" s="1"/>
    </row>
    <row r="694" spans="1:17" x14ac:dyDescent="0.2">
      <c r="A694" s="1"/>
      <c r="B694" s="1"/>
      <c r="C694" s="1"/>
      <c r="D694" s="1"/>
      <c r="E694" s="1"/>
      <c r="F694" s="1"/>
      <c r="G694" s="1"/>
      <c r="H694" s="1"/>
      <c r="I694" s="1"/>
      <c r="J694" s="1"/>
      <c r="K694" s="1"/>
      <c r="L694" s="1"/>
      <c r="M694" s="1"/>
      <c r="N694" s="1"/>
      <c r="O694" s="1"/>
      <c r="P694" s="1"/>
      <c r="Q694" s="1"/>
    </row>
    <row r="695" spans="1:17" x14ac:dyDescent="0.2">
      <c r="A695" s="1"/>
      <c r="B695" s="1"/>
      <c r="C695" s="1"/>
      <c r="D695" s="1"/>
      <c r="E695" s="1"/>
      <c r="F695" s="1"/>
      <c r="G695" s="1"/>
      <c r="H695" s="1"/>
      <c r="I695" s="1"/>
      <c r="J695" s="1"/>
      <c r="K695" s="1"/>
      <c r="L695" s="1"/>
      <c r="M695" s="1"/>
      <c r="N695" s="1"/>
      <c r="O695" s="1"/>
      <c r="P695" s="1"/>
      <c r="Q695" s="1"/>
    </row>
    <row r="696" spans="1:17" x14ac:dyDescent="0.2">
      <c r="A696" s="1"/>
      <c r="B696" s="1"/>
      <c r="C696" s="1"/>
      <c r="D696" s="1"/>
      <c r="E696" s="1"/>
      <c r="F696" s="1"/>
      <c r="G696" s="1"/>
      <c r="H696" s="1"/>
      <c r="I696" s="1"/>
      <c r="J696" s="1"/>
      <c r="K696" s="1"/>
      <c r="L696" s="1"/>
      <c r="M696" s="1"/>
      <c r="N696" s="1"/>
      <c r="O696" s="1"/>
      <c r="P696" s="1"/>
      <c r="Q696" s="1"/>
    </row>
    <row r="697" spans="1:17" x14ac:dyDescent="0.2">
      <c r="A697" s="1"/>
      <c r="B697" s="1"/>
      <c r="C697" s="1"/>
      <c r="D697" s="1"/>
      <c r="E697" s="1"/>
      <c r="F697" s="1"/>
      <c r="G697" s="1"/>
      <c r="H697" s="1"/>
      <c r="I697" s="1"/>
      <c r="J697" s="1"/>
      <c r="K697" s="1"/>
      <c r="L697" s="1"/>
      <c r="M697" s="1"/>
      <c r="N697" s="1"/>
      <c r="O697" s="1"/>
      <c r="P697" s="1"/>
      <c r="Q697" s="1"/>
    </row>
    <row r="698" spans="1:17" x14ac:dyDescent="0.2">
      <c r="A698" s="1"/>
      <c r="B698" s="1"/>
      <c r="C698" s="1"/>
      <c r="D698" s="1"/>
      <c r="E698" s="1"/>
      <c r="F698" s="1"/>
      <c r="G698" s="1"/>
      <c r="H698" s="1"/>
      <c r="I698" s="1"/>
      <c r="J698" s="1"/>
      <c r="K698" s="1"/>
      <c r="L698" s="1"/>
      <c r="M698" s="1"/>
      <c r="N698" s="1"/>
      <c r="O698" s="1"/>
      <c r="P698" s="1"/>
      <c r="Q698" s="1"/>
    </row>
    <row r="699" spans="1:17" x14ac:dyDescent="0.2">
      <c r="A699" s="1"/>
      <c r="B699" s="1"/>
      <c r="C699" s="1"/>
      <c r="D699" s="1"/>
      <c r="E699" s="1"/>
      <c r="F699" s="1"/>
      <c r="G699" s="1"/>
      <c r="H699" s="1"/>
      <c r="I699" s="1"/>
      <c r="J699" s="1"/>
      <c r="K699" s="1"/>
      <c r="L699" s="1"/>
      <c r="M699" s="1"/>
      <c r="N699" s="1"/>
      <c r="O699" s="1"/>
      <c r="P699" s="1"/>
      <c r="Q699" s="1"/>
    </row>
    <row r="700" spans="1:17" x14ac:dyDescent="0.2">
      <c r="A700" s="1"/>
      <c r="B700" s="1"/>
      <c r="C700" s="1"/>
      <c r="D700" s="1"/>
      <c r="E700" s="1"/>
      <c r="F700" s="1"/>
      <c r="G700" s="1"/>
      <c r="H700" s="1"/>
      <c r="I700" s="1"/>
      <c r="J700" s="1"/>
      <c r="K700" s="1"/>
      <c r="L700" s="1"/>
      <c r="M700" s="1"/>
      <c r="N700" s="1"/>
      <c r="O700" s="1"/>
      <c r="P700" s="1"/>
      <c r="Q700" s="1"/>
    </row>
    <row r="701" spans="1:17" x14ac:dyDescent="0.2">
      <c r="A701" s="1"/>
      <c r="B701" s="1"/>
      <c r="C701" s="1"/>
      <c r="D701" s="1"/>
      <c r="E701" s="1"/>
      <c r="F701" s="1"/>
      <c r="G701" s="1"/>
      <c r="H701" s="1"/>
      <c r="I701" s="1"/>
      <c r="J701" s="1"/>
      <c r="K701" s="1"/>
      <c r="L701" s="1"/>
      <c r="M701" s="1"/>
      <c r="N701" s="1"/>
      <c r="O701" s="1"/>
      <c r="P701" s="1"/>
      <c r="Q701" s="1"/>
    </row>
    <row r="702" spans="1:17" x14ac:dyDescent="0.2">
      <c r="A702" s="1"/>
      <c r="B702" s="1"/>
      <c r="C702" s="1"/>
      <c r="D702" s="1"/>
      <c r="E702" s="1"/>
      <c r="F702" s="1"/>
      <c r="G702" s="1"/>
      <c r="H702" s="1"/>
      <c r="I702" s="1"/>
      <c r="J702" s="1"/>
      <c r="K702" s="1"/>
      <c r="L702" s="1"/>
      <c r="M702" s="1"/>
      <c r="N702" s="1"/>
      <c r="O702" s="1"/>
      <c r="P702" s="1"/>
      <c r="Q702" s="1"/>
    </row>
    <row r="703" spans="1:17" x14ac:dyDescent="0.2">
      <c r="A703" s="1"/>
      <c r="B703" s="1"/>
      <c r="C703" s="1"/>
      <c r="D703" s="1"/>
      <c r="E703" s="1"/>
      <c r="F703" s="1"/>
      <c r="G703" s="1"/>
      <c r="H703" s="1"/>
      <c r="I703" s="1"/>
      <c r="J703" s="1"/>
      <c r="K703" s="1"/>
      <c r="L703" s="1"/>
      <c r="M703" s="1"/>
      <c r="N703" s="1"/>
      <c r="O703" s="1"/>
      <c r="P703" s="1"/>
      <c r="Q703" s="1"/>
    </row>
    <row r="704" spans="1:17" x14ac:dyDescent="0.2">
      <c r="A704" s="1"/>
      <c r="B704" s="1"/>
      <c r="C704" s="1"/>
      <c r="D704" s="1"/>
      <c r="E704" s="1"/>
      <c r="F704" s="1"/>
      <c r="G704" s="1"/>
      <c r="H704" s="1"/>
      <c r="I704" s="1"/>
      <c r="J704" s="1"/>
      <c r="K704" s="1"/>
      <c r="L704" s="1"/>
      <c r="M704" s="1"/>
      <c r="N704" s="1"/>
      <c r="O704" s="1"/>
      <c r="P704" s="1"/>
      <c r="Q704" s="1"/>
    </row>
    <row r="705" spans="1:17" x14ac:dyDescent="0.2">
      <c r="A705" s="1"/>
      <c r="B705" s="1"/>
      <c r="C705" s="1"/>
      <c r="D705" s="1"/>
      <c r="E705" s="1"/>
      <c r="F705" s="1"/>
      <c r="G705" s="1"/>
      <c r="H705" s="1"/>
      <c r="I705" s="1"/>
      <c r="J705" s="1"/>
      <c r="K705" s="1"/>
      <c r="L705" s="1"/>
      <c r="M705" s="1"/>
      <c r="N705" s="1"/>
      <c r="O705" s="1"/>
      <c r="P705" s="1"/>
      <c r="Q705" s="1"/>
    </row>
    <row r="706" spans="1:17" x14ac:dyDescent="0.2">
      <c r="A706" s="1"/>
      <c r="B706" s="1"/>
      <c r="C706" s="1"/>
      <c r="D706" s="1"/>
      <c r="E706" s="1"/>
      <c r="F706" s="1"/>
      <c r="G706" s="1"/>
      <c r="H706" s="1"/>
      <c r="I706" s="1"/>
      <c r="J706" s="1"/>
      <c r="K706" s="1"/>
      <c r="L706" s="1"/>
      <c r="M706" s="1"/>
      <c r="N706" s="1"/>
      <c r="O706" s="1"/>
      <c r="P706" s="1"/>
      <c r="Q706" s="1"/>
    </row>
    <row r="707" spans="1:17" x14ac:dyDescent="0.2">
      <c r="A707" s="1"/>
      <c r="B707" s="1"/>
      <c r="C707" s="1"/>
      <c r="D707" s="1"/>
      <c r="E707" s="1"/>
      <c r="F707" s="1"/>
      <c r="G707" s="1"/>
      <c r="H707" s="1"/>
      <c r="I707" s="1"/>
      <c r="J707" s="1"/>
      <c r="K707" s="1"/>
      <c r="L707" s="1"/>
      <c r="M707" s="1"/>
      <c r="N707" s="1"/>
      <c r="O707" s="1"/>
      <c r="P707" s="1"/>
      <c r="Q707" s="1"/>
    </row>
    <row r="708" spans="1:17" x14ac:dyDescent="0.2">
      <c r="A708" s="1"/>
      <c r="B708" s="1"/>
      <c r="C708" s="1"/>
      <c r="D708" s="1"/>
      <c r="E708" s="1"/>
      <c r="F708" s="1"/>
      <c r="G708" s="1"/>
      <c r="H708" s="1"/>
      <c r="I708" s="1"/>
      <c r="J708" s="1"/>
      <c r="K708" s="1"/>
      <c r="L708" s="1"/>
      <c r="M708" s="1"/>
      <c r="N708" s="1"/>
      <c r="O708" s="1"/>
      <c r="P708" s="1"/>
      <c r="Q708" s="1"/>
    </row>
    <row r="709" spans="1:17" x14ac:dyDescent="0.2">
      <c r="A709" s="1"/>
      <c r="B709" s="1"/>
      <c r="C709" s="1"/>
      <c r="D709" s="1"/>
      <c r="E709" s="1"/>
      <c r="F709" s="1"/>
      <c r="G709" s="1"/>
      <c r="H709" s="1"/>
      <c r="I709" s="1"/>
      <c r="J709" s="1"/>
      <c r="K709" s="1"/>
      <c r="L709" s="1"/>
      <c r="M709" s="1"/>
      <c r="N709" s="1"/>
      <c r="O709" s="1"/>
      <c r="P709" s="1"/>
      <c r="Q709" s="1"/>
    </row>
    <row r="710" spans="1:17" x14ac:dyDescent="0.2">
      <c r="A710" s="1"/>
      <c r="B710" s="1"/>
      <c r="C710" s="1"/>
      <c r="D710" s="1"/>
      <c r="E710" s="1"/>
      <c r="F710" s="1"/>
      <c r="G710" s="1"/>
      <c r="H710" s="1"/>
      <c r="I710" s="1"/>
      <c r="J710" s="1"/>
      <c r="K710" s="1"/>
      <c r="L710" s="1"/>
      <c r="M710" s="1"/>
      <c r="N710" s="1"/>
      <c r="O710" s="1"/>
      <c r="P710" s="1"/>
      <c r="Q710" s="1"/>
    </row>
    <row r="711" spans="1:17" x14ac:dyDescent="0.2">
      <c r="A711" s="1"/>
      <c r="B711" s="1"/>
      <c r="C711" s="1"/>
      <c r="D711" s="1"/>
      <c r="E711" s="1"/>
      <c r="F711" s="1"/>
      <c r="G711" s="1"/>
      <c r="H711" s="1"/>
      <c r="I711" s="1"/>
      <c r="J711" s="1"/>
      <c r="K711" s="1"/>
      <c r="L711" s="1"/>
      <c r="M711" s="1"/>
      <c r="N711" s="1"/>
      <c r="O711" s="1"/>
      <c r="P711" s="1"/>
      <c r="Q711" s="1"/>
    </row>
    <row r="712" spans="1:17" x14ac:dyDescent="0.2">
      <c r="A712" s="1"/>
      <c r="B712" s="1"/>
      <c r="C712" s="1"/>
      <c r="D712" s="1"/>
      <c r="E712" s="1"/>
      <c r="F712" s="1"/>
      <c r="G712" s="1"/>
      <c r="H712" s="1"/>
      <c r="I712" s="1"/>
      <c r="J712" s="1"/>
      <c r="K712" s="1"/>
      <c r="L712" s="1"/>
      <c r="M712" s="1"/>
      <c r="N712" s="1"/>
      <c r="O712" s="1"/>
      <c r="P712" s="1"/>
      <c r="Q712" s="1"/>
    </row>
    <row r="713" spans="1:17" x14ac:dyDescent="0.2">
      <c r="A713" s="1"/>
      <c r="B713" s="1"/>
      <c r="C713" s="1"/>
      <c r="D713" s="1"/>
      <c r="E713" s="1"/>
      <c r="F713" s="1"/>
      <c r="G713" s="1"/>
      <c r="H713" s="1"/>
      <c r="I713" s="1"/>
      <c r="J713" s="1"/>
      <c r="K713" s="1"/>
      <c r="L713" s="1"/>
      <c r="M713" s="1"/>
      <c r="N713" s="1"/>
      <c r="O713" s="1"/>
      <c r="P713" s="1"/>
      <c r="Q713" s="1"/>
    </row>
    <row r="714" spans="1:17" x14ac:dyDescent="0.2">
      <c r="A714" s="1"/>
      <c r="B714" s="1"/>
      <c r="C714" s="1"/>
      <c r="D714" s="1"/>
      <c r="E714" s="1"/>
      <c r="F714" s="1"/>
      <c r="G714" s="1"/>
      <c r="H714" s="1"/>
      <c r="I714" s="1"/>
      <c r="J714" s="1"/>
      <c r="K714" s="1"/>
      <c r="L714" s="1"/>
      <c r="M714" s="1"/>
      <c r="N714" s="1"/>
      <c r="O714" s="1"/>
      <c r="P714" s="1"/>
      <c r="Q714" s="1"/>
    </row>
    <row r="715" spans="1:17" x14ac:dyDescent="0.2">
      <c r="A715" s="1"/>
      <c r="B715" s="1"/>
      <c r="C715" s="1"/>
      <c r="D715" s="1"/>
      <c r="E715" s="1"/>
      <c r="F715" s="1"/>
      <c r="G715" s="1"/>
      <c r="H715" s="1"/>
      <c r="I715" s="1"/>
      <c r="J715" s="1"/>
      <c r="K715" s="1"/>
      <c r="L715" s="1"/>
      <c r="M715" s="1"/>
      <c r="N715" s="1"/>
      <c r="O715" s="1"/>
      <c r="P715" s="1"/>
      <c r="Q715" s="1"/>
    </row>
    <row r="716" spans="1:17" x14ac:dyDescent="0.2">
      <c r="A716" s="1"/>
      <c r="B716" s="1"/>
      <c r="C716" s="1"/>
      <c r="D716" s="1"/>
      <c r="E716" s="1"/>
      <c r="F716" s="1"/>
      <c r="G716" s="1"/>
      <c r="H716" s="1"/>
      <c r="I716" s="1"/>
      <c r="J716" s="1"/>
      <c r="K716" s="1"/>
      <c r="L716" s="1"/>
      <c r="M716" s="1"/>
      <c r="N716" s="1"/>
      <c r="O716" s="1"/>
      <c r="P716" s="1"/>
      <c r="Q716" s="1"/>
    </row>
    <row r="717" spans="1:17" x14ac:dyDescent="0.2">
      <c r="A717" s="1"/>
      <c r="B717" s="1"/>
      <c r="C717" s="1"/>
      <c r="D717" s="1"/>
      <c r="E717" s="1"/>
      <c r="F717" s="1"/>
      <c r="G717" s="1"/>
      <c r="H717" s="1"/>
      <c r="I717" s="1"/>
      <c r="J717" s="1"/>
      <c r="K717" s="1"/>
      <c r="L717" s="1"/>
      <c r="M717" s="1"/>
      <c r="N717" s="1"/>
      <c r="O717" s="1"/>
      <c r="P717" s="1"/>
      <c r="Q717" s="1"/>
    </row>
    <row r="718" spans="1:17" x14ac:dyDescent="0.2">
      <c r="A718" s="1"/>
      <c r="B718" s="1"/>
      <c r="C718" s="1"/>
      <c r="D718" s="1"/>
      <c r="E718" s="1"/>
      <c r="F718" s="1"/>
      <c r="G718" s="1"/>
      <c r="H718" s="1"/>
      <c r="I718" s="1"/>
      <c r="J718" s="1"/>
      <c r="K718" s="1"/>
      <c r="L718" s="1"/>
      <c r="M718" s="1"/>
      <c r="N718" s="1"/>
      <c r="O718" s="1"/>
      <c r="P718" s="1"/>
      <c r="Q718" s="1"/>
    </row>
    <row r="719" spans="1:17" x14ac:dyDescent="0.2">
      <c r="A719" s="1"/>
      <c r="B719" s="1"/>
      <c r="C719" s="1"/>
      <c r="D719" s="1"/>
      <c r="E719" s="1"/>
      <c r="F719" s="1"/>
      <c r="G719" s="1"/>
      <c r="H719" s="1"/>
      <c r="I719" s="1"/>
      <c r="J719" s="1"/>
      <c r="K719" s="1"/>
      <c r="L719" s="1"/>
      <c r="M719" s="1"/>
      <c r="N719" s="1"/>
      <c r="O719" s="1"/>
      <c r="P719" s="1"/>
      <c r="Q719" s="1"/>
    </row>
    <row r="720" spans="1:17" x14ac:dyDescent="0.2">
      <c r="A720" s="1"/>
      <c r="B720" s="1"/>
      <c r="C720" s="1"/>
      <c r="D720" s="1"/>
      <c r="E720" s="1"/>
      <c r="F720" s="1"/>
      <c r="G720" s="1"/>
      <c r="H720" s="1"/>
      <c r="I720" s="1"/>
      <c r="J720" s="1"/>
      <c r="K720" s="1"/>
      <c r="L720" s="1"/>
      <c r="M720" s="1"/>
      <c r="N720" s="1"/>
      <c r="O720" s="1"/>
      <c r="P720" s="1"/>
      <c r="Q720" s="1"/>
    </row>
    <row r="721" spans="1:17" x14ac:dyDescent="0.2">
      <c r="A721" s="1"/>
      <c r="B721" s="1"/>
      <c r="C721" s="1"/>
      <c r="D721" s="1"/>
      <c r="E721" s="1"/>
      <c r="F721" s="1"/>
      <c r="G721" s="1"/>
      <c r="H721" s="1"/>
      <c r="I721" s="1"/>
      <c r="J721" s="1"/>
      <c r="K721" s="1"/>
      <c r="L721" s="1"/>
      <c r="M721" s="1"/>
      <c r="N721" s="1"/>
      <c r="O721" s="1"/>
      <c r="P721" s="1"/>
      <c r="Q721" s="1"/>
    </row>
    <row r="722" spans="1:17" x14ac:dyDescent="0.2">
      <c r="A722" s="1"/>
      <c r="B722" s="1"/>
      <c r="C722" s="1"/>
      <c r="D722" s="1"/>
      <c r="E722" s="1"/>
      <c r="F722" s="1"/>
      <c r="G722" s="1"/>
      <c r="H722" s="1"/>
      <c r="I722" s="1"/>
      <c r="J722" s="1"/>
      <c r="K722" s="1"/>
      <c r="L722" s="1"/>
      <c r="M722" s="1"/>
      <c r="N722" s="1"/>
      <c r="O722" s="1"/>
      <c r="P722" s="1"/>
      <c r="Q722" s="1"/>
    </row>
    <row r="723" spans="1:17" x14ac:dyDescent="0.2">
      <c r="A723" s="1"/>
      <c r="B723" s="1"/>
      <c r="C723" s="1"/>
      <c r="D723" s="1"/>
      <c r="E723" s="1"/>
      <c r="F723" s="1"/>
      <c r="G723" s="1"/>
      <c r="H723" s="1"/>
      <c r="I723" s="1"/>
      <c r="J723" s="1"/>
      <c r="K723" s="1"/>
      <c r="L723" s="1"/>
      <c r="M723" s="1"/>
      <c r="N723" s="1"/>
      <c r="O723" s="1"/>
      <c r="P723" s="1"/>
      <c r="Q723" s="1"/>
    </row>
    <row r="724" spans="1:17" x14ac:dyDescent="0.2">
      <c r="A724" s="1"/>
      <c r="B724" s="1"/>
      <c r="C724" s="1"/>
      <c r="D724" s="1"/>
      <c r="E724" s="1"/>
      <c r="F724" s="1"/>
      <c r="G724" s="1"/>
      <c r="H724" s="1"/>
      <c r="I724" s="1"/>
      <c r="J724" s="1"/>
      <c r="K724" s="1"/>
      <c r="L724" s="1"/>
      <c r="M724" s="1"/>
      <c r="N724" s="1"/>
      <c r="O724" s="1"/>
      <c r="P724" s="1"/>
      <c r="Q724" s="1"/>
    </row>
    <row r="725" spans="1:17" x14ac:dyDescent="0.2">
      <c r="A725" s="1"/>
      <c r="B725" s="1"/>
      <c r="C725" s="1"/>
      <c r="D725" s="1"/>
      <c r="E725" s="1"/>
      <c r="F725" s="1"/>
      <c r="G725" s="1"/>
      <c r="H725" s="1"/>
      <c r="I725" s="1"/>
      <c r="J725" s="1"/>
      <c r="K725" s="1"/>
      <c r="L725" s="1"/>
      <c r="M725" s="1"/>
      <c r="N725" s="1"/>
      <c r="O725" s="1"/>
      <c r="P725" s="1"/>
      <c r="Q725" s="1"/>
    </row>
    <row r="726" spans="1:17" x14ac:dyDescent="0.2">
      <c r="A726" s="1"/>
      <c r="B726" s="1"/>
      <c r="C726" s="1"/>
      <c r="D726" s="1"/>
      <c r="E726" s="1"/>
      <c r="F726" s="1"/>
      <c r="G726" s="1"/>
      <c r="H726" s="1"/>
      <c r="I726" s="1"/>
      <c r="J726" s="1"/>
      <c r="K726" s="1"/>
      <c r="L726" s="1"/>
      <c r="M726" s="1"/>
      <c r="N726" s="1"/>
      <c r="O726" s="1"/>
      <c r="P726" s="1"/>
      <c r="Q726" s="1"/>
    </row>
    <row r="727" spans="1:17" x14ac:dyDescent="0.2">
      <c r="A727" s="1"/>
      <c r="B727" s="1"/>
      <c r="C727" s="1"/>
      <c r="D727" s="1"/>
      <c r="E727" s="1"/>
      <c r="F727" s="1"/>
      <c r="G727" s="1"/>
      <c r="H727" s="1"/>
      <c r="I727" s="1"/>
      <c r="J727" s="1"/>
      <c r="K727" s="1"/>
      <c r="L727" s="1"/>
      <c r="M727" s="1"/>
      <c r="N727" s="1"/>
      <c r="O727" s="1"/>
      <c r="P727" s="1"/>
      <c r="Q727" s="1"/>
    </row>
    <row r="728" spans="1:17" x14ac:dyDescent="0.2">
      <c r="A728" s="1"/>
      <c r="B728" s="1"/>
      <c r="C728" s="1"/>
      <c r="D728" s="1"/>
      <c r="E728" s="1"/>
      <c r="F728" s="1"/>
      <c r="G728" s="1"/>
      <c r="H728" s="1"/>
      <c r="I728" s="1"/>
      <c r="J728" s="1"/>
      <c r="K728" s="1"/>
      <c r="L728" s="1"/>
      <c r="M728" s="1"/>
      <c r="N728" s="1"/>
      <c r="O728" s="1"/>
      <c r="P728" s="1"/>
      <c r="Q728" s="1"/>
    </row>
    <row r="729" spans="1:17" x14ac:dyDescent="0.2">
      <c r="A729" s="1"/>
      <c r="B729" s="1"/>
      <c r="C729" s="1"/>
      <c r="D729" s="1"/>
      <c r="E729" s="1"/>
      <c r="F729" s="1"/>
      <c r="G729" s="1"/>
      <c r="H729" s="1"/>
      <c r="I729" s="1"/>
      <c r="J729" s="1"/>
      <c r="K729" s="1"/>
      <c r="L729" s="1"/>
      <c r="M729" s="1"/>
      <c r="N729" s="1"/>
      <c r="O729" s="1"/>
      <c r="P729" s="1"/>
      <c r="Q729" s="1"/>
    </row>
    <row r="730" spans="1:17" x14ac:dyDescent="0.2">
      <c r="A730" s="1"/>
      <c r="B730" s="1"/>
      <c r="C730" s="1"/>
      <c r="D730" s="1"/>
      <c r="E730" s="1"/>
      <c r="F730" s="1"/>
      <c r="G730" s="1"/>
      <c r="H730" s="1"/>
      <c r="I730" s="1"/>
      <c r="J730" s="1"/>
      <c r="K730" s="1"/>
      <c r="L730" s="1"/>
      <c r="M730" s="1"/>
      <c r="N730" s="1"/>
      <c r="O730" s="1"/>
      <c r="P730" s="1"/>
      <c r="Q730" s="1"/>
    </row>
    <row r="731" spans="1:17" x14ac:dyDescent="0.2">
      <c r="A731" s="1"/>
      <c r="B731" s="1"/>
      <c r="C731" s="1"/>
      <c r="D731" s="1"/>
      <c r="E731" s="1"/>
      <c r="F731" s="1"/>
      <c r="G731" s="1"/>
      <c r="H731" s="1"/>
      <c r="I731" s="1"/>
      <c r="J731" s="1"/>
      <c r="K731" s="1"/>
      <c r="L731" s="1"/>
      <c r="M731" s="1"/>
      <c r="N731" s="1"/>
      <c r="O731" s="1"/>
      <c r="P731" s="1"/>
      <c r="Q731" s="1"/>
    </row>
    <row r="732" spans="1:17" x14ac:dyDescent="0.2">
      <c r="A732" s="1"/>
      <c r="B732" s="1"/>
      <c r="C732" s="1"/>
      <c r="D732" s="1"/>
      <c r="E732" s="1"/>
      <c r="F732" s="1"/>
      <c r="G732" s="1"/>
      <c r="H732" s="1"/>
      <c r="I732" s="1"/>
      <c r="J732" s="1"/>
      <c r="K732" s="1"/>
      <c r="L732" s="1"/>
      <c r="M732" s="1"/>
      <c r="N732" s="1"/>
      <c r="O732" s="1"/>
      <c r="P732" s="1"/>
      <c r="Q732" s="1"/>
    </row>
    <row r="733" spans="1:17" x14ac:dyDescent="0.2">
      <c r="A733" s="1"/>
      <c r="B733" s="1"/>
      <c r="C733" s="1"/>
      <c r="D733" s="1"/>
      <c r="E733" s="1"/>
      <c r="F733" s="1"/>
      <c r="G733" s="1"/>
      <c r="H733" s="1"/>
      <c r="I733" s="1"/>
      <c r="J733" s="1"/>
      <c r="K733" s="1"/>
      <c r="L733" s="1"/>
      <c r="M733" s="1"/>
      <c r="N733" s="1"/>
      <c r="O733" s="1"/>
      <c r="P733" s="1"/>
      <c r="Q733" s="1"/>
    </row>
    <row r="734" spans="1:17" x14ac:dyDescent="0.2">
      <c r="A734" s="1"/>
      <c r="B734" s="1"/>
      <c r="C734" s="1"/>
      <c r="D734" s="1"/>
      <c r="E734" s="1"/>
      <c r="F734" s="1"/>
      <c r="G734" s="1"/>
      <c r="H734" s="1"/>
      <c r="I734" s="1"/>
      <c r="J734" s="1"/>
      <c r="K734" s="1"/>
      <c r="L734" s="1"/>
      <c r="M734" s="1"/>
      <c r="N734" s="1"/>
      <c r="O734" s="1"/>
      <c r="P734" s="1"/>
      <c r="Q734" s="1"/>
    </row>
    <row r="735" spans="1:17" x14ac:dyDescent="0.2">
      <c r="A735" s="1"/>
      <c r="B735" s="1"/>
      <c r="C735" s="1"/>
      <c r="D735" s="1"/>
      <c r="E735" s="1"/>
      <c r="F735" s="1"/>
      <c r="G735" s="1"/>
      <c r="H735" s="1"/>
      <c r="I735" s="1"/>
      <c r="J735" s="1"/>
      <c r="K735" s="1"/>
      <c r="L735" s="1"/>
      <c r="M735" s="1"/>
      <c r="N735" s="1"/>
      <c r="O735" s="1"/>
      <c r="P735" s="1"/>
      <c r="Q735" s="1"/>
    </row>
    <row r="736" spans="1:17" x14ac:dyDescent="0.2">
      <c r="A736" s="1"/>
      <c r="B736" s="1"/>
      <c r="C736" s="1"/>
      <c r="D736" s="1"/>
      <c r="E736" s="1"/>
      <c r="F736" s="1"/>
      <c r="G736" s="1"/>
      <c r="H736" s="1"/>
      <c r="I736" s="1"/>
      <c r="J736" s="1"/>
      <c r="K736" s="1"/>
      <c r="L736" s="1"/>
      <c r="M736" s="1"/>
      <c r="N736" s="1"/>
      <c r="O736" s="1"/>
      <c r="P736" s="1"/>
      <c r="Q736" s="1"/>
    </row>
    <row r="737" spans="1:17" x14ac:dyDescent="0.2">
      <c r="A737" s="1"/>
      <c r="B737" s="1"/>
      <c r="C737" s="1"/>
      <c r="D737" s="1"/>
      <c r="E737" s="1"/>
      <c r="F737" s="1"/>
      <c r="G737" s="1"/>
      <c r="H737" s="1"/>
      <c r="I737" s="1"/>
      <c r="J737" s="1"/>
      <c r="K737" s="1"/>
      <c r="L737" s="1"/>
      <c r="M737" s="1"/>
      <c r="N737" s="1"/>
      <c r="O737" s="1"/>
      <c r="P737" s="1"/>
      <c r="Q737" s="1"/>
    </row>
    <row r="738" spans="1:17" x14ac:dyDescent="0.2">
      <c r="A738" s="1"/>
      <c r="B738" s="1"/>
      <c r="C738" s="1"/>
      <c r="D738" s="1"/>
      <c r="E738" s="1"/>
      <c r="F738" s="1"/>
      <c r="G738" s="1"/>
      <c r="H738" s="1"/>
      <c r="I738" s="1"/>
      <c r="J738" s="1"/>
      <c r="K738" s="1"/>
      <c r="L738" s="1"/>
      <c r="M738" s="1"/>
      <c r="N738" s="1"/>
      <c r="O738" s="1"/>
      <c r="P738" s="1"/>
      <c r="Q738" s="1"/>
    </row>
    <row r="739" spans="1:17" x14ac:dyDescent="0.2">
      <c r="A739" s="1"/>
      <c r="B739" s="1"/>
      <c r="C739" s="1"/>
      <c r="D739" s="1"/>
      <c r="E739" s="1"/>
      <c r="F739" s="1"/>
      <c r="G739" s="1"/>
      <c r="H739" s="1"/>
      <c r="I739" s="1"/>
      <c r="J739" s="1"/>
      <c r="K739" s="1"/>
      <c r="L739" s="1"/>
      <c r="M739" s="1"/>
      <c r="N739" s="1"/>
      <c r="O739" s="1"/>
      <c r="P739" s="1"/>
      <c r="Q739" s="1"/>
    </row>
    <row r="740" spans="1:17" x14ac:dyDescent="0.2">
      <c r="A740" s="1"/>
      <c r="B740" s="1"/>
      <c r="C740" s="1"/>
      <c r="D740" s="1"/>
      <c r="E740" s="1"/>
      <c r="F740" s="1"/>
      <c r="G740" s="1"/>
      <c r="H740" s="1"/>
      <c r="I740" s="1"/>
      <c r="J740" s="1"/>
      <c r="K740" s="1"/>
      <c r="L740" s="1"/>
      <c r="M740" s="1"/>
      <c r="N740" s="1"/>
      <c r="O740" s="1"/>
      <c r="P740" s="1"/>
      <c r="Q740" s="1"/>
    </row>
    <row r="741" spans="1:17" x14ac:dyDescent="0.2">
      <c r="A741" s="1"/>
      <c r="B741" s="1"/>
      <c r="C741" s="1"/>
      <c r="D741" s="1"/>
      <c r="E741" s="1"/>
      <c r="F741" s="1"/>
      <c r="G741" s="1"/>
      <c r="H741" s="1"/>
      <c r="I741" s="1"/>
      <c r="J741" s="1"/>
      <c r="K741" s="1"/>
      <c r="L741" s="1"/>
      <c r="M741" s="1"/>
      <c r="N741" s="1"/>
      <c r="O741" s="1"/>
      <c r="P741" s="1"/>
      <c r="Q741" s="1"/>
    </row>
    <row r="742" spans="1:17" x14ac:dyDescent="0.2">
      <c r="A742" s="1"/>
      <c r="B742" s="1"/>
      <c r="C742" s="1"/>
      <c r="D742" s="1"/>
      <c r="E742" s="1"/>
      <c r="F742" s="1"/>
      <c r="G742" s="1"/>
      <c r="H742" s="1"/>
      <c r="I742" s="1"/>
      <c r="J742" s="1"/>
      <c r="K742" s="1"/>
      <c r="L742" s="1"/>
      <c r="M742" s="1"/>
      <c r="N742" s="1"/>
      <c r="O742" s="1"/>
      <c r="P742" s="1"/>
      <c r="Q742" s="1"/>
    </row>
    <row r="743" spans="1:17" x14ac:dyDescent="0.2">
      <c r="A743" s="1"/>
      <c r="B743" s="1"/>
      <c r="C743" s="1"/>
      <c r="D743" s="1"/>
      <c r="E743" s="1"/>
      <c r="F743" s="1"/>
      <c r="G743" s="1"/>
      <c r="H743" s="1"/>
      <c r="I743" s="1"/>
      <c r="J743" s="1"/>
      <c r="K743" s="1"/>
      <c r="L743" s="1"/>
      <c r="M743" s="1"/>
      <c r="N743" s="1"/>
      <c r="O743" s="1"/>
      <c r="P743" s="1"/>
      <c r="Q743" s="1"/>
    </row>
    <row r="744" spans="1:17" x14ac:dyDescent="0.2">
      <c r="A744" s="1"/>
      <c r="B744" s="1"/>
      <c r="C744" s="1"/>
      <c r="D744" s="1"/>
      <c r="E744" s="1"/>
      <c r="F744" s="1"/>
      <c r="G744" s="1"/>
      <c r="H744" s="1"/>
      <c r="I744" s="1"/>
      <c r="J744" s="1"/>
      <c r="K744" s="1"/>
      <c r="L744" s="1"/>
      <c r="M744" s="1"/>
      <c r="N744" s="1"/>
      <c r="O744" s="1"/>
      <c r="P744" s="1"/>
      <c r="Q744" s="1"/>
    </row>
    <row r="745" spans="1:17" x14ac:dyDescent="0.2">
      <c r="A745" s="1"/>
      <c r="B745" s="1"/>
      <c r="C745" s="1"/>
      <c r="D745" s="1"/>
      <c r="E745" s="1"/>
      <c r="F745" s="1"/>
      <c r="G745" s="1"/>
      <c r="H745" s="1"/>
      <c r="I745" s="1"/>
      <c r="J745" s="1"/>
      <c r="K745" s="1"/>
      <c r="L745" s="1"/>
      <c r="M745" s="1"/>
      <c r="N745" s="1"/>
      <c r="O745" s="1"/>
      <c r="P745" s="1"/>
      <c r="Q745" s="1"/>
    </row>
    <row r="746" spans="1:17" x14ac:dyDescent="0.2">
      <c r="A746" s="1"/>
      <c r="B746" s="1"/>
      <c r="C746" s="1"/>
      <c r="D746" s="1"/>
      <c r="E746" s="1"/>
      <c r="F746" s="1"/>
      <c r="G746" s="1"/>
      <c r="H746" s="1"/>
      <c r="I746" s="1"/>
      <c r="J746" s="1"/>
      <c r="K746" s="1"/>
      <c r="L746" s="1"/>
      <c r="M746" s="1"/>
      <c r="N746" s="1"/>
      <c r="O746" s="1"/>
      <c r="P746" s="1"/>
      <c r="Q746" s="1"/>
    </row>
    <row r="747" spans="1:17" x14ac:dyDescent="0.2">
      <c r="A747" s="1"/>
      <c r="B747" s="1"/>
      <c r="C747" s="1"/>
      <c r="D747" s="1"/>
      <c r="E747" s="1"/>
      <c r="F747" s="1"/>
      <c r="G747" s="1"/>
      <c r="H747" s="1"/>
      <c r="I747" s="1"/>
      <c r="J747" s="1"/>
      <c r="K747" s="1"/>
      <c r="L747" s="1"/>
      <c r="M747" s="1"/>
      <c r="N747" s="1"/>
      <c r="O747" s="1"/>
      <c r="P747" s="1"/>
      <c r="Q747" s="1"/>
    </row>
    <row r="748" spans="1:17" x14ac:dyDescent="0.2">
      <c r="A748" s="1"/>
      <c r="B748" s="1"/>
      <c r="C748" s="1"/>
      <c r="D748" s="1"/>
      <c r="E748" s="1"/>
      <c r="F748" s="1"/>
      <c r="G748" s="1"/>
      <c r="H748" s="1"/>
      <c r="I748" s="1"/>
      <c r="J748" s="1"/>
      <c r="K748" s="1"/>
      <c r="L748" s="1"/>
      <c r="M748" s="1"/>
      <c r="N748" s="1"/>
      <c r="O748" s="1"/>
      <c r="P748" s="1"/>
      <c r="Q748" s="1"/>
    </row>
    <row r="749" spans="1:17" x14ac:dyDescent="0.2">
      <c r="A749" s="1"/>
      <c r="B749" s="1"/>
      <c r="C749" s="1"/>
      <c r="D749" s="1"/>
      <c r="E749" s="1"/>
      <c r="F749" s="1"/>
      <c r="G749" s="1"/>
      <c r="H749" s="1"/>
      <c r="I749" s="1"/>
      <c r="J749" s="1"/>
      <c r="K749" s="1"/>
      <c r="L749" s="1"/>
      <c r="M749" s="1"/>
      <c r="N749" s="1"/>
      <c r="O749" s="1"/>
      <c r="P749" s="1"/>
      <c r="Q749" s="1"/>
    </row>
    <row r="750" spans="1:17" x14ac:dyDescent="0.2">
      <c r="A750" s="1"/>
      <c r="B750" s="1"/>
      <c r="C750" s="1"/>
      <c r="D750" s="1"/>
      <c r="E750" s="1"/>
      <c r="F750" s="1"/>
      <c r="G750" s="1"/>
      <c r="H750" s="1"/>
      <c r="I750" s="1"/>
      <c r="J750" s="1"/>
      <c r="K750" s="1"/>
      <c r="L750" s="1"/>
      <c r="M750" s="1"/>
      <c r="N750" s="1"/>
      <c r="O750" s="1"/>
      <c r="P750" s="1"/>
      <c r="Q750" s="1"/>
    </row>
    <row r="751" spans="1:17" x14ac:dyDescent="0.2">
      <c r="A751" s="1"/>
      <c r="B751" s="1"/>
      <c r="C751" s="1"/>
      <c r="D751" s="1"/>
      <c r="E751" s="1"/>
      <c r="F751" s="1"/>
      <c r="G751" s="1"/>
      <c r="H751" s="1"/>
      <c r="I751" s="1"/>
      <c r="J751" s="1"/>
      <c r="K751" s="1"/>
      <c r="L751" s="1"/>
      <c r="M751" s="1"/>
      <c r="N751" s="1"/>
      <c r="O751" s="1"/>
      <c r="P751" s="1"/>
      <c r="Q751" s="1"/>
    </row>
    <row r="752" spans="1:17" x14ac:dyDescent="0.2">
      <c r="A752" s="1"/>
      <c r="B752" s="1"/>
      <c r="C752" s="1"/>
      <c r="D752" s="1"/>
      <c r="E752" s="1"/>
      <c r="F752" s="1"/>
      <c r="G752" s="1"/>
      <c r="H752" s="1"/>
      <c r="I752" s="1"/>
      <c r="J752" s="1"/>
      <c r="K752" s="1"/>
      <c r="L752" s="1"/>
      <c r="M752" s="1"/>
      <c r="N752" s="1"/>
      <c r="O752" s="1"/>
      <c r="P752" s="1"/>
      <c r="Q752" s="1"/>
    </row>
    <row r="753" spans="1:17" x14ac:dyDescent="0.2">
      <c r="A753" s="1"/>
      <c r="B753" s="1"/>
      <c r="C753" s="1"/>
      <c r="D753" s="1"/>
      <c r="E753" s="1"/>
      <c r="F753" s="1"/>
      <c r="G753" s="1"/>
      <c r="H753" s="1"/>
      <c r="I753" s="1"/>
      <c r="J753" s="1"/>
      <c r="K753" s="1"/>
      <c r="L753" s="1"/>
      <c r="M753" s="1"/>
      <c r="N753" s="1"/>
      <c r="O753" s="1"/>
      <c r="P753" s="1"/>
      <c r="Q753" s="1"/>
    </row>
    <row r="754" spans="1:17" x14ac:dyDescent="0.2">
      <c r="A754" s="1"/>
      <c r="B754" s="1"/>
      <c r="C754" s="1"/>
      <c r="D754" s="1"/>
      <c r="E754" s="1"/>
      <c r="F754" s="1"/>
      <c r="G754" s="1"/>
      <c r="H754" s="1"/>
      <c r="I754" s="1"/>
      <c r="J754" s="1"/>
      <c r="K754" s="1"/>
      <c r="L754" s="1"/>
      <c r="M754" s="1"/>
      <c r="N754" s="1"/>
      <c r="O754" s="1"/>
      <c r="P754" s="1"/>
      <c r="Q754" s="1"/>
    </row>
    <row r="755" spans="1:17" x14ac:dyDescent="0.2">
      <c r="A755" s="1"/>
      <c r="B755" s="1"/>
      <c r="C755" s="1"/>
      <c r="D755" s="1"/>
      <c r="E755" s="1"/>
      <c r="F755" s="1"/>
      <c r="G755" s="1"/>
      <c r="H755" s="1"/>
      <c r="I755" s="1"/>
      <c r="J755" s="1"/>
      <c r="K755" s="1"/>
      <c r="L755" s="1"/>
      <c r="M755" s="1"/>
      <c r="N755" s="1"/>
      <c r="O755" s="1"/>
      <c r="P755" s="1"/>
      <c r="Q755" s="1"/>
    </row>
    <row r="756" spans="1:17" x14ac:dyDescent="0.2">
      <c r="A756" s="1"/>
      <c r="B756" s="1"/>
      <c r="C756" s="1"/>
      <c r="D756" s="1"/>
      <c r="E756" s="1"/>
      <c r="F756" s="1"/>
      <c r="G756" s="1"/>
      <c r="H756" s="1"/>
      <c r="I756" s="1"/>
      <c r="J756" s="1"/>
      <c r="K756" s="1"/>
      <c r="L756" s="1"/>
      <c r="M756" s="1"/>
      <c r="N756" s="1"/>
      <c r="O756" s="1"/>
      <c r="P756" s="1"/>
      <c r="Q756" s="1"/>
    </row>
    <row r="757" spans="1:17" x14ac:dyDescent="0.2">
      <c r="A757" s="1"/>
      <c r="B757" s="1"/>
      <c r="C757" s="1"/>
      <c r="D757" s="1"/>
      <c r="E757" s="1"/>
      <c r="F757" s="1"/>
      <c r="G757" s="1"/>
      <c r="H757" s="1"/>
      <c r="I757" s="1"/>
      <c r="J757" s="1"/>
      <c r="K757" s="1"/>
      <c r="L757" s="1"/>
      <c r="M757" s="1"/>
      <c r="N757" s="1"/>
      <c r="O757" s="1"/>
      <c r="P757" s="1"/>
      <c r="Q757" s="1"/>
    </row>
    <row r="758" spans="1:17" x14ac:dyDescent="0.2">
      <c r="A758" s="1"/>
      <c r="B758" s="1"/>
      <c r="C758" s="1"/>
      <c r="D758" s="1"/>
      <c r="E758" s="1"/>
      <c r="F758" s="1"/>
      <c r="G758" s="1"/>
      <c r="H758" s="1"/>
      <c r="I758" s="1"/>
      <c r="J758" s="1"/>
      <c r="K758" s="1"/>
      <c r="L758" s="1"/>
      <c r="M758" s="1"/>
      <c r="N758" s="1"/>
      <c r="O758" s="1"/>
      <c r="P758" s="1"/>
      <c r="Q758" s="1"/>
    </row>
    <row r="759" spans="1:17" x14ac:dyDescent="0.2">
      <c r="A759" s="1"/>
      <c r="B759" s="1"/>
      <c r="C759" s="1"/>
      <c r="D759" s="1"/>
      <c r="E759" s="1"/>
      <c r="F759" s="1"/>
      <c r="G759" s="1"/>
      <c r="H759" s="1"/>
      <c r="I759" s="1"/>
      <c r="J759" s="1"/>
      <c r="K759" s="1"/>
      <c r="L759" s="1"/>
      <c r="M759" s="1"/>
      <c r="N759" s="1"/>
      <c r="O759" s="1"/>
      <c r="P759" s="1"/>
      <c r="Q759" s="1"/>
    </row>
    <row r="760" spans="1:17" x14ac:dyDescent="0.2">
      <c r="A760" s="1"/>
      <c r="B760" s="1"/>
      <c r="C760" s="1"/>
      <c r="D760" s="1"/>
      <c r="E760" s="1"/>
      <c r="F760" s="1"/>
      <c r="G760" s="1"/>
      <c r="H760" s="1"/>
      <c r="I760" s="1"/>
      <c r="J760" s="1"/>
      <c r="K760" s="1"/>
      <c r="L760" s="1"/>
      <c r="M760" s="1"/>
      <c r="N760" s="1"/>
      <c r="O760" s="1"/>
      <c r="P760" s="1"/>
      <c r="Q760" s="1"/>
    </row>
    <row r="761" spans="1:17" x14ac:dyDescent="0.2">
      <c r="A761" s="1"/>
      <c r="B761" s="1"/>
      <c r="C761" s="1"/>
      <c r="D761" s="1"/>
      <c r="E761" s="1"/>
      <c r="F761" s="1"/>
      <c r="G761" s="1"/>
      <c r="H761" s="1"/>
      <c r="I761" s="1"/>
      <c r="J761" s="1"/>
      <c r="K761" s="1"/>
      <c r="L761" s="1"/>
      <c r="M761" s="1"/>
      <c r="N761" s="1"/>
      <c r="O761" s="1"/>
      <c r="P761" s="1"/>
      <c r="Q761" s="1"/>
    </row>
    <row r="762" spans="1:17" x14ac:dyDescent="0.2">
      <c r="A762" s="1"/>
      <c r="B762" s="1"/>
      <c r="C762" s="1"/>
      <c r="D762" s="1"/>
      <c r="E762" s="1"/>
      <c r="F762" s="1"/>
      <c r="G762" s="1"/>
      <c r="H762" s="1"/>
      <c r="I762" s="1"/>
      <c r="J762" s="1"/>
      <c r="K762" s="1"/>
      <c r="L762" s="1"/>
      <c r="M762" s="1"/>
      <c r="N762" s="1"/>
      <c r="O762" s="1"/>
      <c r="P762" s="1"/>
      <c r="Q762" s="1"/>
    </row>
    <row r="763" spans="1:17" x14ac:dyDescent="0.2">
      <c r="A763" s="1"/>
      <c r="B763" s="1"/>
      <c r="C763" s="1"/>
      <c r="D763" s="1"/>
      <c r="E763" s="1"/>
      <c r="F763" s="1"/>
      <c r="G763" s="1"/>
      <c r="H763" s="1"/>
      <c r="I763" s="1"/>
      <c r="J763" s="1"/>
      <c r="K763" s="1"/>
      <c r="L763" s="1"/>
      <c r="M763" s="1"/>
      <c r="N763" s="1"/>
      <c r="O763" s="1"/>
      <c r="P763" s="1"/>
      <c r="Q763" s="1"/>
    </row>
    <row r="764" spans="1:17" x14ac:dyDescent="0.2">
      <c r="A764" s="1"/>
      <c r="B764" s="1"/>
      <c r="C764" s="1"/>
      <c r="D764" s="1"/>
      <c r="E764" s="1"/>
      <c r="F764" s="1"/>
      <c r="G764" s="1"/>
      <c r="H764" s="1"/>
      <c r="I764" s="1"/>
      <c r="J764" s="1"/>
      <c r="K764" s="1"/>
      <c r="L764" s="1"/>
      <c r="M764" s="1"/>
      <c r="N764" s="1"/>
      <c r="O764" s="1"/>
      <c r="P764" s="1"/>
      <c r="Q764" s="1"/>
    </row>
    <row r="765" spans="1:17" x14ac:dyDescent="0.2">
      <c r="A765" s="1"/>
      <c r="B765" s="1"/>
      <c r="C765" s="1"/>
      <c r="D765" s="1"/>
      <c r="E765" s="1"/>
      <c r="F765" s="1"/>
      <c r="G765" s="1"/>
      <c r="H765" s="1"/>
      <c r="I765" s="1"/>
      <c r="J765" s="1"/>
      <c r="K765" s="1"/>
      <c r="L765" s="1"/>
      <c r="M765" s="1"/>
      <c r="N765" s="1"/>
      <c r="O765" s="1"/>
      <c r="P765" s="1"/>
      <c r="Q765" s="1"/>
    </row>
    <row r="766" spans="1:17" x14ac:dyDescent="0.2">
      <c r="A766" s="1"/>
      <c r="B766" s="1"/>
      <c r="C766" s="1"/>
      <c r="D766" s="1"/>
      <c r="E766" s="1"/>
      <c r="F766" s="1"/>
      <c r="G766" s="1"/>
      <c r="H766" s="1"/>
      <c r="I766" s="1"/>
      <c r="J766" s="1"/>
      <c r="K766" s="1"/>
      <c r="L766" s="1"/>
      <c r="M766" s="1"/>
      <c r="N766" s="1"/>
      <c r="O766" s="1"/>
      <c r="P766" s="1"/>
      <c r="Q766" s="1"/>
    </row>
    <row r="767" spans="1:17" x14ac:dyDescent="0.2">
      <c r="A767" s="1"/>
      <c r="B767" s="1"/>
      <c r="C767" s="1"/>
      <c r="D767" s="1"/>
      <c r="E767" s="1"/>
      <c r="F767" s="1"/>
      <c r="G767" s="1"/>
      <c r="H767" s="1"/>
      <c r="I767" s="1"/>
      <c r="J767" s="1"/>
      <c r="K767" s="1"/>
      <c r="L767" s="1"/>
      <c r="M767" s="1"/>
      <c r="N767" s="1"/>
      <c r="O767" s="1"/>
      <c r="P767" s="1"/>
      <c r="Q767" s="1"/>
    </row>
    <row r="768" spans="1:17" x14ac:dyDescent="0.2">
      <c r="A768" s="1"/>
      <c r="B768" s="1"/>
      <c r="C768" s="1"/>
      <c r="D768" s="1"/>
      <c r="E768" s="1"/>
      <c r="F768" s="1"/>
      <c r="G768" s="1"/>
      <c r="H768" s="1"/>
      <c r="I768" s="1"/>
      <c r="J768" s="1"/>
      <c r="K768" s="1"/>
      <c r="L768" s="1"/>
      <c r="M768" s="1"/>
      <c r="N768" s="1"/>
      <c r="O768" s="1"/>
      <c r="P768" s="1"/>
      <c r="Q768" s="1"/>
    </row>
    <row r="769" spans="1:17" x14ac:dyDescent="0.2">
      <c r="A769" s="1"/>
      <c r="B769" s="1"/>
      <c r="C769" s="1"/>
      <c r="D769" s="1"/>
      <c r="E769" s="1"/>
      <c r="F769" s="1"/>
      <c r="G769" s="1"/>
      <c r="H769" s="1"/>
      <c r="I769" s="1"/>
      <c r="J769" s="1"/>
      <c r="K769" s="1"/>
      <c r="L769" s="1"/>
      <c r="M769" s="1"/>
      <c r="N769" s="1"/>
      <c r="O769" s="1"/>
      <c r="P769" s="1"/>
      <c r="Q769" s="1"/>
    </row>
    <row r="770" spans="1:17" x14ac:dyDescent="0.2">
      <c r="A770" s="1"/>
      <c r="B770" s="1"/>
      <c r="C770" s="1"/>
      <c r="D770" s="1"/>
      <c r="E770" s="1"/>
      <c r="F770" s="1"/>
      <c r="G770" s="1"/>
      <c r="H770" s="1"/>
      <c r="I770" s="1"/>
      <c r="J770" s="1"/>
      <c r="K770" s="1"/>
      <c r="L770" s="1"/>
      <c r="M770" s="1"/>
      <c r="N770" s="1"/>
      <c r="O770" s="1"/>
      <c r="P770" s="1"/>
      <c r="Q770" s="1"/>
    </row>
    <row r="771" spans="1:17" x14ac:dyDescent="0.2">
      <c r="A771" s="1"/>
      <c r="B771" s="1"/>
      <c r="C771" s="1"/>
      <c r="D771" s="1"/>
      <c r="E771" s="1"/>
      <c r="F771" s="1"/>
      <c r="G771" s="1"/>
      <c r="H771" s="1"/>
      <c r="I771" s="1"/>
      <c r="J771" s="1"/>
      <c r="K771" s="1"/>
      <c r="L771" s="1"/>
      <c r="M771" s="1"/>
      <c r="N771" s="1"/>
      <c r="O771" s="1"/>
      <c r="P771" s="1"/>
      <c r="Q771" s="1"/>
    </row>
    <row r="772" spans="1:17" x14ac:dyDescent="0.2">
      <c r="A772" s="1"/>
      <c r="B772" s="1"/>
      <c r="C772" s="1"/>
      <c r="D772" s="1"/>
      <c r="E772" s="1"/>
      <c r="F772" s="1"/>
      <c r="G772" s="1"/>
      <c r="H772" s="1"/>
      <c r="I772" s="1"/>
      <c r="J772" s="1"/>
      <c r="K772" s="1"/>
      <c r="L772" s="1"/>
      <c r="M772" s="1"/>
      <c r="N772" s="1"/>
      <c r="O772" s="1"/>
      <c r="P772" s="1"/>
      <c r="Q772" s="1"/>
    </row>
    <row r="773" spans="1:17" x14ac:dyDescent="0.2">
      <c r="A773" s="1"/>
      <c r="B773" s="1"/>
      <c r="C773" s="1"/>
      <c r="D773" s="1"/>
      <c r="E773" s="1"/>
      <c r="F773" s="1"/>
      <c r="G773" s="1"/>
      <c r="H773" s="1"/>
      <c r="I773" s="1"/>
      <c r="J773" s="1"/>
      <c r="K773" s="1"/>
      <c r="L773" s="1"/>
      <c r="M773" s="1"/>
      <c r="N773" s="1"/>
      <c r="O773" s="1"/>
      <c r="P773" s="1"/>
      <c r="Q773" s="1"/>
    </row>
    <row r="774" spans="1:17" x14ac:dyDescent="0.2">
      <c r="A774" s="1"/>
      <c r="B774" s="1"/>
      <c r="C774" s="1"/>
      <c r="D774" s="1"/>
      <c r="E774" s="1"/>
      <c r="F774" s="1"/>
      <c r="G774" s="1"/>
      <c r="H774" s="1"/>
      <c r="I774" s="1"/>
      <c r="J774" s="1"/>
      <c r="K774" s="1"/>
      <c r="L774" s="1"/>
      <c r="M774" s="1"/>
      <c r="N774" s="1"/>
      <c r="O774" s="1"/>
      <c r="P774" s="1"/>
      <c r="Q774" s="1"/>
    </row>
    <row r="775" spans="1:17" x14ac:dyDescent="0.2">
      <c r="A775" s="1"/>
      <c r="B775" s="1"/>
      <c r="C775" s="1"/>
      <c r="D775" s="1"/>
      <c r="E775" s="1"/>
      <c r="F775" s="1"/>
      <c r="G775" s="1"/>
      <c r="H775" s="1"/>
      <c r="I775" s="1"/>
      <c r="J775" s="1"/>
      <c r="K775" s="1"/>
      <c r="L775" s="1"/>
      <c r="M775" s="1"/>
      <c r="N775" s="1"/>
      <c r="O775" s="1"/>
      <c r="P775" s="1"/>
      <c r="Q775" s="1"/>
    </row>
    <row r="776" spans="1:17" x14ac:dyDescent="0.2">
      <c r="A776" s="1"/>
      <c r="B776" s="1"/>
      <c r="C776" s="1"/>
      <c r="D776" s="1"/>
      <c r="E776" s="1"/>
      <c r="F776" s="1"/>
      <c r="G776" s="1"/>
      <c r="H776" s="1"/>
      <c r="I776" s="1"/>
      <c r="J776" s="1"/>
      <c r="K776" s="1"/>
      <c r="L776" s="1"/>
      <c r="M776" s="1"/>
      <c r="N776" s="1"/>
      <c r="O776" s="1"/>
      <c r="P776" s="1"/>
      <c r="Q776" s="1"/>
    </row>
    <row r="777" spans="1:17" x14ac:dyDescent="0.2">
      <c r="A777" s="1"/>
      <c r="B777" s="1"/>
      <c r="C777" s="1"/>
      <c r="D777" s="1"/>
      <c r="E777" s="1"/>
      <c r="F777" s="1"/>
      <c r="G777" s="1"/>
      <c r="H777" s="1"/>
      <c r="I777" s="1"/>
      <c r="J777" s="1"/>
      <c r="K777" s="1"/>
      <c r="L777" s="1"/>
      <c r="M777" s="1"/>
      <c r="N777" s="1"/>
      <c r="O777" s="1"/>
      <c r="P777" s="1"/>
      <c r="Q777" s="1"/>
    </row>
    <row r="778" spans="1:17" x14ac:dyDescent="0.2">
      <c r="A778" s="1"/>
      <c r="B778" s="1"/>
      <c r="C778" s="1"/>
      <c r="D778" s="1"/>
      <c r="E778" s="1"/>
      <c r="F778" s="1"/>
      <c r="G778" s="1"/>
      <c r="H778" s="1"/>
      <c r="I778" s="1"/>
      <c r="J778" s="1"/>
      <c r="K778" s="1"/>
      <c r="L778" s="1"/>
      <c r="M778" s="1"/>
      <c r="N778" s="1"/>
      <c r="O778" s="1"/>
      <c r="P778" s="1"/>
      <c r="Q778" s="1"/>
    </row>
    <row r="779" spans="1:17" x14ac:dyDescent="0.2">
      <c r="A779" s="1"/>
      <c r="B779" s="1"/>
      <c r="C779" s="1"/>
      <c r="D779" s="1"/>
      <c r="E779" s="1"/>
      <c r="F779" s="1"/>
      <c r="G779" s="1"/>
      <c r="H779" s="1"/>
      <c r="I779" s="1"/>
      <c r="J779" s="1"/>
      <c r="K779" s="1"/>
      <c r="L779" s="1"/>
      <c r="M779" s="1"/>
      <c r="N779" s="1"/>
      <c r="O779" s="1"/>
      <c r="P779" s="1"/>
      <c r="Q779" s="1"/>
    </row>
    <row r="780" spans="1:17" x14ac:dyDescent="0.2">
      <c r="A780" s="1"/>
      <c r="B780" s="1"/>
      <c r="C780" s="1"/>
      <c r="D780" s="1"/>
      <c r="E780" s="1"/>
      <c r="F780" s="1"/>
      <c r="G780" s="1"/>
      <c r="H780" s="1"/>
      <c r="I780" s="1"/>
      <c r="J780" s="1"/>
      <c r="K780" s="1"/>
      <c r="L780" s="1"/>
      <c r="M780" s="1"/>
      <c r="N780" s="1"/>
      <c r="O780" s="1"/>
      <c r="P780" s="1"/>
      <c r="Q780" s="1"/>
    </row>
    <row r="781" spans="1:17" x14ac:dyDescent="0.2">
      <c r="A781" s="1"/>
      <c r="B781" s="1"/>
      <c r="C781" s="1"/>
      <c r="D781" s="1"/>
      <c r="E781" s="1"/>
      <c r="F781" s="1"/>
      <c r="G781" s="1"/>
      <c r="H781" s="1"/>
      <c r="I781" s="1"/>
      <c r="J781" s="1"/>
      <c r="K781" s="1"/>
      <c r="L781" s="1"/>
      <c r="M781" s="1"/>
      <c r="N781" s="1"/>
      <c r="O781" s="1"/>
      <c r="P781" s="1"/>
      <c r="Q781" s="1"/>
    </row>
    <row r="782" spans="1:17" x14ac:dyDescent="0.2">
      <c r="A782" s="1"/>
      <c r="B782" s="1"/>
      <c r="C782" s="1"/>
      <c r="D782" s="1"/>
      <c r="E782" s="1"/>
      <c r="F782" s="1"/>
      <c r="G782" s="1"/>
      <c r="H782" s="1"/>
      <c r="I782" s="1"/>
      <c r="J782" s="1"/>
      <c r="K782" s="1"/>
      <c r="L782" s="1"/>
      <c r="M782" s="1"/>
      <c r="N782" s="1"/>
      <c r="O782" s="1"/>
      <c r="P782" s="1"/>
      <c r="Q782" s="1"/>
    </row>
    <row r="783" spans="1:17" x14ac:dyDescent="0.2">
      <c r="A783" s="1"/>
      <c r="B783" s="1"/>
      <c r="C783" s="1"/>
      <c r="D783" s="1"/>
      <c r="E783" s="1"/>
      <c r="F783" s="1"/>
      <c r="G783" s="1"/>
      <c r="H783" s="1"/>
      <c r="I783" s="1"/>
      <c r="J783" s="1"/>
      <c r="K783" s="1"/>
      <c r="L783" s="1"/>
      <c r="M783" s="1"/>
      <c r="N783" s="1"/>
      <c r="O783" s="1"/>
      <c r="P783" s="1"/>
      <c r="Q783" s="1"/>
    </row>
    <row r="784" spans="1:17" x14ac:dyDescent="0.2">
      <c r="A784" s="1"/>
      <c r="B784" s="1"/>
      <c r="C784" s="1"/>
      <c r="D784" s="1"/>
      <c r="E784" s="1"/>
      <c r="F784" s="1"/>
      <c r="G784" s="1"/>
      <c r="H784" s="1"/>
      <c r="I784" s="1"/>
      <c r="J784" s="1"/>
      <c r="K784" s="1"/>
      <c r="L784" s="1"/>
      <c r="M784" s="1"/>
      <c r="N784" s="1"/>
      <c r="O784" s="1"/>
      <c r="P784" s="1"/>
      <c r="Q784" s="1"/>
    </row>
    <row r="785" spans="1:17" x14ac:dyDescent="0.2">
      <c r="A785" s="1"/>
      <c r="B785" s="1"/>
      <c r="C785" s="1"/>
      <c r="D785" s="1"/>
      <c r="E785" s="1"/>
      <c r="F785" s="1"/>
      <c r="G785" s="1"/>
      <c r="H785" s="1"/>
      <c r="I785" s="1"/>
      <c r="J785" s="1"/>
      <c r="K785" s="1"/>
      <c r="L785" s="1"/>
      <c r="M785" s="1"/>
      <c r="N785" s="1"/>
      <c r="O785" s="1"/>
      <c r="P785" s="1"/>
      <c r="Q785" s="1"/>
    </row>
    <row r="786" spans="1:17" x14ac:dyDescent="0.2">
      <c r="A786" s="1"/>
      <c r="B786" s="1"/>
      <c r="C786" s="1"/>
      <c r="D786" s="1"/>
      <c r="E786" s="1"/>
      <c r="F786" s="1"/>
      <c r="G786" s="1"/>
      <c r="H786" s="1"/>
      <c r="I786" s="1"/>
      <c r="J786" s="1"/>
      <c r="K786" s="1"/>
      <c r="L786" s="1"/>
      <c r="M786" s="1"/>
      <c r="N786" s="1"/>
      <c r="O786" s="1"/>
      <c r="P786" s="1"/>
      <c r="Q786" s="1"/>
    </row>
    <row r="787" spans="1:17" x14ac:dyDescent="0.2">
      <c r="A787" s="1"/>
      <c r="B787" s="1"/>
      <c r="C787" s="1"/>
      <c r="D787" s="1"/>
      <c r="E787" s="1"/>
      <c r="F787" s="1"/>
      <c r="G787" s="1"/>
      <c r="H787" s="1"/>
      <c r="I787" s="1"/>
      <c r="J787" s="1"/>
      <c r="K787" s="1"/>
      <c r="L787" s="1"/>
      <c r="M787" s="1"/>
      <c r="N787" s="1"/>
      <c r="O787" s="1"/>
      <c r="P787" s="1"/>
      <c r="Q787" s="1"/>
    </row>
    <row r="788" spans="1:17" x14ac:dyDescent="0.2">
      <c r="A788" s="1"/>
      <c r="B788" s="1"/>
      <c r="C788" s="1"/>
      <c r="D788" s="1"/>
      <c r="E788" s="1"/>
      <c r="F788" s="1"/>
      <c r="G788" s="1"/>
      <c r="H788" s="1"/>
      <c r="I788" s="1"/>
      <c r="J788" s="1"/>
      <c r="K788" s="1"/>
      <c r="L788" s="1"/>
      <c r="M788" s="1"/>
      <c r="N788" s="1"/>
      <c r="O788" s="1"/>
      <c r="P788" s="1"/>
      <c r="Q788" s="1"/>
    </row>
    <row r="789" spans="1:17" x14ac:dyDescent="0.2">
      <c r="A789" s="1"/>
      <c r="B789" s="1"/>
      <c r="C789" s="1"/>
      <c r="D789" s="1"/>
      <c r="E789" s="1"/>
      <c r="F789" s="1"/>
      <c r="G789" s="1"/>
      <c r="H789" s="1"/>
      <c r="I789" s="1"/>
      <c r="J789" s="1"/>
      <c r="K789" s="1"/>
      <c r="L789" s="1"/>
      <c r="M789" s="1"/>
      <c r="N789" s="1"/>
      <c r="O789" s="1"/>
      <c r="P789" s="1"/>
      <c r="Q789" s="1"/>
    </row>
    <row r="790" spans="1:17" x14ac:dyDescent="0.2">
      <c r="A790" s="1"/>
      <c r="B790" s="1"/>
      <c r="C790" s="1"/>
      <c r="D790" s="1"/>
      <c r="E790" s="1"/>
      <c r="F790" s="1"/>
      <c r="G790" s="1"/>
      <c r="H790" s="1"/>
      <c r="I790" s="1"/>
      <c r="J790" s="1"/>
      <c r="K790" s="1"/>
      <c r="L790" s="1"/>
      <c r="M790" s="1"/>
      <c r="N790" s="1"/>
      <c r="O790" s="1"/>
      <c r="P790" s="1"/>
      <c r="Q790" s="1"/>
    </row>
    <row r="791" spans="1:17" x14ac:dyDescent="0.2">
      <c r="A791" s="1"/>
      <c r="B791" s="1"/>
      <c r="C791" s="1"/>
      <c r="D791" s="1"/>
      <c r="E791" s="1"/>
      <c r="F791" s="1"/>
      <c r="G791" s="1"/>
      <c r="H791" s="1"/>
      <c r="I791" s="1"/>
      <c r="J791" s="1"/>
      <c r="K791" s="1"/>
      <c r="L791" s="1"/>
      <c r="M791" s="1"/>
      <c r="N791" s="1"/>
      <c r="O791" s="1"/>
      <c r="P791" s="1"/>
      <c r="Q791" s="1"/>
    </row>
    <row r="792" spans="1:17" x14ac:dyDescent="0.2">
      <c r="A792" s="1"/>
      <c r="B792" s="1"/>
      <c r="C792" s="1"/>
      <c r="D792" s="1"/>
      <c r="E792" s="1"/>
      <c r="F792" s="1"/>
      <c r="G792" s="1"/>
      <c r="H792" s="1"/>
      <c r="I792" s="1"/>
      <c r="J792" s="1"/>
      <c r="K792" s="1"/>
      <c r="L792" s="1"/>
      <c r="M792" s="1"/>
      <c r="N792" s="1"/>
      <c r="O792" s="1"/>
      <c r="P792" s="1"/>
      <c r="Q792" s="1"/>
    </row>
    <row r="793" spans="1:17" x14ac:dyDescent="0.2">
      <c r="A793" s="1"/>
      <c r="B793" s="1"/>
      <c r="C793" s="1"/>
      <c r="D793" s="1"/>
      <c r="E793" s="1"/>
      <c r="F793" s="1"/>
      <c r="G793" s="1"/>
      <c r="H793" s="1"/>
      <c r="I793" s="1"/>
      <c r="J793" s="1"/>
      <c r="K793" s="1"/>
      <c r="L793" s="1"/>
      <c r="M793" s="1"/>
      <c r="N793" s="1"/>
      <c r="O793" s="1"/>
      <c r="P793" s="1"/>
      <c r="Q793" s="1"/>
    </row>
    <row r="794" spans="1:17" x14ac:dyDescent="0.2">
      <c r="A794" s="1"/>
      <c r="B794" s="1"/>
      <c r="C794" s="1"/>
      <c r="D794" s="1"/>
      <c r="E794" s="1"/>
      <c r="F794" s="1"/>
      <c r="G794" s="1"/>
      <c r="H794" s="1"/>
      <c r="I794" s="1"/>
      <c r="J794" s="1"/>
      <c r="K794" s="1"/>
      <c r="L794" s="1"/>
      <c r="M794" s="1"/>
      <c r="N794" s="1"/>
      <c r="O794" s="1"/>
      <c r="P794" s="1"/>
      <c r="Q794" s="1"/>
    </row>
    <row r="795" spans="1:17" x14ac:dyDescent="0.2">
      <c r="A795" s="1"/>
      <c r="B795" s="1"/>
      <c r="C795" s="1"/>
      <c r="D795" s="1"/>
      <c r="E795" s="1"/>
      <c r="F795" s="1"/>
      <c r="G795" s="1"/>
      <c r="H795" s="1"/>
      <c r="I795" s="1"/>
      <c r="J795" s="1"/>
      <c r="K795" s="1"/>
      <c r="L795" s="1"/>
      <c r="M795" s="1"/>
      <c r="N795" s="1"/>
      <c r="O795" s="1"/>
      <c r="P795" s="1"/>
      <c r="Q795" s="1"/>
    </row>
    <row r="796" spans="1:17" x14ac:dyDescent="0.2">
      <c r="A796" s="1"/>
      <c r="B796" s="1"/>
      <c r="C796" s="1"/>
      <c r="D796" s="1"/>
      <c r="E796" s="1"/>
      <c r="F796" s="1"/>
      <c r="G796" s="1"/>
      <c r="H796" s="1"/>
      <c r="I796" s="1"/>
      <c r="J796" s="1"/>
      <c r="K796" s="1"/>
      <c r="L796" s="1"/>
      <c r="M796" s="1"/>
      <c r="N796" s="1"/>
      <c r="O796" s="1"/>
      <c r="P796" s="1"/>
      <c r="Q796" s="1"/>
    </row>
    <row r="797" spans="1:17" x14ac:dyDescent="0.2">
      <c r="A797" s="1"/>
      <c r="B797" s="1"/>
      <c r="C797" s="1"/>
      <c r="D797" s="1"/>
      <c r="E797" s="1"/>
      <c r="F797" s="1"/>
      <c r="G797" s="1"/>
      <c r="H797" s="1"/>
      <c r="I797" s="1"/>
      <c r="J797" s="1"/>
      <c r="K797" s="1"/>
      <c r="L797" s="1"/>
      <c r="M797" s="1"/>
      <c r="N797" s="1"/>
      <c r="O797" s="1"/>
      <c r="P797" s="1"/>
      <c r="Q797" s="1"/>
    </row>
    <row r="798" spans="1:17" x14ac:dyDescent="0.2">
      <c r="A798" s="1"/>
      <c r="B798" s="1"/>
      <c r="C798" s="1"/>
      <c r="D798" s="1"/>
      <c r="E798" s="1"/>
      <c r="F798" s="1"/>
      <c r="G798" s="1"/>
      <c r="H798" s="1"/>
      <c r="I798" s="1"/>
      <c r="J798" s="1"/>
      <c r="K798" s="1"/>
      <c r="L798" s="1"/>
      <c r="M798" s="1"/>
      <c r="N798" s="1"/>
      <c r="O798" s="1"/>
      <c r="P798" s="1"/>
      <c r="Q798" s="1"/>
    </row>
    <row r="799" spans="1:17" x14ac:dyDescent="0.2">
      <c r="A799" s="1"/>
      <c r="B799" s="1"/>
      <c r="C799" s="1"/>
      <c r="D799" s="1"/>
      <c r="E799" s="1"/>
      <c r="F799" s="1"/>
      <c r="G799" s="1"/>
      <c r="H799" s="1"/>
      <c r="I799" s="1"/>
      <c r="J799" s="1"/>
      <c r="K799" s="1"/>
      <c r="L799" s="1"/>
      <c r="M799" s="1"/>
      <c r="N799" s="1"/>
      <c r="O799" s="1"/>
      <c r="P799" s="1"/>
      <c r="Q799" s="1"/>
    </row>
    <row r="800" spans="1:17" x14ac:dyDescent="0.2">
      <c r="A800" s="1"/>
      <c r="B800" s="1"/>
      <c r="C800" s="1"/>
      <c r="D800" s="1"/>
      <c r="E800" s="1"/>
      <c r="F800" s="1"/>
      <c r="G800" s="1"/>
      <c r="H800" s="1"/>
      <c r="I800" s="1"/>
      <c r="J800" s="1"/>
      <c r="K800" s="1"/>
      <c r="L800" s="1"/>
      <c r="M800" s="1"/>
      <c r="N800" s="1"/>
      <c r="O800" s="1"/>
      <c r="P800" s="1"/>
      <c r="Q800" s="1"/>
    </row>
    <row r="801" spans="1:17" x14ac:dyDescent="0.2">
      <c r="A801" s="1"/>
      <c r="B801" s="1"/>
      <c r="C801" s="1"/>
      <c r="D801" s="1"/>
      <c r="E801" s="1"/>
      <c r="F801" s="1"/>
      <c r="G801" s="1"/>
      <c r="H801" s="1"/>
      <c r="I801" s="1"/>
      <c r="J801" s="1"/>
      <c r="K801" s="1"/>
      <c r="L801" s="1"/>
      <c r="M801" s="1"/>
      <c r="N801" s="1"/>
      <c r="O801" s="1"/>
      <c r="P801" s="1"/>
      <c r="Q801" s="1"/>
    </row>
    <row r="802" spans="1:17" x14ac:dyDescent="0.2">
      <c r="A802" s="1"/>
      <c r="B802" s="1"/>
      <c r="C802" s="1"/>
      <c r="D802" s="1"/>
      <c r="E802" s="1"/>
      <c r="F802" s="1"/>
      <c r="G802" s="1"/>
      <c r="H802" s="1"/>
      <c r="I802" s="1"/>
      <c r="J802" s="1"/>
      <c r="K802" s="1"/>
      <c r="L802" s="1"/>
      <c r="M802" s="1"/>
      <c r="N802" s="1"/>
      <c r="O802" s="1"/>
      <c r="P802" s="1"/>
      <c r="Q802" s="1"/>
    </row>
    <row r="803" spans="1:17" x14ac:dyDescent="0.2">
      <c r="A803" s="1"/>
      <c r="B803" s="1"/>
      <c r="C803" s="1"/>
      <c r="D803" s="1"/>
      <c r="E803" s="1"/>
      <c r="F803" s="1"/>
      <c r="G803" s="1"/>
      <c r="H803" s="1"/>
      <c r="I803" s="1"/>
      <c r="J803" s="1"/>
      <c r="K803" s="1"/>
      <c r="L803" s="1"/>
      <c r="M803" s="1"/>
      <c r="N803" s="1"/>
      <c r="O803" s="1"/>
      <c r="P803" s="1"/>
      <c r="Q803" s="1"/>
    </row>
    <row r="804" spans="1:17" x14ac:dyDescent="0.2">
      <c r="A804" s="1"/>
      <c r="B804" s="1"/>
      <c r="C804" s="1"/>
      <c r="D804" s="1"/>
      <c r="E804" s="1"/>
      <c r="F804" s="1"/>
      <c r="G804" s="1"/>
      <c r="H804" s="1"/>
      <c r="I804" s="1"/>
      <c r="J804" s="1"/>
      <c r="K804" s="1"/>
      <c r="L804" s="1"/>
      <c r="M804" s="1"/>
      <c r="N804" s="1"/>
      <c r="O804" s="1"/>
      <c r="P804" s="1"/>
      <c r="Q804" s="1"/>
    </row>
    <row r="805" spans="1:17" x14ac:dyDescent="0.2">
      <c r="A805" s="1"/>
      <c r="B805" s="1"/>
      <c r="C805" s="1"/>
      <c r="D805" s="1"/>
      <c r="E805" s="1"/>
      <c r="F805" s="1"/>
      <c r="G805" s="1"/>
      <c r="H805" s="1"/>
      <c r="I805" s="1"/>
      <c r="J805" s="1"/>
      <c r="K805" s="1"/>
      <c r="L805" s="1"/>
      <c r="M805" s="1"/>
      <c r="N805" s="1"/>
      <c r="O805" s="1"/>
      <c r="P805" s="1"/>
      <c r="Q805" s="1"/>
    </row>
    <row r="806" spans="1:17" x14ac:dyDescent="0.2">
      <c r="A806" s="1"/>
      <c r="B806" s="1"/>
      <c r="C806" s="1"/>
      <c r="D806" s="1"/>
      <c r="E806" s="1"/>
      <c r="F806" s="1"/>
      <c r="G806" s="1"/>
      <c r="H806" s="1"/>
      <c r="I806" s="1"/>
      <c r="J806" s="1"/>
      <c r="K806" s="1"/>
      <c r="L806" s="1"/>
      <c r="M806" s="1"/>
      <c r="N806" s="1"/>
      <c r="O806" s="1"/>
      <c r="P806" s="1"/>
      <c r="Q806" s="1"/>
    </row>
    <row r="807" spans="1:17" x14ac:dyDescent="0.2">
      <c r="A807" s="1"/>
      <c r="B807" s="1"/>
      <c r="C807" s="1"/>
      <c r="D807" s="1"/>
      <c r="E807" s="1"/>
      <c r="F807" s="1"/>
      <c r="G807" s="1"/>
      <c r="H807" s="1"/>
      <c r="I807" s="1"/>
      <c r="J807" s="1"/>
      <c r="K807" s="1"/>
      <c r="L807" s="1"/>
      <c r="M807" s="1"/>
      <c r="N807" s="1"/>
      <c r="O807" s="1"/>
      <c r="P807" s="1"/>
      <c r="Q807" s="1"/>
    </row>
    <row r="808" spans="1:17" x14ac:dyDescent="0.2">
      <c r="A808" s="1"/>
      <c r="B808" s="1"/>
      <c r="C808" s="1"/>
      <c r="D808" s="1"/>
      <c r="E808" s="1"/>
      <c r="F808" s="1"/>
      <c r="G808" s="1"/>
      <c r="H808" s="1"/>
      <c r="I808" s="1"/>
      <c r="J808" s="1"/>
      <c r="K808" s="1"/>
      <c r="L808" s="1"/>
      <c r="M808" s="1"/>
      <c r="N808" s="1"/>
      <c r="O808" s="1"/>
      <c r="P808" s="1"/>
      <c r="Q808" s="1"/>
    </row>
    <row r="809" spans="1:17" x14ac:dyDescent="0.2">
      <c r="A809" s="1"/>
      <c r="B809" s="1"/>
      <c r="C809" s="1"/>
      <c r="D809" s="1"/>
      <c r="E809" s="1"/>
      <c r="F809" s="1"/>
      <c r="G809" s="1"/>
      <c r="H809" s="1"/>
      <c r="I809" s="1"/>
      <c r="J809" s="1"/>
      <c r="K809" s="1"/>
      <c r="L809" s="1"/>
      <c r="M809" s="1"/>
      <c r="N809" s="1"/>
      <c r="O809" s="1"/>
      <c r="P809" s="1"/>
      <c r="Q809" s="1"/>
    </row>
    <row r="810" spans="1:17" x14ac:dyDescent="0.2">
      <c r="A810" s="1"/>
      <c r="B810" s="1"/>
      <c r="C810" s="1"/>
      <c r="D810" s="1"/>
      <c r="E810" s="1"/>
      <c r="F810" s="1"/>
      <c r="G810" s="1"/>
      <c r="H810" s="1"/>
      <c r="I810" s="1"/>
      <c r="J810" s="1"/>
      <c r="K810" s="1"/>
      <c r="L810" s="1"/>
      <c r="M810" s="1"/>
      <c r="N810" s="1"/>
      <c r="O810" s="1"/>
      <c r="P810" s="1"/>
      <c r="Q810" s="1"/>
    </row>
    <row r="811" spans="1:17" x14ac:dyDescent="0.2">
      <c r="A811" s="1"/>
      <c r="B811" s="1"/>
      <c r="C811" s="1"/>
      <c r="D811" s="1"/>
      <c r="E811" s="1"/>
      <c r="F811" s="1"/>
      <c r="G811" s="1"/>
      <c r="H811" s="1"/>
      <c r="I811" s="1"/>
      <c r="J811" s="1"/>
      <c r="K811" s="1"/>
      <c r="L811" s="1"/>
      <c r="M811" s="1"/>
      <c r="N811" s="1"/>
      <c r="O811" s="1"/>
      <c r="P811" s="1"/>
      <c r="Q811" s="1"/>
    </row>
    <row r="812" spans="1:17" x14ac:dyDescent="0.2">
      <c r="A812" s="1"/>
      <c r="B812" s="1"/>
      <c r="C812" s="1"/>
      <c r="D812" s="1"/>
      <c r="E812" s="1"/>
      <c r="F812" s="1"/>
      <c r="G812" s="1"/>
      <c r="H812" s="1"/>
      <c r="I812" s="1"/>
      <c r="J812" s="1"/>
      <c r="K812" s="1"/>
      <c r="L812" s="1"/>
      <c r="M812" s="1"/>
      <c r="N812" s="1"/>
      <c r="O812" s="1"/>
      <c r="P812" s="1"/>
      <c r="Q812" s="1"/>
    </row>
    <row r="813" spans="1:17" x14ac:dyDescent="0.2">
      <c r="A813" s="1"/>
      <c r="B813" s="1"/>
      <c r="C813" s="1"/>
      <c r="D813" s="1"/>
      <c r="E813" s="1"/>
      <c r="F813" s="1"/>
      <c r="G813" s="1"/>
      <c r="H813" s="1"/>
      <c r="I813" s="1"/>
      <c r="J813" s="1"/>
      <c r="K813" s="1"/>
      <c r="L813" s="1"/>
      <c r="M813" s="1"/>
      <c r="N813" s="1"/>
      <c r="O813" s="1"/>
      <c r="P813" s="1"/>
      <c r="Q813" s="1"/>
    </row>
    <row r="814" spans="1:17" x14ac:dyDescent="0.2">
      <c r="A814" s="1"/>
      <c r="B814" s="1"/>
      <c r="C814" s="1"/>
      <c r="D814" s="1"/>
      <c r="E814" s="1"/>
      <c r="F814" s="1"/>
      <c r="G814" s="1"/>
      <c r="H814" s="1"/>
      <c r="I814" s="1"/>
      <c r="J814" s="1"/>
      <c r="K814" s="1"/>
      <c r="L814" s="1"/>
      <c r="M814" s="1"/>
      <c r="N814" s="1"/>
      <c r="O814" s="1"/>
      <c r="P814" s="1"/>
      <c r="Q814" s="1"/>
    </row>
    <row r="815" spans="1:17" x14ac:dyDescent="0.2">
      <c r="A815" s="1"/>
      <c r="B815" s="1"/>
      <c r="C815" s="1"/>
      <c r="D815" s="1"/>
      <c r="E815" s="1"/>
      <c r="F815" s="1"/>
      <c r="G815" s="1"/>
      <c r="H815" s="1"/>
      <c r="I815" s="1"/>
      <c r="J815" s="1"/>
      <c r="K815" s="1"/>
      <c r="L815" s="1"/>
      <c r="M815" s="1"/>
      <c r="N815" s="1"/>
      <c r="O815" s="1"/>
      <c r="P815" s="1"/>
      <c r="Q815" s="1"/>
    </row>
    <row r="816" spans="1:17" x14ac:dyDescent="0.2">
      <c r="A816" s="1"/>
      <c r="B816" s="1"/>
      <c r="C816" s="1"/>
      <c r="D816" s="1"/>
      <c r="E816" s="1"/>
      <c r="F816" s="1"/>
      <c r="G816" s="1"/>
      <c r="H816" s="1"/>
      <c r="I816" s="1"/>
      <c r="J816" s="1"/>
      <c r="K816" s="1"/>
      <c r="L816" s="1"/>
      <c r="M816" s="1"/>
      <c r="N816" s="1"/>
      <c r="O816" s="1"/>
      <c r="P816" s="1"/>
      <c r="Q816" s="1"/>
    </row>
    <row r="817" spans="1:17" x14ac:dyDescent="0.2">
      <c r="A817" s="1"/>
      <c r="B817" s="1"/>
      <c r="C817" s="1"/>
      <c r="D817" s="1"/>
      <c r="E817" s="1"/>
      <c r="F817" s="1"/>
      <c r="G817" s="1"/>
      <c r="H817" s="1"/>
      <c r="I817" s="1"/>
      <c r="J817" s="1"/>
      <c r="K817" s="1"/>
      <c r="L817" s="1"/>
      <c r="M817" s="1"/>
      <c r="N817" s="1"/>
      <c r="O817" s="1"/>
      <c r="P817" s="1"/>
      <c r="Q817" s="1"/>
    </row>
    <row r="818" spans="1:17" x14ac:dyDescent="0.2">
      <c r="A818" s="1"/>
      <c r="B818" s="1"/>
      <c r="C818" s="1"/>
      <c r="D818" s="1"/>
      <c r="E818" s="1"/>
      <c r="F818" s="1"/>
      <c r="G818" s="1"/>
      <c r="H818" s="1"/>
      <c r="I818" s="1"/>
      <c r="J818" s="1"/>
      <c r="K818" s="1"/>
      <c r="L818" s="1"/>
      <c r="M818" s="1"/>
      <c r="N818" s="1"/>
      <c r="O818" s="1"/>
      <c r="P818" s="1"/>
      <c r="Q818" s="1"/>
    </row>
    <row r="819" spans="1:17" x14ac:dyDescent="0.2">
      <c r="A819" s="1"/>
      <c r="B819" s="1"/>
      <c r="C819" s="1"/>
      <c r="D819" s="1"/>
      <c r="E819" s="1"/>
      <c r="F819" s="1"/>
      <c r="G819" s="1"/>
      <c r="H819" s="1"/>
      <c r="I819" s="1"/>
      <c r="J819" s="1"/>
      <c r="K819" s="1"/>
      <c r="L819" s="1"/>
      <c r="M819" s="1"/>
      <c r="N819" s="1"/>
      <c r="O819" s="1"/>
      <c r="P819" s="1"/>
      <c r="Q819" s="1"/>
    </row>
    <row r="820" spans="1:17" x14ac:dyDescent="0.2">
      <c r="A820" s="1"/>
      <c r="B820" s="1"/>
      <c r="C820" s="1"/>
      <c r="D820" s="1"/>
      <c r="E820" s="1"/>
      <c r="F820" s="1"/>
      <c r="G820" s="1"/>
      <c r="H820" s="1"/>
      <c r="I820" s="1"/>
      <c r="J820" s="1"/>
      <c r="K820" s="1"/>
      <c r="L820" s="1"/>
      <c r="M820" s="1"/>
      <c r="N820" s="1"/>
      <c r="O820" s="1"/>
      <c r="P820" s="1"/>
      <c r="Q820" s="1"/>
    </row>
    <row r="821" spans="1:17" x14ac:dyDescent="0.2">
      <c r="A821" s="1"/>
      <c r="B821" s="1"/>
      <c r="C821" s="1"/>
      <c r="D821" s="1"/>
      <c r="E821" s="1"/>
      <c r="F821" s="1"/>
      <c r="G821" s="1"/>
      <c r="H821" s="1"/>
      <c r="I821" s="1"/>
      <c r="J821" s="1"/>
      <c r="K821" s="1"/>
      <c r="L821" s="1"/>
      <c r="M821" s="1"/>
      <c r="N821" s="1"/>
      <c r="O821" s="1"/>
      <c r="P821" s="1"/>
      <c r="Q821" s="1"/>
    </row>
    <row r="822" spans="1:17" x14ac:dyDescent="0.2">
      <c r="A822" s="1"/>
      <c r="B822" s="1"/>
      <c r="C822" s="1"/>
      <c r="D822" s="1"/>
      <c r="E822" s="1"/>
      <c r="F822" s="1"/>
      <c r="G822" s="1"/>
      <c r="H822" s="1"/>
      <c r="I822" s="1"/>
      <c r="J822" s="1"/>
      <c r="K822" s="1"/>
      <c r="L822" s="1"/>
      <c r="M822" s="1"/>
      <c r="N822" s="1"/>
      <c r="O822" s="1"/>
      <c r="P822" s="1"/>
      <c r="Q822" s="1"/>
    </row>
    <row r="823" spans="1:17" x14ac:dyDescent="0.2">
      <c r="A823" s="1"/>
      <c r="B823" s="1"/>
      <c r="C823" s="1"/>
      <c r="D823" s="1"/>
      <c r="E823" s="1"/>
      <c r="F823" s="1"/>
      <c r="G823" s="1"/>
      <c r="H823" s="1"/>
      <c r="I823" s="1"/>
      <c r="J823" s="1"/>
      <c r="K823" s="1"/>
      <c r="L823" s="1"/>
      <c r="M823" s="1"/>
      <c r="N823" s="1"/>
      <c r="O823" s="1"/>
      <c r="P823" s="1"/>
      <c r="Q823" s="1"/>
    </row>
    <row r="824" spans="1:17" x14ac:dyDescent="0.2">
      <c r="A824" s="1"/>
      <c r="B824" s="1"/>
      <c r="C824" s="1"/>
      <c r="D824" s="1"/>
      <c r="E824" s="1"/>
      <c r="F824" s="1"/>
      <c r="G824" s="1"/>
      <c r="H824" s="1"/>
      <c r="I824" s="1"/>
      <c r="J824" s="1"/>
      <c r="K824" s="1"/>
      <c r="L824" s="1"/>
      <c r="M824" s="1"/>
      <c r="N824" s="1"/>
      <c r="O824" s="1"/>
      <c r="P824" s="1"/>
      <c r="Q824" s="1"/>
    </row>
    <row r="825" spans="1:17" x14ac:dyDescent="0.2">
      <c r="A825" s="1"/>
      <c r="B825" s="1"/>
      <c r="C825" s="1"/>
      <c r="D825" s="1"/>
      <c r="E825" s="1"/>
      <c r="F825" s="1"/>
      <c r="G825" s="1"/>
      <c r="H825" s="1"/>
      <c r="I825" s="1"/>
      <c r="J825" s="1"/>
      <c r="K825" s="1"/>
      <c r="L825" s="1"/>
      <c r="M825" s="1"/>
      <c r="N825" s="1"/>
      <c r="O825" s="1"/>
      <c r="P825" s="1"/>
      <c r="Q825" s="1"/>
    </row>
    <row r="826" spans="1:17" x14ac:dyDescent="0.2">
      <c r="A826" s="1"/>
      <c r="B826" s="1"/>
      <c r="C826" s="1"/>
      <c r="D826" s="1"/>
      <c r="E826" s="1"/>
      <c r="F826" s="1"/>
      <c r="G826" s="1"/>
      <c r="H826" s="1"/>
      <c r="I826" s="1"/>
      <c r="J826" s="1"/>
      <c r="K826" s="1"/>
      <c r="L826" s="1"/>
      <c r="M826" s="1"/>
      <c r="N826" s="1"/>
      <c r="O826" s="1"/>
      <c r="P826" s="1"/>
      <c r="Q826" s="1"/>
    </row>
    <row r="827" spans="1:17" x14ac:dyDescent="0.2">
      <c r="A827" s="1"/>
      <c r="B827" s="1"/>
      <c r="C827" s="1"/>
      <c r="D827" s="1"/>
      <c r="E827" s="1"/>
      <c r="F827" s="1"/>
      <c r="G827" s="1"/>
      <c r="H827" s="1"/>
      <c r="I827" s="1"/>
      <c r="J827" s="1"/>
      <c r="K827" s="1"/>
      <c r="L827" s="1"/>
      <c r="M827" s="1"/>
      <c r="N827" s="1"/>
      <c r="O827" s="1"/>
      <c r="P827" s="1"/>
      <c r="Q827" s="1"/>
    </row>
    <row r="828" spans="1:17" x14ac:dyDescent="0.2">
      <c r="A828" s="1"/>
      <c r="B828" s="1"/>
      <c r="C828" s="1"/>
      <c r="D828" s="1"/>
      <c r="E828" s="1"/>
      <c r="F828" s="1"/>
      <c r="G828" s="1"/>
      <c r="H828" s="1"/>
      <c r="I828" s="1"/>
      <c r="J828" s="1"/>
      <c r="K828" s="1"/>
      <c r="L828" s="1"/>
      <c r="M828" s="1"/>
      <c r="N828" s="1"/>
      <c r="O828" s="1"/>
      <c r="P828" s="1"/>
      <c r="Q828" s="1"/>
    </row>
    <row r="829" spans="1:17" x14ac:dyDescent="0.2">
      <c r="A829" s="1"/>
      <c r="B829" s="1"/>
      <c r="C829" s="1"/>
      <c r="D829" s="1"/>
      <c r="E829" s="1"/>
      <c r="F829" s="1"/>
      <c r="G829" s="1"/>
      <c r="H829" s="1"/>
      <c r="I829" s="1"/>
      <c r="J829" s="1"/>
      <c r="K829" s="1"/>
      <c r="L829" s="1"/>
      <c r="M829" s="1"/>
      <c r="N829" s="1"/>
      <c r="O829" s="1"/>
      <c r="P829" s="1"/>
      <c r="Q829" s="1"/>
    </row>
    <row r="830" spans="1:17" x14ac:dyDescent="0.2">
      <c r="A830" s="1"/>
      <c r="B830" s="1"/>
      <c r="C830" s="1"/>
      <c r="D830" s="1"/>
      <c r="E830" s="1"/>
      <c r="F830" s="1"/>
      <c r="G830" s="1"/>
      <c r="H830" s="1"/>
      <c r="I830" s="1"/>
      <c r="J830" s="1"/>
      <c r="K830" s="1"/>
      <c r="L830" s="1"/>
      <c r="M830" s="1"/>
      <c r="N830" s="1"/>
      <c r="O830" s="1"/>
      <c r="P830" s="1"/>
      <c r="Q830" s="1"/>
    </row>
    <row r="831" spans="1:17" x14ac:dyDescent="0.2">
      <c r="A831" s="1"/>
      <c r="B831" s="1"/>
      <c r="C831" s="1"/>
      <c r="D831" s="1"/>
      <c r="E831" s="1"/>
      <c r="F831" s="1"/>
      <c r="G831" s="1"/>
      <c r="H831" s="1"/>
      <c r="I831" s="1"/>
      <c r="J831" s="1"/>
      <c r="K831" s="1"/>
      <c r="L831" s="1"/>
      <c r="M831" s="1"/>
      <c r="N831" s="1"/>
      <c r="O831" s="1"/>
      <c r="P831" s="1"/>
      <c r="Q831" s="1"/>
    </row>
    <row r="832" spans="1:17" x14ac:dyDescent="0.2">
      <c r="A832" s="1"/>
      <c r="B832" s="1"/>
      <c r="C832" s="1"/>
      <c r="D832" s="1"/>
      <c r="E832" s="1"/>
      <c r="F832" s="1"/>
      <c r="G832" s="1"/>
      <c r="H832" s="1"/>
      <c r="I832" s="1"/>
      <c r="J832" s="1"/>
      <c r="K832" s="1"/>
      <c r="L832" s="1"/>
      <c r="M832" s="1"/>
      <c r="N832" s="1"/>
      <c r="O832" s="1"/>
      <c r="P832" s="1"/>
      <c r="Q832" s="1"/>
    </row>
    <row r="833" spans="1:17" x14ac:dyDescent="0.2">
      <c r="A833" s="1"/>
      <c r="B833" s="1"/>
      <c r="C833" s="1"/>
      <c r="D833" s="1"/>
      <c r="E833" s="1"/>
      <c r="F833" s="1"/>
      <c r="G833" s="1"/>
      <c r="H833" s="1"/>
      <c r="I833" s="1"/>
      <c r="J833" s="1"/>
      <c r="K833" s="1"/>
      <c r="L833" s="1"/>
      <c r="M833" s="1"/>
      <c r="N833" s="1"/>
      <c r="O833" s="1"/>
      <c r="P833" s="1"/>
      <c r="Q833" s="1"/>
    </row>
    <row r="834" spans="1:17" x14ac:dyDescent="0.2">
      <c r="A834" s="1"/>
      <c r="B834" s="1"/>
      <c r="C834" s="1"/>
      <c r="D834" s="1"/>
      <c r="E834" s="1"/>
      <c r="F834" s="1"/>
      <c r="G834" s="1"/>
      <c r="H834" s="1"/>
      <c r="I834" s="1"/>
      <c r="J834" s="1"/>
      <c r="K834" s="1"/>
      <c r="L834" s="1"/>
      <c r="M834" s="1"/>
      <c r="N834" s="1"/>
      <c r="O834" s="1"/>
      <c r="P834" s="1"/>
      <c r="Q834" s="1"/>
    </row>
    <row r="835" spans="1:17" x14ac:dyDescent="0.2">
      <c r="A835" s="1"/>
      <c r="B835" s="1"/>
      <c r="C835" s="1"/>
      <c r="D835" s="1"/>
      <c r="E835" s="1"/>
      <c r="F835" s="1"/>
      <c r="G835" s="1"/>
      <c r="H835" s="1"/>
      <c r="I835" s="1"/>
      <c r="J835" s="1"/>
      <c r="K835" s="1"/>
      <c r="L835" s="1"/>
      <c r="M835" s="1"/>
      <c r="N835" s="1"/>
      <c r="O835" s="1"/>
      <c r="P835" s="1"/>
      <c r="Q835" s="1"/>
    </row>
    <row r="836" spans="1:17" x14ac:dyDescent="0.2">
      <c r="A836" s="1"/>
      <c r="B836" s="1"/>
      <c r="C836" s="1"/>
      <c r="D836" s="1"/>
      <c r="E836" s="1"/>
      <c r="F836" s="1"/>
      <c r="G836" s="1"/>
      <c r="H836" s="1"/>
      <c r="I836" s="1"/>
      <c r="J836" s="1"/>
      <c r="K836" s="1"/>
      <c r="L836" s="1"/>
      <c r="M836" s="1"/>
      <c r="N836" s="1"/>
      <c r="O836" s="1"/>
      <c r="P836" s="1"/>
      <c r="Q836" s="1"/>
    </row>
    <row r="837" spans="1:17" x14ac:dyDescent="0.2">
      <c r="A837" s="1"/>
      <c r="B837" s="1"/>
      <c r="C837" s="1"/>
      <c r="D837" s="1"/>
      <c r="E837" s="1"/>
      <c r="F837" s="1"/>
      <c r="G837" s="1"/>
      <c r="H837" s="1"/>
      <c r="I837" s="1"/>
      <c r="J837" s="1"/>
      <c r="K837" s="1"/>
      <c r="L837" s="1"/>
      <c r="M837" s="1"/>
      <c r="N837" s="1"/>
      <c r="O837" s="1"/>
      <c r="P837" s="1"/>
      <c r="Q837" s="1"/>
    </row>
    <row r="838" spans="1:17" x14ac:dyDescent="0.2">
      <c r="A838" s="1"/>
      <c r="B838" s="1"/>
      <c r="C838" s="1"/>
      <c r="D838" s="1"/>
      <c r="E838" s="1"/>
      <c r="F838" s="1"/>
      <c r="G838" s="1"/>
      <c r="H838" s="1"/>
      <c r="I838" s="1"/>
      <c r="J838" s="1"/>
      <c r="K838" s="1"/>
      <c r="L838" s="1"/>
      <c r="M838" s="1"/>
      <c r="N838" s="1"/>
      <c r="O838" s="1"/>
      <c r="P838" s="1"/>
      <c r="Q838" s="1"/>
    </row>
    <row r="839" spans="1:17" x14ac:dyDescent="0.2">
      <c r="A839" s="1"/>
      <c r="B839" s="1"/>
      <c r="C839" s="1"/>
      <c r="D839" s="1"/>
      <c r="E839" s="1"/>
      <c r="F839" s="1"/>
      <c r="G839" s="1"/>
      <c r="H839" s="1"/>
      <c r="I839" s="1"/>
      <c r="J839" s="1"/>
      <c r="K839" s="1"/>
      <c r="L839" s="1"/>
      <c r="M839" s="1"/>
      <c r="N839" s="1"/>
      <c r="O839" s="1"/>
      <c r="P839" s="1"/>
      <c r="Q839" s="1"/>
    </row>
    <row r="840" spans="1:17" x14ac:dyDescent="0.2">
      <c r="A840" s="1"/>
      <c r="B840" s="1"/>
      <c r="C840" s="1"/>
      <c r="D840" s="1"/>
      <c r="E840" s="1"/>
      <c r="F840" s="1"/>
      <c r="G840" s="1"/>
      <c r="H840" s="1"/>
      <c r="I840" s="1"/>
      <c r="J840" s="1"/>
      <c r="K840" s="1"/>
      <c r="L840" s="1"/>
      <c r="M840" s="1"/>
      <c r="N840" s="1"/>
      <c r="O840" s="1"/>
      <c r="P840" s="1"/>
      <c r="Q840" s="1"/>
    </row>
    <row r="841" spans="1:17" x14ac:dyDescent="0.2">
      <c r="A841" s="1"/>
      <c r="B841" s="1"/>
      <c r="C841" s="1"/>
      <c r="D841" s="1"/>
      <c r="E841" s="1"/>
      <c r="F841" s="1"/>
      <c r="G841" s="1"/>
      <c r="H841" s="1"/>
      <c r="I841" s="1"/>
      <c r="J841" s="1"/>
      <c r="K841" s="1"/>
      <c r="L841" s="1"/>
      <c r="M841" s="1"/>
      <c r="N841" s="1"/>
      <c r="O841" s="1"/>
      <c r="P841" s="1"/>
      <c r="Q841" s="1"/>
    </row>
    <row r="842" spans="1:17" x14ac:dyDescent="0.2">
      <c r="A842" s="1"/>
      <c r="B842" s="1"/>
      <c r="C842" s="1"/>
      <c r="D842" s="1"/>
      <c r="E842" s="1"/>
      <c r="F842" s="1"/>
      <c r="G842" s="1"/>
      <c r="H842" s="1"/>
      <c r="I842" s="1"/>
      <c r="J842" s="1"/>
      <c r="K842" s="1"/>
      <c r="L842" s="1"/>
      <c r="M842" s="1"/>
      <c r="N842" s="1"/>
      <c r="O842" s="1"/>
      <c r="P842" s="1"/>
      <c r="Q842" s="1"/>
    </row>
    <row r="843" spans="1:17" x14ac:dyDescent="0.2">
      <c r="A843" s="1"/>
      <c r="B843" s="1"/>
      <c r="C843" s="1"/>
      <c r="D843" s="1"/>
      <c r="E843" s="1"/>
      <c r="F843" s="1"/>
      <c r="G843" s="1"/>
      <c r="H843" s="1"/>
      <c r="I843" s="1"/>
      <c r="J843" s="1"/>
      <c r="K843" s="1"/>
      <c r="L843" s="1"/>
      <c r="M843" s="1"/>
      <c r="N843" s="1"/>
      <c r="O843" s="1"/>
      <c r="P843" s="1"/>
      <c r="Q843" s="1"/>
    </row>
    <row r="844" spans="1:17" x14ac:dyDescent="0.2">
      <c r="A844" s="1"/>
      <c r="B844" s="1"/>
      <c r="C844" s="1"/>
      <c r="D844" s="1"/>
      <c r="E844" s="1"/>
      <c r="F844" s="1"/>
      <c r="G844" s="1"/>
      <c r="H844" s="1"/>
      <c r="I844" s="1"/>
      <c r="J844" s="1"/>
      <c r="K844" s="1"/>
      <c r="L844" s="1"/>
      <c r="M844" s="1"/>
      <c r="N844" s="1"/>
      <c r="O844" s="1"/>
      <c r="P844" s="1"/>
      <c r="Q844" s="1"/>
    </row>
    <row r="845" spans="1:17" x14ac:dyDescent="0.2">
      <c r="A845" s="1"/>
      <c r="B845" s="1"/>
      <c r="C845" s="1"/>
      <c r="D845" s="1"/>
      <c r="E845" s="1"/>
      <c r="F845" s="1"/>
      <c r="G845" s="1"/>
      <c r="H845" s="1"/>
      <c r="I845" s="1"/>
      <c r="J845" s="1"/>
      <c r="K845" s="1"/>
      <c r="L845" s="1"/>
      <c r="M845" s="1"/>
      <c r="N845" s="1"/>
      <c r="O845" s="1"/>
      <c r="P845" s="1"/>
      <c r="Q845" s="1"/>
    </row>
    <row r="846" spans="1:17" x14ac:dyDescent="0.2">
      <c r="A846" s="1"/>
      <c r="B846" s="1"/>
      <c r="C846" s="1"/>
      <c r="D846" s="1"/>
      <c r="E846" s="1"/>
      <c r="F846" s="1"/>
      <c r="G846" s="1"/>
      <c r="H846" s="1"/>
      <c r="I846" s="1"/>
      <c r="J846" s="1"/>
      <c r="K846" s="1"/>
      <c r="L846" s="1"/>
      <c r="M846" s="1"/>
      <c r="N846" s="1"/>
      <c r="O846" s="1"/>
      <c r="P846" s="1"/>
      <c r="Q846" s="1"/>
    </row>
    <row r="847" spans="1:17" x14ac:dyDescent="0.2">
      <c r="A847" s="1"/>
      <c r="B847" s="1"/>
      <c r="C847" s="1"/>
      <c r="D847" s="1"/>
      <c r="E847" s="1"/>
      <c r="F847" s="1"/>
      <c r="G847" s="1"/>
      <c r="H847" s="1"/>
      <c r="I847" s="1"/>
      <c r="J847" s="1"/>
      <c r="K847" s="1"/>
      <c r="L847" s="1"/>
      <c r="M847" s="1"/>
      <c r="N847" s="1"/>
      <c r="O847" s="1"/>
      <c r="P847" s="1"/>
      <c r="Q847" s="1"/>
    </row>
    <row r="848" spans="1:17" x14ac:dyDescent="0.2">
      <c r="A848" s="1"/>
      <c r="B848" s="1"/>
      <c r="C848" s="1"/>
      <c r="D848" s="1"/>
      <c r="E848" s="1"/>
      <c r="F848" s="1"/>
      <c r="G848" s="1"/>
      <c r="H848" s="1"/>
      <c r="I848" s="1"/>
      <c r="J848" s="1"/>
      <c r="K848" s="1"/>
      <c r="L848" s="1"/>
      <c r="M848" s="1"/>
      <c r="N848" s="1"/>
      <c r="O848" s="1"/>
      <c r="P848" s="1"/>
      <c r="Q848" s="1"/>
    </row>
    <row r="849" spans="1:17" x14ac:dyDescent="0.2">
      <c r="A849" s="1"/>
      <c r="B849" s="1"/>
      <c r="C849" s="1"/>
      <c r="D849" s="1"/>
      <c r="E849" s="1"/>
      <c r="F849" s="1"/>
      <c r="G849" s="1"/>
      <c r="H849" s="1"/>
      <c r="I849" s="1"/>
      <c r="J849" s="1"/>
      <c r="K849" s="1"/>
      <c r="L849" s="1"/>
      <c r="M849" s="1"/>
      <c r="N849" s="1"/>
      <c r="O849" s="1"/>
      <c r="P849" s="1"/>
      <c r="Q849" s="1"/>
    </row>
    <row r="850" spans="1:17" x14ac:dyDescent="0.2">
      <c r="A850" s="1"/>
      <c r="B850" s="1"/>
      <c r="C850" s="1"/>
      <c r="D850" s="1"/>
      <c r="E850" s="1"/>
      <c r="F850" s="1"/>
      <c r="G850" s="1"/>
      <c r="H850" s="1"/>
      <c r="I850" s="1"/>
      <c r="J850" s="1"/>
      <c r="K850" s="1"/>
      <c r="L850" s="1"/>
      <c r="M850" s="1"/>
      <c r="N850" s="1"/>
      <c r="O850" s="1"/>
      <c r="P850" s="1"/>
      <c r="Q850" s="1"/>
    </row>
    <row r="851" spans="1:17" x14ac:dyDescent="0.2">
      <c r="A851" s="1"/>
      <c r="B851" s="1"/>
      <c r="C851" s="1"/>
      <c r="D851" s="1"/>
      <c r="E851" s="1"/>
      <c r="F851" s="1"/>
      <c r="G851" s="1"/>
      <c r="H851" s="1"/>
      <c r="I851" s="1"/>
      <c r="J851" s="1"/>
      <c r="K851" s="1"/>
      <c r="L851" s="1"/>
      <c r="M851" s="1"/>
      <c r="N851" s="1"/>
      <c r="O851" s="1"/>
      <c r="P851" s="1"/>
      <c r="Q851" s="1"/>
    </row>
    <row r="852" spans="1:17" x14ac:dyDescent="0.2">
      <c r="A852" s="1"/>
      <c r="B852" s="1"/>
      <c r="C852" s="1"/>
      <c r="D852" s="1"/>
      <c r="E852" s="1"/>
      <c r="F852" s="1"/>
      <c r="G852" s="1"/>
      <c r="H852" s="1"/>
      <c r="I852" s="1"/>
      <c r="J852" s="1"/>
      <c r="K852" s="1"/>
      <c r="L852" s="1"/>
      <c r="M852" s="1"/>
      <c r="N852" s="1"/>
      <c r="O852" s="1"/>
      <c r="P852" s="1"/>
      <c r="Q852" s="1"/>
    </row>
    <row r="853" spans="1:17" x14ac:dyDescent="0.2">
      <c r="A853" s="1"/>
      <c r="B853" s="1"/>
      <c r="C853" s="1"/>
      <c r="D853" s="1"/>
      <c r="E853" s="1"/>
      <c r="F853" s="1"/>
      <c r="G853" s="1"/>
      <c r="H853" s="1"/>
      <c r="I853" s="1"/>
      <c r="J853" s="1"/>
      <c r="K853" s="1"/>
      <c r="L853" s="1"/>
      <c r="M853" s="1"/>
      <c r="N853" s="1"/>
      <c r="O853" s="1"/>
      <c r="P853" s="1"/>
      <c r="Q853" s="1"/>
    </row>
    <row r="854" spans="1:17" x14ac:dyDescent="0.2">
      <c r="A854" s="1"/>
      <c r="B854" s="1"/>
      <c r="C854" s="1"/>
      <c r="D854" s="1"/>
      <c r="E854" s="1"/>
      <c r="F854" s="1"/>
      <c r="G854" s="1"/>
      <c r="H854" s="1"/>
      <c r="I854" s="1"/>
      <c r="J854" s="1"/>
      <c r="K854" s="1"/>
      <c r="L854" s="1"/>
      <c r="M854" s="1"/>
      <c r="N854" s="1"/>
      <c r="O854" s="1"/>
      <c r="P854" s="1"/>
      <c r="Q854" s="1"/>
    </row>
    <row r="855" spans="1:17" x14ac:dyDescent="0.2">
      <c r="A855" s="1"/>
      <c r="B855" s="1"/>
      <c r="C855" s="1"/>
      <c r="D855" s="1"/>
      <c r="E855" s="1"/>
      <c r="F855" s="1"/>
      <c r="G855" s="1"/>
      <c r="H855" s="1"/>
      <c r="I855" s="1"/>
      <c r="J855" s="1"/>
      <c r="K855" s="1"/>
      <c r="L855" s="1"/>
      <c r="M855" s="1"/>
      <c r="N855" s="1"/>
      <c r="O855" s="1"/>
      <c r="P855" s="1"/>
      <c r="Q855" s="1"/>
    </row>
    <row r="856" spans="1:17" x14ac:dyDescent="0.2">
      <c r="A856" s="1"/>
      <c r="B856" s="1"/>
      <c r="C856" s="1"/>
      <c r="D856" s="1"/>
      <c r="E856" s="1"/>
      <c r="F856" s="1"/>
      <c r="G856" s="1"/>
      <c r="H856" s="1"/>
      <c r="I856" s="1"/>
      <c r="J856" s="1"/>
      <c r="K856" s="1"/>
      <c r="L856" s="1"/>
      <c r="M856" s="1"/>
      <c r="N856" s="1"/>
      <c r="O856" s="1"/>
      <c r="P856" s="1"/>
      <c r="Q856" s="1"/>
    </row>
    <row r="857" spans="1:17" x14ac:dyDescent="0.2">
      <c r="A857" s="1"/>
      <c r="B857" s="1"/>
      <c r="C857" s="1"/>
      <c r="D857" s="1"/>
      <c r="E857" s="1"/>
      <c r="F857" s="1"/>
      <c r="G857" s="1"/>
      <c r="H857" s="1"/>
      <c r="I857" s="1"/>
      <c r="J857" s="1"/>
      <c r="K857" s="1"/>
      <c r="L857" s="1"/>
      <c r="M857" s="1"/>
      <c r="N857" s="1"/>
      <c r="O857" s="1"/>
      <c r="P857" s="1"/>
      <c r="Q857" s="1"/>
    </row>
    <row r="858" spans="1:17" x14ac:dyDescent="0.2">
      <c r="A858" s="1"/>
      <c r="B858" s="1"/>
      <c r="C858" s="1"/>
      <c r="D858" s="1"/>
      <c r="E858" s="1"/>
      <c r="F858" s="1"/>
      <c r="G858" s="1"/>
      <c r="H858" s="1"/>
      <c r="I858" s="1"/>
      <c r="J858" s="1"/>
      <c r="K858" s="1"/>
      <c r="L858" s="1"/>
      <c r="M858" s="1"/>
      <c r="N858" s="1"/>
      <c r="O858" s="1"/>
      <c r="P858" s="1"/>
      <c r="Q858" s="1"/>
    </row>
    <row r="859" spans="1:17" x14ac:dyDescent="0.2">
      <c r="A859" s="1"/>
      <c r="B859" s="1"/>
      <c r="C859" s="1"/>
      <c r="D859" s="1"/>
      <c r="E859" s="1"/>
      <c r="F859" s="1"/>
      <c r="G859" s="1"/>
      <c r="H859" s="1"/>
      <c r="I859" s="1"/>
      <c r="J859" s="1"/>
      <c r="K859" s="1"/>
      <c r="L859" s="1"/>
      <c r="M859" s="1"/>
      <c r="N859" s="1"/>
      <c r="O859" s="1"/>
      <c r="P859" s="1"/>
      <c r="Q859" s="1"/>
    </row>
    <row r="860" spans="1:17" x14ac:dyDescent="0.2">
      <c r="A860" s="1"/>
      <c r="B860" s="1"/>
      <c r="C860" s="1"/>
      <c r="D860" s="1"/>
      <c r="E860" s="1"/>
      <c r="F860" s="1"/>
      <c r="G860" s="1"/>
      <c r="H860" s="1"/>
      <c r="I860" s="1"/>
      <c r="J860" s="1"/>
      <c r="K860" s="1"/>
      <c r="L860" s="1"/>
      <c r="M860" s="1"/>
      <c r="N860" s="1"/>
      <c r="O860" s="1"/>
      <c r="P860" s="1"/>
      <c r="Q860" s="1"/>
    </row>
    <row r="861" spans="1:17" x14ac:dyDescent="0.2">
      <c r="A861" s="1"/>
      <c r="B861" s="1"/>
      <c r="C861" s="1"/>
      <c r="D861" s="1"/>
      <c r="E861" s="1"/>
      <c r="F861" s="1"/>
      <c r="G861" s="1"/>
      <c r="H861" s="1"/>
      <c r="I861" s="1"/>
      <c r="J861" s="1"/>
      <c r="K861" s="1"/>
      <c r="L861" s="1"/>
      <c r="M861" s="1"/>
      <c r="N861" s="1"/>
      <c r="O861" s="1"/>
      <c r="P861" s="1"/>
      <c r="Q861" s="1"/>
    </row>
    <row r="862" spans="1:17" x14ac:dyDescent="0.2">
      <c r="A862" s="1"/>
      <c r="B862" s="1"/>
      <c r="C862" s="1"/>
      <c r="D862" s="1"/>
      <c r="E862" s="1"/>
      <c r="F862" s="1"/>
      <c r="G862" s="1"/>
      <c r="H862" s="1"/>
      <c r="I862" s="1"/>
      <c r="J862" s="1"/>
      <c r="K862" s="1"/>
      <c r="L862" s="1"/>
      <c r="M862" s="1"/>
      <c r="N862" s="1"/>
      <c r="O862" s="1"/>
      <c r="P862" s="1"/>
      <c r="Q862" s="1"/>
    </row>
    <row r="863" spans="1:17" x14ac:dyDescent="0.2">
      <c r="A863" s="1"/>
      <c r="B863" s="1"/>
      <c r="C863" s="1"/>
      <c r="D863" s="1"/>
      <c r="E863" s="1"/>
      <c r="F863" s="1"/>
      <c r="G863" s="1"/>
      <c r="H863" s="1"/>
      <c r="I863" s="1"/>
      <c r="J863" s="1"/>
      <c r="K863" s="1"/>
      <c r="L863" s="1"/>
      <c r="M863" s="1"/>
      <c r="N863" s="1"/>
      <c r="O863" s="1"/>
      <c r="P863" s="1"/>
      <c r="Q863" s="1"/>
    </row>
    <row r="864" spans="1:17" x14ac:dyDescent="0.2">
      <c r="A864" s="1"/>
      <c r="B864" s="1"/>
      <c r="C864" s="1"/>
      <c r="D864" s="1"/>
      <c r="E864" s="1"/>
      <c r="F864" s="1"/>
      <c r="G864" s="1"/>
      <c r="H864" s="1"/>
      <c r="I864" s="1"/>
      <c r="J864" s="1"/>
      <c r="K864" s="1"/>
      <c r="L864" s="1"/>
      <c r="M864" s="1"/>
      <c r="N864" s="1"/>
      <c r="O864" s="1"/>
      <c r="P864" s="1"/>
      <c r="Q864" s="1"/>
    </row>
    <row r="865" spans="1:17" x14ac:dyDescent="0.2">
      <c r="A865" s="1"/>
      <c r="B865" s="1"/>
      <c r="C865" s="1"/>
      <c r="D865" s="1"/>
      <c r="E865" s="1"/>
      <c r="F865" s="1"/>
      <c r="G865" s="1"/>
      <c r="H865" s="1"/>
      <c r="I865" s="1"/>
      <c r="J865" s="1"/>
      <c r="K865" s="1"/>
      <c r="L865" s="1"/>
      <c r="M865" s="1"/>
      <c r="N865" s="1"/>
      <c r="O865" s="1"/>
      <c r="P865" s="1"/>
      <c r="Q865" s="1"/>
    </row>
    <row r="866" spans="1:17" x14ac:dyDescent="0.2">
      <c r="A866" s="1"/>
      <c r="B866" s="1"/>
      <c r="C866" s="1"/>
      <c r="D866" s="1"/>
      <c r="E866" s="1"/>
      <c r="F866" s="1"/>
      <c r="G866" s="1"/>
      <c r="H866" s="1"/>
      <c r="I866" s="1"/>
      <c r="J866" s="1"/>
      <c r="K866" s="1"/>
      <c r="L866" s="1"/>
      <c r="M866" s="1"/>
      <c r="N866" s="1"/>
      <c r="O866" s="1"/>
      <c r="P866" s="1"/>
      <c r="Q866" s="1"/>
    </row>
    <row r="867" spans="1:17" x14ac:dyDescent="0.2">
      <c r="A867" s="1"/>
      <c r="B867" s="1"/>
      <c r="C867" s="1"/>
      <c r="D867" s="1"/>
      <c r="E867" s="1"/>
      <c r="F867" s="1"/>
      <c r="G867" s="1"/>
      <c r="H867" s="1"/>
      <c r="I867" s="1"/>
      <c r="J867" s="1"/>
      <c r="K867" s="1"/>
      <c r="L867" s="1"/>
      <c r="M867" s="1"/>
      <c r="N867" s="1"/>
      <c r="O867" s="1"/>
      <c r="P867" s="1"/>
      <c r="Q867" s="1"/>
    </row>
    <row r="868" spans="1:17" x14ac:dyDescent="0.2">
      <c r="A868" s="1"/>
      <c r="B868" s="1"/>
      <c r="C868" s="1"/>
      <c r="D868" s="1"/>
      <c r="E868" s="1"/>
      <c r="F868" s="1"/>
      <c r="G868" s="1"/>
      <c r="H868" s="1"/>
      <c r="I868" s="1"/>
      <c r="J868" s="1"/>
      <c r="K868" s="1"/>
      <c r="L868" s="1"/>
      <c r="M868" s="1"/>
      <c r="N868" s="1"/>
      <c r="O868" s="1"/>
      <c r="P868" s="1"/>
      <c r="Q868" s="1"/>
    </row>
    <row r="869" spans="1:17" x14ac:dyDescent="0.2">
      <c r="A869" s="1"/>
      <c r="B869" s="1"/>
      <c r="C869" s="1"/>
      <c r="D869" s="1"/>
      <c r="E869" s="1"/>
      <c r="F869" s="1"/>
      <c r="G869" s="1"/>
      <c r="H869" s="1"/>
      <c r="I869" s="1"/>
      <c r="J869" s="1"/>
      <c r="K869" s="1"/>
      <c r="L869" s="1"/>
      <c r="M869" s="1"/>
      <c r="N869" s="1"/>
      <c r="O869" s="1"/>
      <c r="P869" s="1"/>
      <c r="Q869" s="1"/>
    </row>
    <row r="870" spans="1:17" x14ac:dyDescent="0.2">
      <c r="A870" s="1"/>
      <c r="B870" s="1"/>
      <c r="C870" s="1"/>
      <c r="D870" s="1"/>
      <c r="E870" s="1"/>
      <c r="F870" s="1"/>
      <c r="G870" s="1"/>
      <c r="H870" s="1"/>
      <c r="I870" s="1"/>
      <c r="J870" s="1"/>
      <c r="K870" s="1"/>
      <c r="L870" s="1"/>
      <c r="M870" s="1"/>
      <c r="N870" s="1"/>
      <c r="O870" s="1"/>
      <c r="P870" s="1"/>
      <c r="Q870" s="1"/>
    </row>
    <row r="871" spans="1:17" x14ac:dyDescent="0.2">
      <c r="A871" s="1"/>
      <c r="B871" s="1"/>
      <c r="C871" s="1"/>
      <c r="D871" s="1"/>
      <c r="E871" s="1"/>
      <c r="F871" s="1"/>
      <c r="G871" s="1"/>
      <c r="H871" s="1"/>
      <c r="I871" s="1"/>
      <c r="J871" s="1"/>
      <c r="K871" s="1"/>
      <c r="L871" s="1"/>
      <c r="M871" s="1"/>
      <c r="N871" s="1"/>
      <c r="O871" s="1"/>
      <c r="P871" s="1"/>
      <c r="Q871" s="1"/>
    </row>
    <row r="872" spans="1:17" x14ac:dyDescent="0.2">
      <c r="A872" s="1"/>
      <c r="B872" s="1"/>
      <c r="C872" s="1"/>
      <c r="D872" s="1"/>
      <c r="E872" s="1"/>
      <c r="F872" s="1"/>
      <c r="G872" s="1"/>
      <c r="H872" s="1"/>
      <c r="I872" s="1"/>
      <c r="J872" s="1"/>
      <c r="K872" s="1"/>
      <c r="L872" s="1"/>
      <c r="M872" s="1"/>
      <c r="N872" s="1"/>
      <c r="O872" s="1"/>
      <c r="P872" s="1"/>
      <c r="Q872" s="1"/>
    </row>
    <row r="873" spans="1:17" x14ac:dyDescent="0.2">
      <c r="A873" s="1"/>
      <c r="B873" s="1"/>
      <c r="C873" s="1"/>
      <c r="D873" s="1"/>
      <c r="E873" s="1"/>
      <c r="F873" s="1"/>
      <c r="G873" s="1"/>
      <c r="H873" s="1"/>
      <c r="I873" s="1"/>
      <c r="J873" s="1"/>
      <c r="K873" s="1"/>
      <c r="L873" s="1"/>
      <c r="M873" s="1"/>
      <c r="N873" s="1"/>
      <c r="O873" s="1"/>
      <c r="P873" s="1"/>
      <c r="Q873" s="1"/>
    </row>
    <row r="874" spans="1:17" x14ac:dyDescent="0.2">
      <c r="A874" s="1"/>
      <c r="B874" s="1"/>
      <c r="C874" s="1"/>
      <c r="D874" s="1"/>
      <c r="E874" s="1"/>
      <c r="F874" s="1"/>
      <c r="G874" s="1"/>
      <c r="H874" s="1"/>
      <c r="I874" s="1"/>
      <c r="J874" s="1"/>
      <c r="K874" s="1"/>
      <c r="L874" s="1"/>
      <c r="M874" s="1"/>
      <c r="N874" s="1"/>
      <c r="O874" s="1"/>
      <c r="P874" s="1"/>
      <c r="Q874" s="1"/>
    </row>
    <row r="875" spans="1:17" x14ac:dyDescent="0.2">
      <c r="A875" s="1"/>
      <c r="B875" s="1"/>
      <c r="C875" s="1"/>
      <c r="D875" s="1"/>
      <c r="E875" s="1"/>
      <c r="F875" s="1"/>
      <c r="G875" s="1"/>
      <c r="H875" s="1"/>
      <c r="I875" s="1"/>
      <c r="J875" s="1"/>
      <c r="K875" s="1"/>
      <c r="L875" s="1"/>
      <c r="M875" s="1"/>
      <c r="N875" s="1"/>
      <c r="O875" s="1"/>
      <c r="P875" s="1"/>
      <c r="Q875" s="1"/>
    </row>
    <row r="876" spans="1:17" x14ac:dyDescent="0.2">
      <c r="A876" s="1"/>
      <c r="B876" s="1"/>
      <c r="C876" s="1"/>
      <c r="D876" s="1"/>
      <c r="E876" s="1"/>
      <c r="F876" s="1"/>
      <c r="G876" s="1"/>
      <c r="H876" s="1"/>
      <c r="I876" s="1"/>
      <c r="J876" s="1"/>
      <c r="K876" s="1"/>
      <c r="L876" s="1"/>
      <c r="M876" s="1"/>
      <c r="N876" s="1"/>
      <c r="O876" s="1"/>
      <c r="P876" s="1"/>
      <c r="Q876" s="1"/>
    </row>
    <row r="877" spans="1:17" x14ac:dyDescent="0.2">
      <c r="A877" s="1"/>
      <c r="B877" s="1"/>
      <c r="C877" s="1"/>
      <c r="D877" s="1"/>
      <c r="E877" s="1"/>
      <c r="F877" s="1"/>
      <c r="G877" s="1"/>
      <c r="H877" s="1"/>
      <c r="I877" s="1"/>
      <c r="J877" s="1"/>
      <c r="K877" s="1"/>
      <c r="L877" s="1"/>
      <c r="M877" s="1"/>
      <c r="N877" s="1"/>
      <c r="O877" s="1"/>
      <c r="P877" s="1"/>
      <c r="Q877" s="1"/>
    </row>
    <row r="878" spans="1:17" x14ac:dyDescent="0.2">
      <c r="A878" s="1"/>
      <c r="B878" s="1"/>
      <c r="C878" s="1"/>
      <c r="D878" s="1"/>
      <c r="E878" s="1"/>
      <c r="F878" s="1"/>
      <c r="G878" s="1"/>
      <c r="H878" s="1"/>
      <c r="I878" s="1"/>
      <c r="J878" s="1"/>
      <c r="K878" s="1"/>
      <c r="L878" s="1"/>
      <c r="M878" s="1"/>
      <c r="N878" s="1"/>
      <c r="O878" s="1"/>
      <c r="P878" s="1"/>
      <c r="Q878" s="1"/>
    </row>
    <row r="879" spans="1:17" x14ac:dyDescent="0.2">
      <c r="A879" s="1"/>
      <c r="B879" s="1"/>
      <c r="C879" s="1"/>
      <c r="D879" s="1"/>
      <c r="E879" s="1"/>
      <c r="F879" s="1"/>
      <c r="G879" s="1"/>
      <c r="H879" s="1"/>
      <c r="I879" s="1"/>
      <c r="J879" s="1"/>
      <c r="K879" s="1"/>
      <c r="L879" s="1"/>
      <c r="M879" s="1"/>
      <c r="N879" s="1"/>
      <c r="O879" s="1"/>
      <c r="P879" s="1"/>
      <c r="Q879" s="1"/>
    </row>
    <row r="880" spans="1:17" x14ac:dyDescent="0.2">
      <c r="A880" s="1"/>
      <c r="B880" s="1"/>
      <c r="C880" s="1"/>
      <c r="D880" s="1"/>
      <c r="E880" s="1"/>
      <c r="F880" s="1"/>
      <c r="G880" s="1"/>
      <c r="H880" s="1"/>
      <c r="I880" s="1"/>
      <c r="J880" s="1"/>
      <c r="K880" s="1"/>
      <c r="L880" s="1"/>
      <c r="M880" s="1"/>
      <c r="N880" s="1"/>
      <c r="O880" s="1"/>
      <c r="P880" s="1"/>
      <c r="Q880" s="1"/>
    </row>
    <row r="881" spans="1:17" x14ac:dyDescent="0.2">
      <c r="A881" s="1"/>
      <c r="B881" s="1"/>
      <c r="C881" s="1"/>
      <c r="D881" s="1"/>
      <c r="E881" s="1"/>
      <c r="F881" s="1"/>
      <c r="G881" s="1"/>
      <c r="H881" s="1"/>
      <c r="I881" s="1"/>
      <c r="J881" s="1"/>
      <c r="K881" s="1"/>
      <c r="L881" s="1"/>
      <c r="M881" s="1"/>
      <c r="N881" s="1"/>
      <c r="O881" s="1"/>
      <c r="P881" s="1"/>
      <c r="Q881" s="1"/>
    </row>
    <row r="882" spans="1:17" x14ac:dyDescent="0.2">
      <c r="A882" s="1"/>
      <c r="B882" s="1"/>
      <c r="C882" s="1"/>
      <c r="D882" s="1"/>
      <c r="E882" s="1"/>
      <c r="F882" s="1"/>
      <c r="G882" s="1"/>
      <c r="H882" s="1"/>
      <c r="I882" s="1"/>
      <c r="J882" s="1"/>
      <c r="K882" s="1"/>
      <c r="L882" s="1"/>
      <c r="M882" s="1"/>
      <c r="N882" s="1"/>
      <c r="O882" s="1"/>
      <c r="P882" s="1"/>
      <c r="Q882" s="1"/>
    </row>
    <row r="883" spans="1:17" x14ac:dyDescent="0.2">
      <c r="A883" s="1"/>
      <c r="B883" s="1"/>
      <c r="C883" s="1"/>
      <c r="D883" s="1"/>
      <c r="E883" s="1"/>
      <c r="F883" s="1"/>
      <c r="G883" s="1"/>
      <c r="H883" s="1"/>
      <c r="I883" s="1"/>
      <c r="J883" s="1"/>
      <c r="K883" s="1"/>
      <c r="L883" s="1"/>
      <c r="M883" s="1"/>
      <c r="N883" s="1"/>
      <c r="O883" s="1"/>
      <c r="P883" s="1"/>
      <c r="Q883" s="1"/>
    </row>
    <row r="884" spans="1:17" x14ac:dyDescent="0.2">
      <c r="A884" s="1"/>
      <c r="B884" s="1"/>
      <c r="C884" s="1"/>
      <c r="D884" s="1"/>
      <c r="E884" s="1"/>
      <c r="F884" s="1"/>
      <c r="G884" s="1"/>
      <c r="H884" s="1"/>
      <c r="I884" s="1"/>
      <c r="J884" s="1"/>
      <c r="K884" s="1"/>
      <c r="L884" s="1"/>
      <c r="M884" s="1"/>
      <c r="N884" s="1"/>
      <c r="O884" s="1"/>
      <c r="P884" s="1"/>
      <c r="Q884" s="1"/>
    </row>
    <row r="885" spans="1:17" x14ac:dyDescent="0.2">
      <c r="A885" s="1"/>
      <c r="B885" s="1"/>
      <c r="C885" s="1"/>
      <c r="D885" s="1"/>
      <c r="E885" s="1"/>
      <c r="F885" s="1"/>
      <c r="G885" s="1"/>
      <c r="H885" s="1"/>
      <c r="I885" s="1"/>
      <c r="J885" s="1"/>
      <c r="K885" s="1"/>
      <c r="L885" s="1"/>
      <c r="M885" s="1"/>
      <c r="N885" s="1"/>
      <c r="O885" s="1"/>
      <c r="P885" s="1"/>
      <c r="Q885" s="1"/>
    </row>
    <row r="886" spans="1:17" x14ac:dyDescent="0.2">
      <c r="A886" s="1"/>
      <c r="B886" s="1"/>
      <c r="C886" s="1"/>
      <c r="D886" s="1"/>
      <c r="E886" s="1"/>
      <c r="F886" s="1"/>
      <c r="G886" s="1"/>
      <c r="H886" s="1"/>
      <c r="I886" s="1"/>
      <c r="J886" s="1"/>
      <c r="K886" s="1"/>
      <c r="L886" s="1"/>
      <c r="M886" s="1"/>
      <c r="N886" s="1"/>
      <c r="O886" s="1"/>
      <c r="P886" s="1"/>
      <c r="Q886" s="1"/>
    </row>
    <row r="887" spans="1:17" x14ac:dyDescent="0.2">
      <c r="A887" s="1"/>
      <c r="B887" s="1"/>
      <c r="C887" s="1"/>
      <c r="D887" s="1"/>
      <c r="E887" s="1"/>
      <c r="F887" s="1"/>
      <c r="G887" s="1"/>
      <c r="H887" s="1"/>
      <c r="I887" s="1"/>
      <c r="J887" s="1"/>
      <c r="K887" s="1"/>
      <c r="L887" s="1"/>
      <c r="M887" s="1"/>
      <c r="N887" s="1"/>
      <c r="O887" s="1"/>
      <c r="P887" s="1"/>
      <c r="Q887" s="1"/>
    </row>
    <row r="888" spans="1:17" x14ac:dyDescent="0.2">
      <c r="A888" s="1"/>
      <c r="B888" s="1"/>
      <c r="C888" s="1"/>
      <c r="D888" s="1"/>
      <c r="E888" s="1"/>
      <c r="F888" s="1"/>
      <c r="G888" s="1"/>
      <c r="H888" s="1"/>
      <c r="I888" s="1"/>
      <c r="J888" s="1"/>
      <c r="K888" s="1"/>
      <c r="L888" s="1"/>
      <c r="M888" s="1"/>
      <c r="N888" s="1"/>
      <c r="O888" s="1"/>
      <c r="P888" s="1"/>
      <c r="Q888" s="1"/>
    </row>
    <row r="889" spans="1:17" x14ac:dyDescent="0.2">
      <c r="A889" s="1"/>
      <c r="B889" s="1"/>
      <c r="C889" s="1"/>
      <c r="D889" s="1"/>
      <c r="E889" s="1"/>
      <c r="F889" s="1"/>
      <c r="G889" s="1"/>
      <c r="H889" s="1"/>
      <c r="I889" s="1"/>
      <c r="J889" s="1"/>
      <c r="K889" s="1"/>
      <c r="L889" s="1"/>
      <c r="M889" s="1"/>
      <c r="N889" s="1"/>
      <c r="O889" s="1"/>
      <c r="P889" s="1"/>
      <c r="Q889" s="1"/>
    </row>
    <row r="890" spans="1:17" x14ac:dyDescent="0.2">
      <c r="A890" s="1"/>
      <c r="B890" s="1"/>
      <c r="C890" s="1"/>
      <c r="D890" s="1"/>
      <c r="E890" s="1"/>
      <c r="F890" s="1"/>
      <c r="G890" s="1"/>
      <c r="H890" s="1"/>
      <c r="I890" s="1"/>
      <c r="J890" s="1"/>
      <c r="K890" s="1"/>
      <c r="L890" s="1"/>
      <c r="M890" s="1"/>
      <c r="N890" s="1"/>
      <c r="O890" s="1"/>
      <c r="P890" s="1"/>
      <c r="Q890" s="1"/>
    </row>
    <row r="891" spans="1:17" x14ac:dyDescent="0.2">
      <c r="A891" s="1"/>
      <c r="B891" s="1"/>
      <c r="C891" s="1"/>
      <c r="D891" s="1"/>
      <c r="E891" s="1"/>
      <c r="F891" s="1"/>
      <c r="G891" s="1"/>
      <c r="H891" s="1"/>
      <c r="I891" s="1"/>
      <c r="J891" s="1"/>
      <c r="K891" s="1"/>
      <c r="L891" s="1"/>
      <c r="M891" s="1"/>
      <c r="N891" s="1"/>
      <c r="O891" s="1"/>
      <c r="P891" s="1"/>
      <c r="Q891" s="1"/>
    </row>
    <row r="892" spans="1:17" x14ac:dyDescent="0.2">
      <c r="A892" s="1"/>
      <c r="B892" s="1"/>
      <c r="C892" s="1"/>
      <c r="D892" s="1"/>
      <c r="E892" s="1"/>
      <c r="F892" s="1"/>
      <c r="G892" s="1"/>
      <c r="H892" s="1"/>
      <c r="I892" s="1"/>
      <c r="J892" s="1"/>
      <c r="K892" s="1"/>
      <c r="L892" s="1"/>
      <c r="M892" s="1"/>
      <c r="N892" s="1"/>
      <c r="O892" s="1"/>
      <c r="P892" s="1"/>
      <c r="Q892" s="1"/>
    </row>
    <row r="893" spans="1:17" x14ac:dyDescent="0.2">
      <c r="A893" s="1"/>
      <c r="B893" s="1"/>
      <c r="C893" s="1"/>
      <c r="D893" s="1"/>
      <c r="E893" s="1"/>
      <c r="F893" s="1"/>
      <c r="G893" s="1"/>
      <c r="H893" s="1"/>
      <c r="I893" s="1"/>
      <c r="J893" s="1"/>
      <c r="K893" s="1"/>
      <c r="L893" s="1"/>
      <c r="M893" s="1"/>
      <c r="N893" s="1"/>
      <c r="O893" s="1"/>
      <c r="P893" s="1"/>
      <c r="Q893" s="1"/>
    </row>
    <row r="894" spans="1:17" x14ac:dyDescent="0.2">
      <c r="A894" s="1"/>
      <c r="B894" s="1"/>
      <c r="C894" s="1"/>
      <c r="D894" s="1"/>
      <c r="E894" s="1"/>
      <c r="F894" s="1"/>
      <c r="G894" s="1"/>
      <c r="H894" s="1"/>
      <c r="I894" s="1"/>
      <c r="J894" s="1"/>
      <c r="K894" s="1"/>
      <c r="L894" s="1"/>
      <c r="M894" s="1"/>
      <c r="N894" s="1"/>
      <c r="O894" s="1"/>
      <c r="P894" s="1"/>
      <c r="Q894" s="1"/>
    </row>
    <row r="895" spans="1:17" x14ac:dyDescent="0.2">
      <c r="A895" s="1"/>
      <c r="B895" s="1"/>
      <c r="C895" s="1"/>
      <c r="D895" s="1"/>
      <c r="E895" s="1"/>
      <c r="F895" s="1"/>
      <c r="G895" s="1"/>
      <c r="H895" s="1"/>
      <c r="I895" s="1"/>
      <c r="J895" s="1"/>
      <c r="K895" s="1"/>
      <c r="L895" s="1"/>
      <c r="M895" s="1"/>
      <c r="N895" s="1"/>
      <c r="O895" s="1"/>
      <c r="P895" s="1"/>
      <c r="Q895" s="1"/>
    </row>
    <row r="896" spans="1:17" x14ac:dyDescent="0.2">
      <c r="A896" s="1"/>
      <c r="B896" s="1"/>
      <c r="C896" s="1"/>
      <c r="D896" s="1"/>
      <c r="E896" s="1"/>
      <c r="F896" s="1"/>
      <c r="G896" s="1"/>
      <c r="H896" s="1"/>
      <c r="I896" s="1"/>
      <c r="J896" s="1"/>
      <c r="K896" s="1"/>
      <c r="L896" s="1"/>
      <c r="M896" s="1"/>
      <c r="N896" s="1"/>
      <c r="O896" s="1"/>
      <c r="P896" s="1"/>
      <c r="Q896" s="1"/>
    </row>
    <row r="897" spans="1:17" x14ac:dyDescent="0.2">
      <c r="A897" s="1"/>
      <c r="B897" s="1"/>
      <c r="C897" s="1"/>
      <c r="D897" s="1"/>
      <c r="E897" s="1"/>
      <c r="F897" s="1"/>
      <c r="G897" s="1"/>
      <c r="H897" s="1"/>
      <c r="I897" s="1"/>
      <c r="J897" s="1"/>
      <c r="K897" s="1"/>
      <c r="L897" s="1"/>
      <c r="M897" s="1"/>
      <c r="N897" s="1"/>
      <c r="O897" s="1"/>
      <c r="P897" s="1"/>
      <c r="Q897" s="1"/>
    </row>
    <row r="898" spans="1:17" x14ac:dyDescent="0.2">
      <c r="A898" s="1"/>
      <c r="B898" s="1"/>
      <c r="C898" s="1"/>
      <c r="D898" s="1"/>
      <c r="E898" s="1"/>
      <c r="F898" s="1"/>
      <c r="G898" s="1"/>
      <c r="H898" s="1"/>
      <c r="I898" s="1"/>
      <c r="J898" s="1"/>
      <c r="K898" s="1"/>
      <c r="L898" s="1"/>
      <c r="M898" s="1"/>
      <c r="N898" s="1"/>
      <c r="O898" s="1"/>
      <c r="P898" s="1"/>
      <c r="Q898" s="1"/>
    </row>
    <row r="899" spans="1:17" x14ac:dyDescent="0.2">
      <c r="A899" s="1"/>
      <c r="B899" s="1"/>
      <c r="C899" s="1"/>
      <c r="D899" s="1"/>
      <c r="E899" s="1"/>
      <c r="F899" s="1"/>
      <c r="G899" s="1"/>
      <c r="H899" s="1"/>
      <c r="I899" s="1"/>
      <c r="J899" s="1"/>
      <c r="K899" s="1"/>
      <c r="L899" s="1"/>
      <c r="M899" s="1"/>
      <c r="N899" s="1"/>
      <c r="O899" s="1"/>
      <c r="P899" s="1"/>
      <c r="Q899" s="1"/>
    </row>
    <row r="900" spans="1:17" x14ac:dyDescent="0.2">
      <c r="A900" s="1"/>
      <c r="B900" s="1"/>
      <c r="C900" s="1"/>
      <c r="D900" s="1"/>
      <c r="E900" s="1"/>
      <c r="F900" s="1"/>
      <c r="G900" s="1"/>
      <c r="H900" s="1"/>
      <c r="I900" s="1"/>
      <c r="J900" s="1"/>
      <c r="K900" s="1"/>
      <c r="L900" s="1"/>
      <c r="M900" s="1"/>
      <c r="N900" s="1"/>
      <c r="O900" s="1"/>
      <c r="P900" s="1"/>
      <c r="Q900" s="1"/>
    </row>
    <row r="901" spans="1:17" x14ac:dyDescent="0.2">
      <c r="A901" s="1"/>
      <c r="B901" s="1"/>
      <c r="C901" s="1"/>
      <c r="D901" s="1"/>
      <c r="E901" s="1"/>
      <c r="F901" s="1"/>
      <c r="G901" s="1"/>
      <c r="H901" s="1"/>
      <c r="I901" s="1"/>
      <c r="J901" s="1"/>
      <c r="K901" s="1"/>
      <c r="L901" s="1"/>
      <c r="M901" s="1"/>
      <c r="N901" s="1"/>
      <c r="O901" s="1"/>
      <c r="P901" s="1"/>
      <c r="Q901" s="1"/>
    </row>
    <row r="902" spans="1:17" x14ac:dyDescent="0.2">
      <c r="A902" s="1"/>
      <c r="B902" s="1"/>
      <c r="C902" s="1"/>
      <c r="D902" s="1"/>
      <c r="E902" s="1"/>
      <c r="F902" s="1"/>
      <c r="G902" s="1"/>
      <c r="H902" s="1"/>
      <c r="I902" s="1"/>
      <c r="J902" s="1"/>
      <c r="K902" s="1"/>
      <c r="L902" s="1"/>
      <c r="M902" s="1"/>
      <c r="N902" s="1"/>
      <c r="O902" s="1"/>
      <c r="P902" s="1"/>
      <c r="Q902" s="1"/>
    </row>
    <row r="903" spans="1:17" x14ac:dyDescent="0.2">
      <c r="A903" s="1"/>
      <c r="B903" s="1"/>
      <c r="C903" s="1"/>
      <c r="D903" s="1"/>
      <c r="E903" s="1"/>
      <c r="F903" s="1"/>
      <c r="G903" s="1"/>
      <c r="H903" s="1"/>
      <c r="I903" s="1"/>
      <c r="J903" s="1"/>
      <c r="K903" s="1"/>
      <c r="L903" s="1"/>
      <c r="M903" s="1"/>
      <c r="N903" s="1"/>
      <c r="O903" s="1"/>
      <c r="P903" s="1"/>
      <c r="Q903" s="1"/>
    </row>
    <row r="904" spans="1:17" x14ac:dyDescent="0.2">
      <c r="A904" s="1"/>
      <c r="B904" s="1"/>
      <c r="C904" s="1"/>
      <c r="D904" s="1"/>
      <c r="E904" s="1"/>
      <c r="F904" s="1"/>
      <c r="G904" s="1"/>
      <c r="H904" s="1"/>
      <c r="I904" s="1"/>
      <c r="J904" s="1"/>
      <c r="K904" s="1"/>
      <c r="L904" s="1"/>
      <c r="M904" s="1"/>
      <c r="N904" s="1"/>
      <c r="O904" s="1"/>
      <c r="P904" s="1"/>
      <c r="Q904" s="1"/>
    </row>
    <row r="905" spans="1:17" x14ac:dyDescent="0.2">
      <c r="A905" s="1"/>
      <c r="B905" s="1"/>
      <c r="C905" s="1"/>
      <c r="D905" s="1"/>
      <c r="E905" s="1"/>
      <c r="F905" s="1"/>
      <c r="G905" s="1"/>
      <c r="H905" s="1"/>
      <c r="I905" s="1"/>
      <c r="J905" s="1"/>
      <c r="K905" s="1"/>
      <c r="L905" s="1"/>
      <c r="M905" s="1"/>
      <c r="N905" s="1"/>
      <c r="O905" s="1"/>
      <c r="P905" s="1"/>
      <c r="Q905" s="1"/>
    </row>
    <row r="906" spans="1:17" x14ac:dyDescent="0.2">
      <c r="A906" s="1"/>
      <c r="B906" s="1"/>
      <c r="C906" s="1"/>
      <c r="D906" s="1"/>
      <c r="E906" s="1"/>
      <c r="F906" s="1"/>
      <c r="G906" s="1"/>
      <c r="H906" s="1"/>
      <c r="I906" s="1"/>
      <c r="J906" s="1"/>
      <c r="K906" s="1"/>
      <c r="L906" s="1"/>
      <c r="M906" s="1"/>
      <c r="N906" s="1"/>
      <c r="O906" s="1"/>
      <c r="P906" s="1"/>
      <c r="Q906" s="1"/>
    </row>
    <row r="907" spans="1:17" x14ac:dyDescent="0.2">
      <c r="A907" s="1"/>
      <c r="B907" s="1"/>
      <c r="C907" s="1"/>
      <c r="D907" s="1"/>
      <c r="E907" s="1"/>
      <c r="F907" s="1"/>
      <c r="G907" s="1"/>
      <c r="H907" s="1"/>
      <c r="I907" s="1"/>
      <c r="J907" s="1"/>
      <c r="K907" s="1"/>
      <c r="L907" s="1"/>
      <c r="M907" s="1"/>
      <c r="N907" s="1"/>
      <c r="O907" s="1"/>
      <c r="P907" s="1"/>
      <c r="Q907" s="1"/>
    </row>
    <row r="908" spans="1:17" x14ac:dyDescent="0.2">
      <c r="A908" s="1"/>
      <c r="B908" s="1"/>
      <c r="C908" s="1"/>
      <c r="D908" s="1"/>
      <c r="E908" s="1"/>
      <c r="F908" s="1"/>
      <c r="G908" s="1"/>
      <c r="H908" s="1"/>
      <c r="I908" s="1"/>
      <c r="J908" s="1"/>
      <c r="K908" s="1"/>
      <c r="L908" s="1"/>
      <c r="M908" s="1"/>
      <c r="N908" s="1"/>
      <c r="O908" s="1"/>
      <c r="P908" s="1"/>
      <c r="Q908" s="1"/>
    </row>
    <row r="909" spans="1:17" x14ac:dyDescent="0.2">
      <c r="A909" s="1"/>
      <c r="B909" s="1"/>
      <c r="C909" s="1"/>
      <c r="D909" s="1"/>
      <c r="E909" s="1"/>
      <c r="F909" s="1"/>
      <c r="G909" s="1"/>
      <c r="H909" s="1"/>
      <c r="I909" s="1"/>
      <c r="J909" s="1"/>
      <c r="K909" s="1"/>
      <c r="L909" s="1"/>
      <c r="M909" s="1"/>
      <c r="N909" s="1"/>
      <c r="O909" s="1"/>
      <c r="P909" s="1"/>
      <c r="Q909" s="1"/>
    </row>
    <row r="910" spans="1:17" x14ac:dyDescent="0.2">
      <c r="A910" s="1"/>
      <c r="B910" s="1"/>
      <c r="C910" s="1"/>
      <c r="D910" s="1"/>
      <c r="E910" s="1"/>
      <c r="F910" s="1"/>
      <c r="G910" s="1"/>
      <c r="H910" s="1"/>
      <c r="I910" s="1"/>
      <c r="J910" s="1"/>
      <c r="K910" s="1"/>
      <c r="L910" s="1"/>
      <c r="M910" s="1"/>
      <c r="N910" s="1"/>
      <c r="O910" s="1"/>
      <c r="P910" s="1"/>
      <c r="Q910" s="1"/>
    </row>
    <row r="911" spans="1:17" x14ac:dyDescent="0.2">
      <c r="A911" s="1"/>
      <c r="B911" s="1"/>
      <c r="C911" s="1"/>
      <c r="D911" s="1"/>
      <c r="E911" s="1"/>
      <c r="F911" s="1"/>
      <c r="G911" s="1"/>
      <c r="H911" s="1"/>
      <c r="I911" s="1"/>
      <c r="J911" s="1"/>
      <c r="K911" s="1"/>
      <c r="L911" s="1"/>
      <c r="M911" s="1"/>
      <c r="N911" s="1"/>
      <c r="O911" s="1"/>
      <c r="P911" s="1"/>
      <c r="Q911" s="1"/>
    </row>
    <row r="912" spans="1:17" x14ac:dyDescent="0.2">
      <c r="A912" s="1"/>
      <c r="B912" s="1"/>
      <c r="C912" s="1"/>
      <c r="D912" s="1"/>
      <c r="E912" s="1"/>
      <c r="F912" s="1"/>
      <c r="G912" s="1"/>
      <c r="H912" s="1"/>
      <c r="I912" s="1"/>
      <c r="J912" s="1"/>
      <c r="K912" s="1"/>
      <c r="L912" s="1"/>
      <c r="M912" s="1"/>
      <c r="N912" s="1"/>
      <c r="O912" s="1"/>
      <c r="P912" s="1"/>
      <c r="Q912" s="1"/>
    </row>
    <row r="913" spans="1:17" x14ac:dyDescent="0.2">
      <c r="A913" s="1"/>
      <c r="B913" s="1"/>
      <c r="C913" s="1"/>
      <c r="D913" s="1"/>
      <c r="E913" s="1"/>
      <c r="F913" s="1"/>
      <c r="G913" s="1"/>
      <c r="H913" s="1"/>
      <c r="I913" s="1"/>
      <c r="J913" s="1"/>
      <c r="K913" s="1"/>
      <c r="L913" s="1"/>
      <c r="M913" s="1"/>
      <c r="N913" s="1"/>
      <c r="O913" s="1"/>
      <c r="P913" s="1"/>
      <c r="Q913" s="1"/>
    </row>
    <row r="914" spans="1:17" x14ac:dyDescent="0.2">
      <c r="A914" s="1"/>
      <c r="B914" s="1"/>
      <c r="C914" s="1"/>
      <c r="D914" s="1"/>
      <c r="E914" s="1"/>
      <c r="F914" s="1"/>
      <c r="G914" s="1"/>
      <c r="H914" s="1"/>
      <c r="I914" s="1"/>
      <c r="J914" s="1"/>
      <c r="K914" s="1"/>
      <c r="L914" s="1"/>
      <c r="M914" s="1"/>
      <c r="N914" s="1"/>
      <c r="O914" s="1"/>
      <c r="P914" s="1"/>
      <c r="Q914" s="1"/>
    </row>
    <row r="915" spans="1:17" x14ac:dyDescent="0.2">
      <c r="A915" s="1"/>
      <c r="B915" s="1"/>
      <c r="C915" s="1"/>
      <c r="D915" s="1"/>
      <c r="E915" s="1"/>
      <c r="F915" s="1"/>
      <c r="G915" s="1"/>
      <c r="H915" s="1"/>
      <c r="I915" s="1"/>
      <c r="J915" s="1"/>
      <c r="K915" s="1"/>
      <c r="L915" s="1"/>
      <c r="M915" s="1"/>
      <c r="N915" s="1"/>
      <c r="O915" s="1"/>
      <c r="P915" s="1"/>
      <c r="Q915" s="1"/>
    </row>
    <row r="916" spans="1:17" x14ac:dyDescent="0.2">
      <c r="A916" s="1"/>
      <c r="B916" s="1"/>
      <c r="C916" s="1"/>
      <c r="D916" s="1"/>
      <c r="E916" s="1"/>
      <c r="F916" s="1"/>
      <c r="G916" s="1"/>
      <c r="H916" s="1"/>
      <c r="I916" s="1"/>
      <c r="J916" s="1"/>
      <c r="K916" s="1"/>
      <c r="L916" s="1"/>
      <c r="M916" s="1"/>
      <c r="N916" s="1"/>
      <c r="O916" s="1"/>
      <c r="P916" s="1"/>
      <c r="Q916" s="1"/>
    </row>
    <row r="917" spans="1:17" x14ac:dyDescent="0.2">
      <c r="A917" s="1"/>
      <c r="B917" s="1"/>
      <c r="C917" s="1"/>
      <c r="D917" s="1"/>
      <c r="E917" s="1"/>
      <c r="F917" s="1"/>
      <c r="G917" s="1"/>
      <c r="H917" s="1"/>
      <c r="I917" s="1"/>
      <c r="J917" s="1"/>
      <c r="K917" s="1"/>
      <c r="L917" s="1"/>
      <c r="M917" s="1"/>
      <c r="N917" s="1"/>
      <c r="O917" s="1"/>
      <c r="P917" s="1"/>
      <c r="Q917" s="1"/>
    </row>
    <row r="918" spans="1:17" x14ac:dyDescent="0.2">
      <c r="A918" s="1"/>
      <c r="B918" s="1"/>
      <c r="C918" s="1"/>
      <c r="D918" s="1"/>
      <c r="E918" s="1"/>
      <c r="F918" s="1"/>
      <c r="G918" s="1"/>
      <c r="H918" s="1"/>
      <c r="I918" s="1"/>
      <c r="J918" s="1"/>
      <c r="K918" s="1"/>
      <c r="L918" s="1"/>
      <c r="M918" s="1"/>
      <c r="N918" s="1"/>
      <c r="O918" s="1"/>
      <c r="P918" s="1"/>
      <c r="Q918" s="1"/>
    </row>
    <row r="919" spans="1:17" x14ac:dyDescent="0.2">
      <c r="A919" s="1"/>
      <c r="B919" s="1"/>
      <c r="C919" s="1"/>
      <c r="D919" s="1"/>
      <c r="E919" s="1"/>
      <c r="F919" s="1"/>
      <c r="G919" s="1"/>
      <c r="H919" s="1"/>
      <c r="I919" s="1"/>
      <c r="J919" s="1"/>
      <c r="K919" s="1"/>
      <c r="L919" s="1"/>
      <c r="M919" s="1"/>
      <c r="N919" s="1"/>
      <c r="O919" s="1"/>
      <c r="P919" s="1"/>
      <c r="Q919" s="1"/>
    </row>
    <row r="920" spans="1:17" x14ac:dyDescent="0.2">
      <c r="A920" s="1"/>
      <c r="B920" s="1"/>
      <c r="C920" s="1"/>
      <c r="D920" s="1"/>
      <c r="E920" s="1"/>
      <c r="F920" s="1"/>
      <c r="G920" s="1"/>
      <c r="H920" s="1"/>
      <c r="I920" s="1"/>
      <c r="J920" s="1"/>
      <c r="K920" s="1"/>
      <c r="L920" s="1"/>
      <c r="M920" s="1"/>
      <c r="N920" s="1"/>
      <c r="O920" s="1"/>
      <c r="P920" s="1"/>
      <c r="Q920" s="1"/>
    </row>
    <row r="921" spans="1:17" x14ac:dyDescent="0.2">
      <c r="A921" s="1"/>
      <c r="B921" s="1"/>
      <c r="C921" s="1"/>
      <c r="D921" s="1"/>
      <c r="E921" s="1"/>
      <c r="F921" s="1"/>
      <c r="G921" s="1"/>
      <c r="H921" s="1"/>
      <c r="I921" s="1"/>
      <c r="J921" s="1"/>
      <c r="K921" s="1"/>
      <c r="L921" s="1"/>
      <c r="M921" s="1"/>
      <c r="N921" s="1"/>
      <c r="O921" s="1"/>
      <c r="P921" s="1"/>
      <c r="Q921" s="1"/>
    </row>
    <row r="922" spans="1:17" x14ac:dyDescent="0.2">
      <c r="A922" s="1"/>
      <c r="B922" s="1"/>
      <c r="C922" s="1"/>
      <c r="D922" s="1"/>
      <c r="E922" s="1"/>
      <c r="F922" s="1"/>
      <c r="G922" s="1"/>
      <c r="H922" s="1"/>
      <c r="I922" s="1"/>
      <c r="J922" s="1"/>
      <c r="K922" s="1"/>
      <c r="L922" s="1"/>
      <c r="M922" s="1"/>
      <c r="N922" s="1"/>
      <c r="O922" s="1"/>
      <c r="P922" s="1"/>
      <c r="Q922" s="1"/>
    </row>
    <row r="923" spans="1:17" x14ac:dyDescent="0.2">
      <c r="A923" s="1"/>
      <c r="B923" s="1"/>
      <c r="C923" s="1"/>
      <c r="D923" s="1"/>
      <c r="E923" s="1"/>
      <c r="F923" s="1"/>
      <c r="G923" s="1"/>
      <c r="H923" s="1"/>
      <c r="I923" s="1"/>
      <c r="J923" s="1"/>
      <c r="K923" s="1"/>
      <c r="L923" s="1"/>
      <c r="M923" s="1"/>
      <c r="N923" s="1"/>
      <c r="O923" s="1"/>
      <c r="P923" s="1"/>
      <c r="Q923" s="1"/>
    </row>
    <row r="924" spans="1:17" x14ac:dyDescent="0.2">
      <c r="A924" s="1"/>
      <c r="B924" s="1"/>
      <c r="C924" s="1"/>
      <c r="D924" s="1"/>
      <c r="E924" s="1"/>
      <c r="F924" s="1"/>
      <c r="G924" s="1"/>
      <c r="H924" s="1"/>
      <c r="I924" s="1"/>
      <c r="J924" s="1"/>
      <c r="K924" s="1"/>
      <c r="L924" s="1"/>
      <c r="M924" s="1"/>
      <c r="N924" s="1"/>
      <c r="O924" s="1"/>
      <c r="P924" s="1"/>
      <c r="Q924" s="1"/>
    </row>
    <row r="925" spans="1:17" x14ac:dyDescent="0.2">
      <c r="A925" s="1"/>
      <c r="B925" s="1"/>
      <c r="C925" s="1"/>
      <c r="D925" s="1"/>
      <c r="E925" s="1"/>
      <c r="F925" s="1"/>
      <c r="G925" s="1"/>
      <c r="H925" s="1"/>
      <c r="I925" s="1"/>
      <c r="J925" s="1"/>
      <c r="K925" s="1"/>
      <c r="L925" s="1"/>
      <c r="M925" s="1"/>
      <c r="N925" s="1"/>
      <c r="O925" s="1"/>
      <c r="P925" s="1"/>
      <c r="Q925" s="1"/>
    </row>
    <row r="926" spans="1:17" x14ac:dyDescent="0.2">
      <c r="A926" s="1"/>
      <c r="B926" s="1"/>
      <c r="C926" s="1"/>
      <c r="D926" s="1"/>
      <c r="E926" s="1"/>
      <c r="F926" s="1"/>
      <c r="G926" s="1"/>
      <c r="H926" s="1"/>
      <c r="I926" s="1"/>
      <c r="J926" s="1"/>
      <c r="K926" s="1"/>
      <c r="L926" s="1"/>
      <c r="M926" s="1"/>
      <c r="N926" s="1"/>
      <c r="O926" s="1"/>
      <c r="P926" s="1"/>
      <c r="Q926" s="1"/>
    </row>
    <row r="927" spans="1:17" x14ac:dyDescent="0.2">
      <c r="A927" s="1"/>
      <c r="B927" s="1"/>
      <c r="C927" s="1"/>
      <c r="D927" s="1"/>
      <c r="E927" s="1"/>
      <c r="F927" s="1"/>
      <c r="G927" s="1"/>
      <c r="H927" s="1"/>
      <c r="I927" s="1"/>
      <c r="J927" s="1"/>
      <c r="K927" s="1"/>
      <c r="L927" s="1"/>
      <c r="M927" s="1"/>
      <c r="N927" s="1"/>
      <c r="O927" s="1"/>
      <c r="P927" s="1"/>
      <c r="Q927" s="1"/>
    </row>
    <row r="928" spans="1:17" x14ac:dyDescent="0.2">
      <c r="A928" s="1"/>
      <c r="B928" s="1"/>
      <c r="C928" s="1"/>
      <c r="D928" s="1"/>
      <c r="E928" s="1"/>
      <c r="F928" s="1"/>
      <c r="G928" s="1"/>
      <c r="H928" s="1"/>
      <c r="I928" s="1"/>
      <c r="J928" s="1"/>
      <c r="K928" s="1"/>
      <c r="L928" s="1"/>
      <c r="M928" s="1"/>
      <c r="N928" s="1"/>
      <c r="O928" s="1"/>
      <c r="P928" s="1"/>
      <c r="Q928" s="1"/>
    </row>
    <row r="929" spans="1:17" x14ac:dyDescent="0.2">
      <c r="A929" s="1"/>
      <c r="B929" s="1"/>
      <c r="C929" s="1"/>
      <c r="D929" s="1"/>
      <c r="E929" s="1"/>
      <c r="F929" s="1"/>
      <c r="G929" s="1"/>
      <c r="H929" s="1"/>
      <c r="I929" s="1"/>
      <c r="J929" s="1"/>
      <c r="K929" s="1"/>
      <c r="L929" s="1"/>
      <c r="M929" s="1"/>
      <c r="N929" s="1"/>
      <c r="O929" s="1"/>
      <c r="P929" s="1"/>
      <c r="Q929" s="1"/>
    </row>
    <row r="930" spans="1:17" x14ac:dyDescent="0.2">
      <c r="A930" s="1"/>
      <c r="B930" s="1"/>
      <c r="C930" s="1"/>
      <c r="D930" s="1"/>
      <c r="E930" s="1"/>
      <c r="F930" s="1"/>
      <c r="G930" s="1"/>
      <c r="H930" s="1"/>
      <c r="I930" s="1"/>
      <c r="J930" s="1"/>
      <c r="K930" s="1"/>
      <c r="L930" s="1"/>
      <c r="M930" s="1"/>
      <c r="N930" s="1"/>
      <c r="O930" s="1"/>
      <c r="P930" s="1"/>
      <c r="Q930" s="1"/>
    </row>
    <row r="931" spans="1:17" x14ac:dyDescent="0.2">
      <c r="A931" s="1"/>
      <c r="B931" s="1"/>
      <c r="C931" s="1"/>
      <c r="D931" s="1"/>
      <c r="E931" s="1"/>
      <c r="F931" s="1"/>
      <c r="G931" s="1"/>
      <c r="H931" s="1"/>
      <c r="I931" s="1"/>
      <c r="J931" s="1"/>
      <c r="K931" s="1"/>
      <c r="L931" s="1"/>
      <c r="M931" s="1"/>
      <c r="N931" s="1"/>
      <c r="O931" s="1"/>
      <c r="P931" s="1"/>
      <c r="Q931" s="1"/>
    </row>
    <row r="932" spans="1:17" x14ac:dyDescent="0.2">
      <c r="A932" s="1"/>
      <c r="B932" s="1"/>
      <c r="C932" s="1"/>
      <c r="D932" s="1"/>
      <c r="E932" s="1"/>
      <c r="F932" s="1"/>
      <c r="G932" s="1"/>
      <c r="H932" s="1"/>
      <c r="I932" s="1"/>
      <c r="J932" s="1"/>
      <c r="K932" s="1"/>
      <c r="L932" s="1"/>
      <c r="M932" s="1"/>
      <c r="N932" s="1"/>
      <c r="O932" s="1"/>
      <c r="P932" s="1"/>
      <c r="Q932" s="1"/>
    </row>
    <row r="933" spans="1:17" x14ac:dyDescent="0.2">
      <c r="A933" s="1"/>
      <c r="B933" s="1"/>
      <c r="C933" s="1"/>
      <c r="D933" s="1"/>
      <c r="E933" s="1"/>
      <c r="F933" s="1"/>
      <c r="G933" s="1"/>
      <c r="H933" s="1"/>
      <c r="I933" s="1"/>
      <c r="J933" s="1"/>
      <c r="K933" s="1"/>
      <c r="L933" s="1"/>
      <c r="M933" s="1"/>
      <c r="N933" s="1"/>
      <c r="O933" s="1"/>
      <c r="P933" s="1"/>
      <c r="Q933" s="1"/>
    </row>
    <row r="934" spans="1:17" x14ac:dyDescent="0.2">
      <c r="A934" s="1"/>
      <c r="B934" s="1"/>
      <c r="C934" s="1"/>
      <c r="D934" s="1"/>
      <c r="E934" s="1"/>
      <c r="F934" s="1"/>
      <c r="G934" s="1"/>
      <c r="H934" s="1"/>
      <c r="I934" s="1"/>
      <c r="J934" s="1"/>
      <c r="K934" s="1"/>
      <c r="L934" s="1"/>
      <c r="M934" s="1"/>
      <c r="N934" s="1"/>
      <c r="O934" s="1"/>
      <c r="P934" s="1"/>
      <c r="Q934" s="1"/>
    </row>
    <row r="935" spans="1:17" x14ac:dyDescent="0.2">
      <c r="A935" s="1"/>
      <c r="B935" s="1"/>
      <c r="C935" s="1"/>
      <c r="D935" s="1"/>
      <c r="E935" s="1"/>
      <c r="F935" s="1"/>
      <c r="G935" s="1"/>
      <c r="H935" s="1"/>
      <c r="I935" s="1"/>
      <c r="J935" s="1"/>
      <c r="K935" s="1"/>
      <c r="L935" s="1"/>
      <c r="M935" s="1"/>
      <c r="N935" s="1"/>
      <c r="O935" s="1"/>
      <c r="P935" s="1"/>
      <c r="Q935" s="1"/>
    </row>
    <row r="936" spans="1:17" x14ac:dyDescent="0.2">
      <c r="A936" s="1"/>
      <c r="B936" s="1"/>
      <c r="C936" s="1"/>
      <c r="D936" s="1"/>
      <c r="E936" s="1"/>
      <c r="F936" s="1"/>
      <c r="G936" s="1"/>
      <c r="H936" s="1"/>
      <c r="I936" s="1"/>
      <c r="J936" s="1"/>
      <c r="K936" s="1"/>
      <c r="L936" s="1"/>
      <c r="M936" s="1"/>
      <c r="N936" s="1"/>
      <c r="O936" s="1"/>
      <c r="P936" s="1"/>
      <c r="Q936" s="1"/>
    </row>
    <row r="937" spans="1:17" x14ac:dyDescent="0.2">
      <c r="A937" s="1"/>
      <c r="B937" s="1"/>
      <c r="C937" s="1"/>
      <c r="D937" s="1"/>
      <c r="E937" s="1"/>
      <c r="F937" s="1"/>
      <c r="G937" s="1"/>
      <c r="H937" s="1"/>
      <c r="I937" s="1"/>
      <c r="J937" s="1"/>
      <c r="K937" s="1"/>
      <c r="L937" s="1"/>
      <c r="M937" s="1"/>
      <c r="N937" s="1"/>
      <c r="O937" s="1"/>
      <c r="P937" s="1"/>
      <c r="Q937" s="1"/>
    </row>
    <row r="938" spans="1:17" x14ac:dyDescent="0.2">
      <c r="A938" s="1"/>
      <c r="B938" s="1"/>
      <c r="C938" s="1"/>
      <c r="D938" s="1"/>
      <c r="E938" s="1"/>
      <c r="F938" s="1"/>
      <c r="G938" s="1"/>
      <c r="H938" s="1"/>
      <c r="I938" s="1"/>
      <c r="J938" s="1"/>
      <c r="K938" s="1"/>
      <c r="L938" s="1"/>
      <c r="M938" s="1"/>
      <c r="N938" s="1"/>
      <c r="O938" s="1"/>
      <c r="P938" s="1"/>
      <c r="Q938" s="1"/>
    </row>
    <row r="939" spans="1:17" x14ac:dyDescent="0.2">
      <c r="A939" s="1"/>
      <c r="B939" s="1"/>
      <c r="C939" s="1"/>
      <c r="D939" s="1"/>
      <c r="E939" s="1"/>
      <c r="F939" s="1"/>
      <c r="G939" s="1"/>
      <c r="H939" s="1"/>
      <c r="I939" s="1"/>
      <c r="J939" s="1"/>
      <c r="K939" s="1"/>
      <c r="L939" s="1"/>
      <c r="M939" s="1"/>
      <c r="N939" s="1"/>
      <c r="O939" s="1"/>
      <c r="P939" s="1"/>
      <c r="Q939" s="1"/>
    </row>
    <row r="940" spans="1:17" x14ac:dyDescent="0.2">
      <c r="A940" s="1"/>
      <c r="B940" s="1"/>
      <c r="C940" s="1"/>
      <c r="D940" s="1"/>
      <c r="E940" s="1"/>
      <c r="F940" s="1"/>
      <c r="G940" s="1"/>
      <c r="H940" s="1"/>
      <c r="I940" s="1"/>
      <c r="J940" s="1"/>
      <c r="K940" s="1"/>
      <c r="L940" s="1"/>
      <c r="M940" s="1"/>
      <c r="N940" s="1"/>
      <c r="O940" s="1"/>
      <c r="P940" s="1"/>
      <c r="Q940" s="1"/>
    </row>
    <row r="941" spans="1:17" x14ac:dyDescent="0.2">
      <c r="A941" s="1"/>
      <c r="B941" s="1"/>
      <c r="C941" s="1"/>
      <c r="D941" s="1"/>
      <c r="E941" s="1"/>
      <c r="F941" s="1"/>
      <c r="G941" s="1"/>
      <c r="H941" s="1"/>
      <c r="I941" s="1"/>
      <c r="J941" s="1"/>
      <c r="K941" s="1"/>
      <c r="L941" s="1"/>
      <c r="M941" s="1"/>
      <c r="N941" s="1"/>
      <c r="O941" s="1"/>
      <c r="P941" s="1"/>
      <c r="Q941" s="1"/>
    </row>
    <row r="942" spans="1:17" x14ac:dyDescent="0.2">
      <c r="A942" s="1"/>
      <c r="B942" s="1"/>
      <c r="C942" s="1"/>
      <c r="D942" s="1"/>
      <c r="E942" s="1"/>
      <c r="F942" s="1"/>
      <c r="G942" s="1"/>
      <c r="H942" s="1"/>
      <c r="I942" s="1"/>
      <c r="J942" s="1"/>
      <c r="K942" s="1"/>
      <c r="L942" s="1"/>
      <c r="M942" s="1"/>
      <c r="N942" s="1"/>
      <c r="O942" s="1"/>
      <c r="P942" s="1"/>
      <c r="Q942" s="1"/>
    </row>
    <row r="943" spans="1:17" x14ac:dyDescent="0.2">
      <c r="A943" s="1"/>
      <c r="B943" s="1"/>
      <c r="C943" s="1"/>
      <c r="D943" s="1"/>
      <c r="E943" s="1"/>
      <c r="F943" s="1"/>
      <c r="G943" s="1"/>
      <c r="H943" s="1"/>
      <c r="I943" s="1"/>
      <c r="J943" s="1"/>
      <c r="K943" s="1"/>
      <c r="L943" s="1"/>
      <c r="M943" s="1"/>
      <c r="N943" s="1"/>
      <c r="O943" s="1"/>
      <c r="P943" s="1"/>
      <c r="Q943" s="1"/>
    </row>
    <row r="944" spans="1:17" x14ac:dyDescent="0.2">
      <c r="A944" s="1"/>
      <c r="B944" s="1"/>
      <c r="C944" s="1"/>
      <c r="D944" s="1"/>
      <c r="E944" s="1"/>
      <c r="F944" s="1"/>
      <c r="G944" s="1"/>
      <c r="H944" s="1"/>
      <c r="I944" s="1"/>
      <c r="J944" s="1"/>
      <c r="K944" s="1"/>
      <c r="L944" s="1"/>
      <c r="M944" s="1"/>
      <c r="N944" s="1"/>
      <c r="O944" s="1"/>
      <c r="P944" s="1"/>
      <c r="Q944" s="1"/>
    </row>
    <row r="945" spans="1:17" x14ac:dyDescent="0.2">
      <c r="A945" s="1"/>
      <c r="B945" s="1"/>
      <c r="C945" s="1"/>
      <c r="D945" s="1"/>
      <c r="E945" s="1"/>
      <c r="F945" s="1"/>
      <c r="G945" s="1"/>
      <c r="H945" s="1"/>
      <c r="I945" s="1"/>
      <c r="J945" s="1"/>
      <c r="K945" s="1"/>
      <c r="L945" s="1"/>
      <c r="M945" s="1"/>
      <c r="N945" s="1"/>
      <c r="O945" s="1"/>
      <c r="P945" s="1"/>
      <c r="Q945" s="1"/>
    </row>
    <row r="946" spans="1:17" x14ac:dyDescent="0.2">
      <c r="A946" s="1"/>
      <c r="B946" s="1"/>
      <c r="C946" s="1"/>
      <c r="D946" s="1"/>
      <c r="E946" s="1"/>
      <c r="F946" s="1"/>
      <c r="G946" s="1"/>
      <c r="H946" s="1"/>
      <c r="I946" s="1"/>
      <c r="J946" s="1"/>
      <c r="K946" s="1"/>
      <c r="L946" s="1"/>
      <c r="M946" s="1"/>
      <c r="N946" s="1"/>
      <c r="O946" s="1"/>
      <c r="P946" s="1"/>
      <c r="Q946" s="1"/>
    </row>
    <row r="947" spans="1:17" x14ac:dyDescent="0.2">
      <c r="A947" s="1"/>
      <c r="B947" s="1"/>
      <c r="C947" s="1"/>
      <c r="D947" s="1"/>
      <c r="E947" s="1"/>
      <c r="F947" s="1"/>
      <c r="G947" s="1"/>
      <c r="H947" s="1"/>
      <c r="I947" s="1"/>
      <c r="J947" s="1"/>
      <c r="K947" s="1"/>
      <c r="L947" s="1"/>
      <c r="M947" s="1"/>
      <c r="N947" s="1"/>
      <c r="O947" s="1"/>
      <c r="P947" s="1"/>
      <c r="Q947" s="1"/>
    </row>
    <row r="948" spans="1:17" x14ac:dyDescent="0.2">
      <c r="A948" s="1"/>
      <c r="B948" s="1"/>
      <c r="C948" s="1"/>
      <c r="D948" s="1"/>
      <c r="E948" s="1"/>
      <c r="F948" s="1"/>
      <c r="G948" s="1"/>
      <c r="H948" s="1"/>
      <c r="I948" s="1"/>
      <c r="J948" s="1"/>
      <c r="K948" s="1"/>
      <c r="L948" s="1"/>
      <c r="M948" s="1"/>
      <c r="N948" s="1"/>
      <c r="O948" s="1"/>
      <c r="P948" s="1"/>
      <c r="Q948" s="1"/>
    </row>
    <row r="949" spans="1:17" x14ac:dyDescent="0.2">
      <c r="A949" s="1"/>
      <c r="B949" s="1"/>
      <c r="C949" s="1"/>
      <c r="D949" s="1"/>
      <c r="E949" s="1"/>
      <c r="F949" s="1"/>
      <c r="G949" s="1"/>
      <c r="H949" s="1"/>
      <c r="I949" s="1"/>
      <c r="J949" s="1"/>
      <c r="K949" s="1"/>
      <c r="L949" s="1"/>
      <c r="M949" s="1"/>
      <c r="N949" s="1"/>
      <c r="O949" s="1"/>
      <c r="P949" s="1"/>
      <c r="Q949" s="1"/>
    </row>
    <row r="950" spans="1:17" x14ac:dyDescent="0.2">
      <c r="A950" s="1"/>
      <c r="B950" s="1"/>
      <c r="C950" s="1"/>
      <c r="D950" s="1"/>
      <c r="E950" s="1"/>
      <c r="F950" s="1"/>
      <c r="G950" s="1"/>
      <c r="H950" s="1"/>
      <c r="I950" s="1"/>
      <c r="J950" s="1"/>
      <c r="K950" s="1"/>
      <c r="L950" s="1"/>
      <c r="M950" s="1"/>
      <c r="N950" s="1"/>
      <c r="O950" s="1"/>
      <c r="P950" s="1"/>
      <c r="Q950" s="1"/>
    </row>
    <row r="951" spans="1:17" x14ac:dyDescent="0.2">
      <c r="A951" s="1"/>
      <c r="B951" s="1"/>
      <c r="C951" s="1"/>
      <c r="D951" s="1"/>
      <c r="E951" s="1"/>
      <c r="F951" s="1"/>
      <c r="G951" s="1"/>
      <c r="H951" s="1"/>
      <c r="I951" s="1"/>
      <c r="J951" s="1"/>
      <c r="K951" s="1"/>
      <c r="L951" s="1"/>
      <c r="M951" s="1"/>
      <c r="N951" s="1"/>
      <c r="O951" s="1"/>
      <c r="P951" s="1"/>
      <c r="Q951" s="1"/>
    </row>
    <row r="952" spans="1:17" x14ac:dyDescent="0.2">
      <c r="A952" s="1"/>
      <c r="B952" s="1"/>
      <c r="C952" s="1"/>
      <c r="D952" s="1"/>
      <c r="E952" s="1"/>
      <c r="F952" s="1"/>
      <c r="G952" s="1"/>
      <c r="H952" s="1"/>
      <c r="I952" s="1"/>
      <c r="J952" s="1"/>
      <c r="K952" s="1"/>
      <c r="L952" s="1"/>
      <c r="M952" s="1"/>
      <c r="N952" s="1"/>
      <c r="O952" s="1"/>
      <c r="P952" s="1"/>
      <c r="Q952" s="1"/>
    </row>
    <row r="953" spans="1:17" x14ac:dyDescent="0.2">
      <c r="A953" s="1"/>
      <c r="B953" s="1"/>
      <c r="C953" s="1"/>
      <c r="D953" s="1"/>
      <c r="E953" s="1"/>
      <c r="F953" s="1"/>
      <c r="G953" s="1"/>
      <c r="H953" s="1"/>
      <c r="I953" s="1"/>
      <c r="J953" s="1"/>
      <c r="K953" s="1"/>
      <c r="L953" s="1"/>
      <c r="M953" s="1"/>
      <c r="N953" s="1"/>
      <c r="O953" s="1"/>
      <c r="P953" s="1"/>
      <c r="Q953" s="1"/>
    </row>
    <row r="954" spans="1:17" x14ac:dyDescent="0.2">
      <c r="A954" s="1"/>
      <c r="B954" s="1"/>
      <c r="C954" s="1"/>
      <c r="D954" s="1"/>
      <c r="E954" s="1"/>
      <c r="F954" s="1"/>
      <c r="G954" s="1"/>
      <c r="H954" s="1"/>
      <c r="I954" s="1"/>
      <c r="J954" s="1"/>
      <c r="K954" s="1"/>
      <c r="L954" s="1"/>
      <c r="M954" s="1"/>
      <c r="N954" s="1"/>
      <c r="O954" s="1"/>
      <c r="P954" s="1"/>
      <c r="Q954" s="1"/>
    </row>
    <row r="955" spans="1:17" x14ac:dyDescent="0.2">
      <c r="A955" s="1"/>
      <c r="B955" s="1"/>
      <c r="C955" s="1"/>
      <c r="D955" s="1"/>
      <c r="E955" s="1"/>
      <c r="F955" s="1"/>
      <c r="G955" s="1"/>
      <c r="H955" s="1"/>
      <c r="I955" s="1"/>
      <c r="J955" s="1"/>
      <c r="K955" s="1"/>
      <c r="L955" s="1"/>
      <c r="M955" s="1"/>
      <c r="N955" s="1"/>
      <c r="O955" s="1"/>
      <c r="P955" s="1"/>
      <c r="Q955" s="1"/>
    </row>
    <row r="956" spans="1:17" x14ac:dyDescent="0.2">
      <c r="A956" s="1"/>
      <c r="B956" s="1"/>
      <c r="C956" s="1"/>
      <c r="D956" s="1"/>
      <c r="E956" s="1"/>
      <c r="F956" s="1"/>
      <c r="G956" s="1"/>
      <c r="H956" s="1"/>
      <c r="I956" s="1"/>
      <c r="J956" s="1"/>
      <c r="K956" s="1"/>
      <c r="L956" s="1"/>
      <c r="M956" s="1"/>
      <c r="N956" s="1"/>
      <c r="O956" s="1"/>
      <c r="P956" s="1"/>
      <c r="Q956" s="1"/>
    </row>
    <row r="957" spans="1:17" x14ac:dyDescent="0.2">
      <c r="A957" s="1"/>
      <c r="B957" s="1"/>
      <c r="C957" s="1"/>
      <c r="D957" s="1"/>
      <c r="E957" s="1"/>
      <c r="F957" s="1"/>
      <c r="G957" s="1"/>
      <c r="H957" s="1"/>
      <c r="I957" s="1"/>
      <c r="J957" s="1"/>
      <c r="K957" s="1"/>
      <c r="L957" s="1"/>
      <c r="M957" s="1"/>
      <c r="N957" s="1"/>
      <c r="O957" s="1"/>
      <c r="P957" s="1"/>
      <c r="Q957" s="1"/>
    </row>
    <row r="958" spans="1:17" x14ac:dyDescent="0.2">
      <c r="A958" s="1"/>
      <c r="B958" s="1"/>
      <c r="C958" s="1"/>
      <c r="D958" s="1"/>
      <c r="E958" s="1"/>
      <c r="F958" s="1"/>
      <c r="G958" s="1"/>
      <c r="H958" s="1"/>
      <c r="I958" s="1"/>
      <c r="J958" s="1"/>
      <c r="K958" s="1"/>
      <c r="L958" s="1"/>
      <c r="M958" s="1"/>
      <c r="N958" s="1"/>
      <c r="O958" s="1"/>
      <c r="P958" s="1"/>
      <c r="Q958" s="1"/>
    </row>
    <row r="959" spans="1:17" x14ac:dyDescent="0.2">
      <c r="A959" s="1"/>
      <c r="B959" s="1"/>
      <c r="C959" s="1"/>
      <c r="D959" s="1"/>
      <c r="E959" s="1"/>
      <c r="F959" s="1"/>
      <c r="G959" s="1"/>
      <c r="H959" s="1"/>
      <c r="I959" s="1"/>
      <c r="J959" s="1"/>
      <c r="K959" s="1"/>
      <c r="L959" s="1"/>
      <c r="M959" s="1"/>
      <c r="N959" s="1"/>
      <c r="O959" s="1"/>
      <c r="P959" s="1"/>
      <c r="Q959" s="1"/>
    </row>
    <row r="960" spans="1:17" x14ac:dyDescent="0.2">
      <c r="A960" s="1"/>
      <c r="B960" s="1"/>
      <c r="C960" s="1"/>
      <c r="D960" s="1"/>
      <c r="E960" s="1"/>
      <c r="F960" s="1"/>
      <c r="G960" s="1"/>
      <c r="H960" s="1"/>
      <c r="I960" s="1"/>
      <c r="J960" s="1"/>
      <c r="K960" s="1"/>
      <c r="L960" s="1"/>
      <c r="M960" s="1"/>
      <c r="N960" s="1"/>
      <c r="O960" s="1"/>
      <c r="P960" s="1"/>
      <c r="Q960" s="1"/>
    </row>
    <row r="961" spans="1:17" x14ac:dyDescent="0.2">
      <c r="A961" s="1"/>
      <c r="B961" s="1"/>
      <c r="C961" s="1"/>
      <c r="D961" s="1"/>
      <c r="E961" s="1"/>
      <c r="F961" s="1"/>
      <c r="G961" s="1"/>
      <c r="H961" s="1"/>
      <c r="I961" s="1"/>
      <c r="J961" s="1"/>
      <c r="K961" s="1"/>
      <c r="L961" s="1"/>
      <c r="M961" s="1"/>
      <c r="N961" s="1"/>
      <c r="O961" s="1"/>
      <c r="P961" s="1"/>
      <c r="Q961" s="1"/>
    </row>
    <row r="962" spans="1:17" x14ac:dyDescent="0.2">
      <c r="A962" s="1"/>
      <c r="B962" s="1"/>
      <c r="C962" s="1"/>
      <c r="D962" s="1"/>
      <c r="E962" s="1"/>
      <c r="F962" s="1"/>
      <c r="G962" s="1"/>
      <c r="H962" s="1"/>
      <c r="I962" s="1"/>
      <c r="J962" s="1"/>
      <c r="K962" s="1"/>
      <c r="L962" s="1"/>
      <c r="M962" s="1"/>
      <c r="N962" s="1"/>
      <c r="O962" s="1"/>
      <c r="P962" s="1"/>
      <c r="Q962" s="1"/>
    </row>
    <row r="963" spans="1:17" x14ac:dyDescent="0.2">
      <c r="A963" s="1"/>
      <c r="B963" s="1"/>
      <c r="C963" s="1"/>
      <c r="D963" s="1"/>
      <c r="E963" s="1"/>
      <c r="F963" s="1"/>
      <c r="G963" s="1"/>
      <c r="H963" s="1"/>
      <c r="I963" s="1"/>
      <c r="J963" s="1"/>
      <c r="K963" s="1"/>
      <c r="L963" s="1"/>
      <c r="M963" s="1"/>
      <c r="N963" s="1"/>
      <c r="O963" s="1"/>
      <c r="P963" s="1"/>
      <c r="Q963" s="1"/>
    </row>
    <row r="964" spans="1:17" x14ac:dyDescent="0.2">
      <c r="A964" s="1"/>
      <c r="B964" s="1"/>
      <c r="C964" s="1"/>
      <c r="D964" s="1"/>
      <c r="E964" s="1"/>
      <c r="F964" s="1"/>
      <c r="G964" s="1"/>
      <c r="H964" s="1"/>
      <c r="I964" s="1"/>
      <c r="J964" s="1"/>
      <c r="K964" s="1"/>
      <c r="L964" s="1"/>
      <c r="M964" s="1"/>
      <c r="N964" s="1"/>
      <c r="O964" s="1"/>
      <c r="P964" s="1"/>
      <c r="Q964" s="1"/>
    </row>
    <row r="965" spans="1:17" x14ac:dyDescent="0.2">
      <c r="A965" s="1"/>
      <c r="B965" s="1"/>
      <c r="C965" s="1"/>
      <c r="D965" s="1"/>
      <c r="E965" s="1"/>
      <c r="F965" s="1"/>
      <c r="G965" s="1"/>
      <c r="H965" s="1"/>
      <c r="I965" s="1"/>
      <c r="J965" s="1"/>
      <c r="K965" s="1"/>
      <c r="L965" s="1"/>
      <c r="M965" s="1"/>
      <c r="N965" s="1"/>
      <c r="O965" s="1"/>
      <c r="P965" s="1"/>
      <c r="Q965" s="1"/>
    </row>
    <row r="966" spans="1:17" x14ac:dyDescent="0.2">
      <c r="A966" s="1"/>
      <c r="B966" s="1"/>
      <c r="C966" s="1"/>
      <c r="D966" s="1"/>
      <c r="E966" s="1"/>
      <c r="F966" s="1"/>
      <c r="G966" s="1"/>
      <c r="H966" s="1"/>
      <c r="I966" s="1"/>
      <c r="J966" s="1"/>
      <c r="K966" s="1"/>
      <c r="L966" s="1"/>
      <c r="M966" s="1"/>
      <c r="N966" s="1"/>
      <c r="O966" s="1"/>
      <c r="P966" s="1"/>
      <c r="Q966" s="1"/>
    </row>
    <row r="967" spans="1:17" x14ac:dyDescent="0.2">
      <c r="A967" s="1"/>
      <c r="B967" s="1"/>
      <c r="C967" s="1"/>
      <c r="D967" s="1"/>
      <c r="E967" s="1"/>
      <c r="F967" s="1"/>
      <c r="G967" s="1"/>
      <c r="H967" s="1"/>
      <c r="I967" s="1"/>
      <c r="J967" s="1"/>
      <c r="K967" s="1"/>
      <c r="L967" s="1"/>
      <c r="M967" s="1"/>
      <c r="N967" s="1"/>
      <c r="O967" s="1"/>
      <c r="P967" s="1"/>
      <c r="Q967" s="1"/>
    </row>
    <row r="968" spans="1:17" x14ac:dyDescent="0.2">
      <c r="A968" s="1"/>
      <c r="B968" s="1"/>
      <c r="C968" s="1"/>
      <c r="D968" s="1"/>
      <c r="E968" s="1"/>
      <c r="F968" s="1"/>
      <c r="G968" s="1"/>
      <c r="H968" s="1"/>
      <c r="I968" s="1"/>
      <c r="J968" s="1"/>
      <c r="K968" s="1"/>
      <c r="L968" s="1"/>
      <c r="M968" s="1"/>
      <c r="N968" s="1"/>
      <c r="O968" s="1"/>
      <c r="P968" s="1"/>
      <c r="Q968" s="1"/>
    </row>
    <row r="969" spans="1:17" x14ac:dyDescent="0.2">
      <c r="A969" s="1"/>
      <c r="B969" s="1"/>
      <c r="C969" s="1"/>
      <c r="D969" s="1"/>
      <c r="E969" s="1"/>
      <c r="F969" s="1"/>
      <c r="G969" s="1"/>
      <c r="H969" s="1"/>
      <c r="I969" s="1"/>
      <c r="J969" s="1"/>
      <c r="K969" s="1"/>
      <c r="L969" s="1"/>
      <c r="M969" s="1"/>
      <c r="N969" s="1"/>
      <c r="O969" s="1"/>
      <c r="P969" s="1"/>
      <c r="Q969" s="1"/>
    </row>
    <row r="970" spans="1:17" x14ac:dyDescent="0.2">
      <c r="A970" s="1"/>
      <c r="B970" s="1"/>
      <c r="C970" s="1"/>
      <c r="D970" s="1"/>
      <c r="E970" s="1"/>
      <c r="F970" s="1"/>
      <c r="G970" s="1"/>
      <c r="H970" s="1"/>
      <c r="I970" s="1"/>
      <c r="J970" s="1"/>
      <c r="K970" s="1"/>
      <c r="L970" s="1"/>
      <c r="M970" s="1"/>
      <c r="N970" s="1"/>
      <c r="O970" s="1"/>
      <c r="P970" s="1"/>
      <c r="Q970" s="1"/>
    </row>
    <row r="971" spans="1:17" x14ac:dyDescent="0.2">
      <c r="A971" s="1"/>
      <c r="B971" s="1"/>
      <c r="C971" s="1"/>
      <c r="D971" s="1"/>
      <c r="E971" s="1"/>
      <c r="F971" s="1"/>
      <c r="G971" s="1"/>
      <c r="H971" s="1"/>
      <c r="I971" s="1"/>
      <c r="J971" s="1"/>
      <c r="K971" s="1"/>
      <c r="L971" s="1"/>
      <c r="M971" s="1"/>
      <c r="N971" s="1"/>
      <c r="O971" s="1"/>
      <c r="P971" s="1"/>
      <c r="Q971" s="1"/>
    </row>
    <row r="972" spans="1:17" x14ac:dyDescent="0.2">
      <c r="A972" s="1"/>
      <c r="B972" s="1"/>
      <c r="C972" s="1"/>
      <c r="D972" s="1"/>
      <c r="E972" s="1"/>
      <c r="F972" s="1"/>
      <c r="G972" s="1"/>
      <c r="H972" s="1"/>
      <c r="I972" s="1"/>
      <c r="J972" s="1"/>
      <c r="K972" s="1"/>
      <c r="L972" s="1"/>
      <c r="M972" s="1"/>
      <c r="N972" s="1"/>
      <c r="O972" s="1"/>
      <c r="P972" s="1"/>
      <c r="Q972" s="1"/>
    </row>
    <row r="973" spans="1:17" x14ac:dyDescent="0.2">
      <c r="A973" s="1"/>
      <c r="B973" s="1"/>
      <c r="C973" s="1"/>
      <c r="D973" s="1"/>
      <c r="E973" s="1"/>
      <c r="F973" s="1"/>
      <c r="G973" s="1"/>
      <c r="H973" s="1"/>
      <c r="I973" s="1"/>
      <c r="J973" s="1"/>
      <c r="K973" s="1"/>
      <c r="L973" s="1"/>
      <c r="M973" s="1"/>
      <c r="N973" s="1"/>
      <c r="O973" s="1"/>
      <c r="P973" s="1"/>
      <c r="Q973" s="1"/>
    </row>
    <row r="974" spans="1:17" x14ac:dyDescent="0.2">
      <c r="A974" s="1"/>
      <c r="B974" s="1"/>
      <c r="C974" s="1"/>
      <c r="D974" s="1"/>
      <c r="E974" s="1"/>
      <c r="F974" s="1"/>
      <c r="G974" s="1"/>
      <c r="H974" s="1"/>
      <c r="I974" s="1"/>
      <c r="J974" s="1"/>
      <c r="K974" s="1"/>
      <c r="L974" s="1"/>
      <c r="M974" s="1"/>
      <c r="N974" s="1"/>
      <c r="O974" s="1"/>
      <c r="P974" s="1"/>
      <c r="Q974" s="1"/>
    </row>
    <row r="975" spans="1:17" x14ac:dyDescent="0.2">
      <c r="A975" s="1"/>
      <c r="B975" s="1"/>
      <c r="C975" s="1"/>
      <c r="D975" s="1"/>
      <c r="E975" s="1"/>
      <c r="F975" s="1"/>
      <c r="G975" s="1"/>
      <c r="H975" s="1"/>
      <c r="I975" s="1"/>
      <c r="J975" s="1"/>
      <c r="K975" s="1"/>
      <c r="L975" s="1"/>
      <c r="M975" s="1"/>
      <c r="N975" s="1"/>
      <c r="O975" s="1"/>
      <c r="P975" s="1"/>
      <c r="Q975" s="1"/>
    </row>
    <row r="976" spans="1:17" x14ac:dyDescent="0.2">
      <c r="A976" s="1"/>
      <c r="B976" s="1"/>
      <c r="C976" s="1"/>
      <c r="D976" s="1"/>
      <c r="E976" s="1"/>
      <c r="F976" s="1"/>
      <c r="G976" s="1"/>
      <c r="H976" s="1"/>
      <c r="I976" s="1"/>
      <c r="J976" s="1"/>
      <c r="K976" s="1"/>
      <c r="L976" s="1"/>
      <c r="M976" s="1"/>
      <c r="N976" s="1"/>
      <c r="O976" s="1"/>
      <c r="P976" s="1"/>
      <c r="Q976" s="1"/>
    </row>
    <row r="977" spans="1:17" x14ac:dyDescent="0.2">
      <c r="A977" s="1"/>
      <c r="B977" s="1"/>
      <c r="C977" s="1"/>
      <c r="D977" s="1"/>
      <c r="E977" s="1"/>
      <c r="F977" s="1"/>
      <c r="G977" s="1"/>
      <c r="H977" s="1"/>
      <c r="I977" s="1"/>
      <c r="J977" s="1"/>
      <c r="K977" s="1"/>
      <c r="L977" s="1"/>
      <c r="M977" s="1"/>
      <c r="N977" s="1"/>
      <c r="O977" s="1"/>
      <c r="P977" s="1"/>
      <c r="Q977" s="1"/>
    </row>
    <row r="978" spans="1:17" x14ac:dyDescent="0.2">
      <c r="A978" s="1"/>
      <c r="B978" s="1"/>
      <c r="C978" s="1"/>
      <c r="D978" s="1"/>
      <c r="E978" s="1"/>
      <c r="F978" s="1"/>
      <c r="G978" s="1"/>
      <c r="H978" s="1"/>
      <c r="I978" s="1"/>
      <c r="J978" s="1"/>
      <c r="K978" s="1"/>
      <c r="L978" s="1"/>
      <c r="M978" s="1"/>
      <c r="N978" s="1"/>
      <c r="O978" s="1"/>
      <c r="P978" s="1"/>
      <c r="Q978" s="1"/>
    </row>
    <row r="979" spans="1:17" x14ac:dyDescent="0.2">
      <c r="A979" s="1"/>
      <c r="B979" s="1"/>
      <c r="C979" s="1"/>
      <c r="D979" s="1"/>
      <c r="E979" s="1"/>
      <c r="F979" s="1"/>
      <c r="G979" s="1"/>
      <c r="H979" s="1"/>
      <c r="I979" s="1"/>
      <c r="J979" s="1"/>
      <c r="K979" s="1"/>
      <c r="L979" s="1"/>
      <c r="M979" s="1"/>
      <c r="N979" s="1"/>
      <c r="O979" s="1"/>
      <c r="P979" s="1"/>
      <c r="Q979" s="1"/>
    </row>
    <row r="980" spans="1:17" x14ac:dyDescent="0.2">
      <c r="A980" s="1"/>
      <c r="B980" s="1"/>
      <c r="C980" s="1"/>
      <c r="D980" s="1"/>
      <c r="E980" s="1"/>
      <c r="F980" s="1"/>
      <c r="G980" s="1"/>
      <c r="H980" s="1"/>
      <c r="I980" s="1"/>
      <c r="J980" s="1"/>
      <c r="K980" s="1"/>
      <c r="L980" s="1"/>
      <c r="M980" s="1"/>
      <c r="N980" s="1"/>
      <c r="O980" s="1"/>
      <c r="P980" s="1"/>
      <c r="Q980" s="1"/>
    </row>
    <row r="981" spans="1:17" x14ac:dyDescent="0.2">
      <c r="A981" s="1"/>
      <c r="B981" s="1"/>
      <c r="C981" s="1"/>
      <c r="D981" s="1"/>
      <c r="E981" s="1"/>
      <c r="F981" s="1"/>
      <c r="G981" s="1"/>
      <c r="H981" s="1"/>
      <c r="I981" s="1"/>
      <c r="J981" s="1"/>
      <c r="K981" s="1"/>
      <c r="L981" s="1"/>
      <c r="M981" s="1"/>
      <c r="N981" s="1"/>
      <c r="O981" s="1"/>
      <c r="P981" s="1"/>
      <c r="Q981" s="1"/>
    </row>
    <row r="982" spans="1:17" x14ac:dyDescent="0.2">
      <c r="A982" s="1"/>
      <c r="B982" s="1"/>
      <c r="C982" s="1"/>
      <c r="D982" s="1"/>
      <c r="E982" s="1"/>
      <c r="F982" s="1"/>
      <c r="G982" s="1"/>
      <c r="H982" s="1"/>
      <c r="I982" s="1"/>
      <c r="J982" s="1"/>
      <c r="K982" s="1"/>
      <c r="L982" s="1"/>
      <c r="M982" s="1"/>
      <c r="N982" s="1"/>
      <c r="O982" s="1"/>
      <c r="P982" s="1"/>
      <c r="Q982" s="1"/>
    </row>
    <row r="983" spans="1:17" x14ac:dyDescent="0.2">
      <c r="A983" s="1"/>
      <c r="B983" s="1"/>
      <c r="C983" s="1"/>
      <c r="D983" s="1"/>
      <c r="E983" s="1"/>
      <c r="F983" s="1"/>
      <c r="G983" s="1"/>
      <c r="H983" s="1"/>
      <c r="I983" s="1"/>
      <c r="J983" s="1"/>
      <c r="K983" s="1"/>
      <c r="L983" s="1"/>
      <c r="M983" s="1"/>
      <c r="N983" s="1"/>
      <c r="O983" s="1"/>
      <c r="P983" s="1"/>
      <c r="Q983" s="1"/>
    </row>
    <row r="984" spans="1:17" x14ac:dyDescent="0.2">
      <c r="A984" s="1"/>
      <c r="B984" s="1"/>
      <c r="C984" s="1"/>
      <c r="D984" s="1"/>
      <c r="E984" s="1"/>
      <c r="F984" s="1"/>
      <c r="G984" s="1"/>
      <c r="H984" s="1"/>
      <c r="I984" s="1"/>
      <c r="J984" s="1"/>
      <c r="K984" s="1"/>
      <c r="L984" s="1"/>
      <c r="M984" s="1"/>
      <c r="N984" s="1"/>
      <c r="O984" s="1"/>
      <c r="P984" s="1"/>
      <c r="Q984" s="1"/>
    </row>
    <row r="985" spans="1:17" x14ac:dyDescent="0.2">
      <c r="A985" s="1"/>
      <c r="B985" s="1"/>
      <c r="C985" s="1"/>
      <c r="D985" s="1"/>
      <c r="E985" s="1"/>
      <c r="F985" s="1"/>
      <c r="G985" s="1"/>
      <c r="H985" s="1"/>
      <c r="I985" s="1"/>
      <c r="J985" s="1"/>
      <c r="K985" s="1"/>
      <c r="L985" s="1"/>
      <c r="M985" s="1"/>
      <c r="N985" s="1"/>
      <c r="O985" s="1"/>
      <c r="P985" s="1"/>
      <c r="Q985" s="1"/>
    </row>
    <row r="986" spans="1:17" x14ac:dyDescent="0.2">
      <c r="A986" s="1"/>
      <c r="B986" s="1"/>
      <c r="C986" s="1"/>
      <c r="D986" s="1"/>
      <c r="E986" s="1"/>
      <c r="F986" s="1"/>
      <c r="G986" s="1"/>
      <c r="H986" s="1"/>
      <c r="I986" s="1"/>
      <c r="J986" s="1"/>
      <c r="K986" s="1"/>
      <c r="L986" s="1"/>
      <c r="M986" s="1"/>
      <c r="N986" s="1"/>
      <c r="O986" s="1"/>
      <c r="P986" s="1"/>
      <c r="Q986" s="1"/>
    </row>
    <row r="987" spans="1:17" x14ac:dyDescent="0.2">
      <c r="A987" s="1"/>
      <c r="B987" s="1"/>
      <c r="C987" s="1"/>
      <c r="D987" s="1"/>
      <c r="E987" s="1"/>
      <c r="F987" s="1"/>
      <c r="G987" s="1"/>
      <c r="H987" s="1"/>
      <c r="I987" s="1"/>
      <c r="J987" s="1"/>
      <c r="K987" s="1"/>
      <c r="L987" s="1"/>
      <c r="M987" s="1"/>
      <c r="N987" s="1"/>
      <c r="O987" s="1"/>
      <c r="P987" s="1"/>
      <c r="Q987" s="1"/>
    </row>
    <row r="988" spans="1:17" x14ac:dyDescent="0.2">
      <c r="A988" s="1"/>
      <c r="B988" s="1"/>
      <c r="C988" s="1"/>
      <c r="D988" s="1"/>
      <c r="E988" s="1"/>
      <c r="F988" s="1"/>
      <c r="G988" s="1"/>
      <c r="H988" s="1"/>
      <c r="I988" s="1"/>
      <c r="J988" s="1"/>
      <c r="K988" s="1"/>
      <c r="L988" s="1"/>
      <c r="M988" s="1"/>
      <c r="N988" s="1"/>
      <c r="O988" s="1"/>
      <c r="P988" s="1"/>
      <c r="Q988" s="1"/>
    </row>
    <row r="989" spans="1:17" x14ac:dyDescent="0.2">
      <c r="A989" s="1"/>
      <c r="B989" s="1"/>
      <c r="C989" s="1"/>
      <c r="D989" s="1"/>
      <c r="E989" s="1"/>
      <c r="F989" s="1"/>
      <c r="G989" s="1"/>
      <c r="H989" s="1"/>
      <c r="I989" s="1"/>
      <c r="J989" s="1"/>
      <c r="K989" s="1"/>
      <c r="L989" s="1"/>
      <c r="M989" s="1"/>
      <c r="N989" s="1"/>
      <c r="O989" s="1"/>
      <c r="P989" s="1"/>
      <c r="Q989" s="1"/>
    </row>
    <row r="990" spans="1:17" x14ac:dyDescent="0.2">
      <c r="A990" s="1"/>
      <c r="B990" s="1"/>
      <c r="C990" s="1"/>
      <c r="D990" s="1"/>
      <c r="E990" s="1"/>
      <c r="F990" s="1"/>
      <c r="G990" s="1"/>
      <c r="H990" s="1"/>
      <c r="I990" s="1"/>
      <c r="J990" s="1"/>
      <c r="K990" s="1"/>
      <c r="L990" s="1"/>
      <c r="M990" s="1"/>
      <c r="N990" s="1"/>
      <c r="O990" s="1"/>
      <c r="P990" s="1"/>
      <c r="Q990" s="1"/>
    </row>
    <row r="991" spans="1:17" x14ac:dyDescent="0.2">
      <c r="A991" s="1"/>
      <c r="B991" s="1"/>
      <c r="C991" s="1"/>
      <c r="D991" s="1"/>
      <c r="E991" s="1"/>
      <c r="F991" s="1"/>
      <c r="G991" s="1"/>
      <c r="H991" s="1"/>
      <c r="I991" s="1"/>
      <c r="J991" s="1"/>
      <c r="K991" s="1"/>
      <c r="L991" s="1"/>
      <c r="M991" s="1"/>
      <c r="N991" s="1"/>
      <c r="O991" s="1"/>
      <c r="P991" s="1"/>
      <c r="Q991" s="1"/>
    </row>
    <row r="992" spans="1:17" x14ac:dyDescent="0.2">
      <c r="A992" s="1"/>
      <c r="B992" s="1"/>
      <c r="C992" s="1"/>
      <c r="D992" s="1"/>
      <c r="E992" s="1"/>
      <c r="F992" s="1"/>
      <c r="G992" s="1"/>
      <c r="H992" s="1"/>
      <c r="I992" s="1"/>
      <c r="J992" s="1"/>
      <c r="K992" s="1"/>
      <c r="L992" s="1"/>
      <c r="M992" s="1"/>
      <c r="N992" s="1"/>
      <c r="O992" s="1"/>
      <c r="P992" s="1"/>
      <c r="Q992" s="1"/>
    </row>
    <row r="993" spans="1:17" x14ac:dyDescent="0.2">
      <c r="A993" s="1"/>
      <c r="B993" s="1"/>
      <c r="C993" s="1"/>
      <c r="D993" s="1"/>
      <c r="E993" s="1"/>
      <c r="F993" s="1"/>
      <c r="G993" s="1"/>
      <c r="H993" s="1"/>
      <c r="I993" s="1"/>
      <c r="J993" s="1"/>
      <c r="K993" s="1"/>
      <c r="L993" s="1"/>
      <c r="M993" s="1"/>
      <c r="N993" s="1"/>
      <c r="O993" s="1"/>
      <c r="P993" s="1"/>
      <c r="Q993" s="1"/>
    </row>
    <row r="994" spans="1:17" x14ac:dyDescent="0.2">
      <c r="A994" s="1"/>
      <c r="B994" s="1"/>
      <c r="C994" s="1"/>
      <c r="D994" s="1"/>
      <c r="E994" s="1"/>
      <c r="F994" s="1"/>
      <c r="G994" s="1"/>
      <c r="H994" s="1"/>
      <c r="I994" s="1"/>
      <c r="J994" s="1"/>
      <c r="K994" s="1"/>
      <c r="L994" s="1"/>
      <c r="M994" s="1"/>
      <c r="N994" s="1"/>
      <c r="O994" s="1"/>
      <c r="P994" s="1"/>
      <c r="Q994" s="1"/>
    </row>
    <row r="995" spans="1:17" x14ac:dyDescent="0.2">
      <c r="A995" s="1"/>
      <c r="B995" s="1"/>
      <c r="C995" s="1"/>
      <c r="D995" s="1"/>
      <c r="E995" s="1"/>
      <c r="F995" s="1"/>
      <c r="G995" s="1"/>
      <c r="H995" s="1"/>
      <c r="I995" s="1"/>
      <c r="J995" s="1"/>
      <c r="K995" s="1"/>
      <c r="L995" s="1"/>
      <c r="M995" s="1"/>
      <c r="N995" s="1"/>
      <c r="O995" s="1"/>
      <c r="P995" s="1"/>
      <c r="Q995" s="1"/>
    </row>
    <row r="996" spans="1:17" x14ac:dyDescent="0.2">
      <c r="A996" s="1"/>
      <c r="B996" s="1"/>
      <c r="C996" s="1"/>
      <c r="D996" s="1"/>
      <c r="E996" s="1"/>
      <c r="F996" s="1"/>
      <c r="G996" s="1"/>
      <c r="H996" s="1"/>
      <c r="I996" s="1"/>
      <c r="J996" s="1"/>
      <c r="K996" s="1"/>
      <c r="L996" s="1"/>
      <c r="M996" s="1"/>
      <c r="N996" s="1"/>
      <c r="O996" s="1"/>
      <c r="P996" s="1"/>
      <c r="Q996" s="1"/>
    </row>
    <row r="997" spans="1:17" x14ac:dyDescent="0.2">
      <c r="A997" s="1"/>
      <c r="B997" s="1"/>
      <c r="C997" s="1"/>
      <c r="D997" s="1"/>
      <c r="E997" s="1"/>
      <c r="F997" s="1"/>
      <c r="G997" s="1"/>
      <c r="H997" s="1"/>
      <c r="I997" s="1"/>
      <c r="J997" s="1"/>
      <c r="K997" s="1"/>
      <c r="L997" s="1"/>
      <c r="M997" s="1"/>
      <c r="N997" s="1"/>
      <c r="O997" s="1"/>
      <c r="P997" s="1"/>
      <c r="Q997" s="1"/>
    </row>
    <row r="998" spans="1:17" x14ac:dyDescent="0.2">
      <c r="A998" s="1"/>
      <c r="B998" s="1"/>
      <c r="C998" s="1"/>
      <c r="D998" s="1"/>
      <c r="E998" s="1"/>
      <c r="F998" s="1"/>
      <c r="G998" s="1"/>
      <c r="H998" s="1"/>
      <c r="I998" s="1"/>
      <c r="J998" s="1"/>
      <c r="K998" s="1"/>
      <c r="L998" s="1"/>
      <c r="M998" s="1"/>
      <c r="N998" s="1"/>
      <c r="O998" s="1"/>
      <c r="P998" s="1"/>
      <c r="Q998" s="1"/>
    </row>
    <row r="999" spans="1:17" x14ac:dyDescent="0.2">
      <c r="A999" s="1"/>
      <c r="B999" s="1"/>
      <c r="C999" s="1"/>
      <c r="D999" s="1"/>
      <c r="E999" s="1"/>
      <c r="F999" s="1"/>
      <c r="G999" s="1"/>
      <c r="H999" s="1"/>
      <c r="I999" s="1"/>
      <c r="J999" s="1"/>
      <c r="K999" s="1"/>
      <c r="L999" s="1"/>
      <c r="M999" s="1"/>
      <c r="N999" s="1"/>
      <c r="O999" s="1"/>
      <c r="P999" s="1"/>
      <c r="Q999" s="1"/>
    </row>
    <row r="1000" spans="1:17" x14ac:dyDescent="0.2">
      <c r="A1000" s="1"/>
      <c r="B1000" s="1"/>
      <c r="C1000" s="1"/>
      <c r="D1000" s="1"/>
      <c r="E1000" s="1"/>
      <c r="F1000" s="1"/>
      <c r="G1000" s="1"/>
      <c r="H1000" s="1"/>
      <c r="I1000" s="1"/>
      <c r="J1000" s="1"/>
      <c r="K1000" s="1"/>
      <c r="L1000" s="1"/>
      <c r="M1000" s="1"/>
      <c r="N1000" s="1"/>
      <c r="O1000" s="1"/>
      <c r="P1000" s="1"/>
      <c r="Q1000" s="1"/>
    </row>
    <row r="1001" spans="1:17" x14ac:dyDescent="0.2">
      <c r="A1001" s="1"/>
      <c r="B1001" s="1"/>
      <c r="C1001" s="1"/>
      <c r="D1001" s="1"/>
      <c r="E1001" s="1"/>
      <c r="F1001" s="1"/>
      <c r="G1001" s="1"/>
      <c r="H1001" s="1"/>
      <c r="I1001" s="1"/>
      <c r="J1001" s="1"/>
      <c r="K1001" s="1"/>
      <c r="L1001" s="1"/>
      <c r="M1001" s="1"/>
      <c r="N1001" s="1"/>
      <c r="O1001" s="1"/>
      <c r="P1001" s="1"/>
      <c r="Q1001" s="1"/>
    </row>
    <row r="1002" spans="1:17" x14ac:dyDescent="0.2">
      <c r="A1002" s="1"/>
      <c r="B1002" s="1"/>
      <c r="C1002" s="1"/>
      <c r="D1002" s="1"/>
      <c r="E1002" s="1"/>
      <c r="F1002" s="1"/>
      <c r="G1002" s="1"/>
      <c r="H1002" s="1"/>
      <c r="I1002" s="1"/>
      <c r="J1002" s="1"/>
      <c r="K1002" s="1"/>
      <c r="L1002" s="1"/>
      <c r="M1002" s="1"/>
      <c r="N1002" s="1"/>
      <c r="O1002" s="1"/>
      <c r="P1002" s="1"/>
      <c r="Q1002" s="1"/>
    </row>
    <row r="1003" spans="1:17" x14ac:dyDescent="0.2">
      <c r="A1003" s="1"/>
      <c r="B1003" s="1"/>
      <c r="C1003" s="1"/>
      <c r="D1003" s="1"/>
      <c r="E1003" s="1"/>
      <c r="F1003" s="1"/>
      <c r="G1003" s="1"/>
      <c r="H1003" s="1"/>
      <c r="I1003" s="1"/>
      <c r="J1003" s="1"/>
      <c r="K1003" s="1"/>
      <c r="L1003" s="1"/>
      <c r="M1003" s="1"/>
      <c r="N1003" s="1"/>
      <c r="O1003" s="1"/>
      <c r="P1003" s="1"/>
      <c r="Q1003" s="1"/>
    </row>
    <row r="1004" spans="1:17" x14ac:dyDescent="0.2">
      <c r="A1004" s="1"/>
      <c r="B1004" s="1"/>
      <c r="C1004" s="1"/>
      <c r="D1004" s="1"/>
      <c r="E1004" s="1"/>
      <c r="F1004" s="1"/>
      <c r="G1004" s="1"/>
      <c r="H1004" s="1"/>
      <c r="I1004" s="1"/>
      <c r="J1004" s="1"/>
      <c r="K1004" s="1"/>
      <c r="L1004" s="1"/>
      <c r="M1004" s="1"/>
      <c r="N1004" s="1"/>
      <c r="O1004" s="1"/>
      <c r="P1004" s="1"/>
      <c r="Q1004" s="1"/>
    </row>
    <row r="1005" spans="1:17" x14ac:dyDescent="0.2">
      <c r="A1005" s="1"/>
      <c r="B1005" s="1"/>
      <c r="C1005" s="1"/>
      <c r="D1005" s="1"/>
      <c r="E1005" s="1"/>
      <c r="F1005" s="1"/>
      <c r="G1005" s="1"/>
      <c r="H1005" s="1"/>
      <c r="I1005" s="1"/>
      <c r="J1005" s="1"/>
      <c r="K1005" s="1"/>
      <c r="L1005" s="1"/>
      <c r="M1005" s="1"/>
      <c r="N1005" s="1"/>
      <c r="O1005" s="1"/>
      <c r="P1005" s="1"/>
      <c r="Q1005" s="1"/>
    </row>
    <row r="1006" spans="1:17" x14ac:dyDescent="0.2">
      <c r="A1006" s="1"/>
      <c r="B1006" s="1"/>
      <c r="C1006" s="1"/>
      <c r="D1006" s="1"/>
      <c r="E1006" s="1"/>
      <c r="F1006" s="1"/>
      <c r="G1006" s="1"/>
      <c r="H1006" s="1"/>
      <c r="I1006" s="1"/>
      <c r="J1006" s="1"/>
      <c r="K1006" s="1"/>
      <c r="L1006" s="1"/>
      <c r="M1006" s="1"/>
      <c r="N1006" s="1"/>
      <c r="O1006" s="1"/>
      <c r="P1006" s="1"/>
      <c r="Q1006" s="1"/>
    </row>
    <row r="1007" spans="1:17" x14ac:dyDescent="0.2">
      <c r="A1007" s="1"/>
      <c r="B1007" s="1"/>
      <c r="C1007" s="1"/>
      <c r="D1007" s="1"/>
      <c r="E1007" s="1"/>
      <c r="F1007" s="1"/>
      <c r="G1007" s="1"/>
      <c r="H1007" s="1"/>
      <c r="I1007" s="1"/>
      <c r="J1007" s="1"/>
      <c r="K1007" s="1"/>
      <c r="L1007" s="1"/>
      <c r="M1007" s="1"/>
      <c r="N1007" s="1"/>
      <c r="O1007" s="1"/>
      <c r="P1007" s="1"/>
      <c r="Q1007" s="1"/>
    </row>
    <row r="1008" spans="1:17" x14ac:dyDescent="0.2">
      <c r="A1008" s="1"/>
      <c r="B1008" s="1"/>
      <c r="C1008" s="1"/>
      <c r="D1008" s="1"/>
      <c r="E1008" s="1"/>
      <c r="F1008" s="1"/>
      <c r="G1008" s="1"/>
      <c r="H1008" s="1"/>
      <c r="I1008" s="1"/>
      <c r="J1008" s="1"/>
      <c r="K1008" s="1"/>
      <c r="L1008" s="1"/>
      <c r="M1008" s="1"/>
      <c r="N1008" s="1"/>
      <c r="O1008" s="1"/>
      <c r="P1008" s="1"/>
      <c r="Q1008" s="1"/>
    </row>
    <row r="1009" spans="1:17" x14ac:dyDescent="0.2">
      <c r="A1009" s="1"/>
      <c r="B1009" s="1"/>
      <c r="C1009" s="1"/>
      <c r="D1009" s="1"/>
      <c r="E1009" s="1"/>
      <c r="F1009" s="1"/>
      <c r="G1009" s="1"/>
      <c r="H1009" s="1"/>
      <c r="I1009" s="1"/>
      <c r="J1009" s="1"/>
      <c r="K1009" s="1"/>
      <c r="L1009" s="1"/>
      <c r="M1009" s="1"/>
      <c r="N1009" s="1"/>
      <c r="O1009" s="1"/>
      <c r="P1009" s="1"/>
      <c r="Q1009" s="1"/>
    </row>
    <row r="1010" spans="1:17" x14ac:dyDescent="0.2">
      <c r="A1010" s="1"/>
      <c r="B1010" s="1"/>
      <c r="C1010" s="1"/>
      <c r="D1010" s="1"/>
      <c r="E1010" s="1"/>
      <c r="F1010" s="1"/>
      <c r="G1010" s="1"/>
      <c r="H1010" s="1"/>
      <c r="I1010" s="1"/>
      <c r="J1010" s="1"/>
      <c r="K1010" s="1"/>
      <c r="L1010" s="1"/>
      <c r="M1010" s="1"/>
      <c r="N1010" s="1"/>
      <c r="O1010" s="1"/>
      <c r="P1010" s="1"/>
      <c r="Q1010" s="1"/>
    </row>
    <row r="1011" spans="1:17" x14ac:dyDescent="0.2">
      <c r="A1011" s="1"/>
      <c r="B1011" s="1"/>
      <c r="C1011" s="1"/>
      <c r="D1011" s="1"/>
      <c r="E1011" s="1"/>
      <c r="F1011" s="1"/>
      <c r="G1011" s="1"/>
      <c r="H1011" s="1"/>
      <c r="I1011" s="1"/>
      <c r="J1011" s="1"/>
      <c r="K1011" s="1"/>
      <c r="L1011" s="1"/>
      <c r="M1011" s="1"/>
      <c r="N1011" s="1"/>
      <c r="O1011" s="1"/>
      <c r="P1011" s="1"/>
      <c r="Q1011" s="1"/>
    </row>
    <row r="1012" spans="1:17" x14ac:dyDescent="0.2">
      <c r="A1012" s="1"/>
      <c r="B1012" s="1"/>
      <c r="C1012" s="1"/>
      <c r="D1012" s="1"/>
      <c r="E1012" s="1"/>
      <c r="F1012" s="1"/>
      <c r="G1012" s="1"/>
      <c r="H1012" s="1"/>
      <c r="I1012" s="1"/>
      <c r="J1012" s="1"/>
      <c r="K1012" s="1"/>
      <c r="L1012" s="1"/>
      <c r="M1012" s="1"/>
      <c r="N1012" s="1"/>
      <c r="O1012" s="1"/>
      <c r="P1012" s="1"/>
      <c r="Q1012" s="1"/>
    </row>
    <row r="1013" spans="1:17" x14ac:dyDescent="0.2">
      <c r="A1013" s="1"/>
      <c r="B1013" s="1"/>
      <c r="C1013" s="1"/>
      <c r="D1013" s="1"/>
      <c r="E1013" s="1"/>
      <c r="F1013" s="1"/>
      <c r="G1013" s="1"/>
      <c r="H1013" s="1"/>
      <c r="I1013" s="1"/>
      <c r="J1013" s="1"/>
      <c r="K1013" s="1"/>
      <c r="L1013" s="1"/>
      <c r="M1013" s="1"/>
      <c r="N1013" s="1"/>
      <c r="O1013" s="1"/>
      <c r="P1013" s="1"/>
      <c r="Q1013" s="1"/>
    </row>
    <row r="1014" spans="1:17" x14ac:dyDescent="0.2">
      <c r="A1014" s="1"/>
      <c r="B1014" s="1"/>
      <c r="C1014" s="1"/>
      <c r="D1014" s="1"/>
      <c r="E1014" s="1"/>
      <c r="F1014" s="1"/>
      <c r="G1014" s="1"/>
      <c r="H1014" s="1"/>
      <c r="I1014" s="1"/>
      <c r="J1014" s="1"/>
      <c r="K1014" s="1"/>
      <c r="L1014" s="1"/>
      <c r="M1014" s="1"/>
      <c r="N1014" s="1"/>
      <c r="O1014" s="1"/>
      <c r="P1014" s="1"/>
      <c r="Q1014" s="1"/>
    </row>
    <row r="1015" spans="1:17" x14ac:dyDescent="0.2">
      <c r="A1015" s="1"/>
      <c r="B1015" s="1"/>
      <c r="C1015" s="1"/>
      <c r="D1015" s="1"/>
      <c r="E1015" s="1"/>
      <c r="F1015" s="1"/>
      <c r="G1015" s="1"/>
      <c r="H1015" s="1"/>
      <c r="I1015" s="1"/>
      <c r="J1015" s="1"/>
      <c r="K1015" s="1"/>
      <c r="L1015" s="1"/>
      <c r="M1015" s="1"/>
      <c r="N1015" s="1"/>
      <c r="O1015" s="1"/>
      <c r="P1015" s="1"/>
      <c r="Q1015" s="1"/>
    </row>
    <row r="1016" spans="1:17" x14ac:dyDescent="0.2">
      <c r="A1016" s="1"/>
      <c r="B1016" s="1"/>
      <c r="C1016" s="1"/>
      <c r="D1016" s="1"/>
      <c r="E1016" s="1"/>
      <c r="F1016" s="1"/>
      <c r="G1016" s="1"/>
      <c r="H1016" s="1"/>
      <c r="I1016" s="1"/>
      <c r="J1016" s="1"/>
      <c r="K1016" s="1"/>
      <c r="L1016" s="1"/>
      <c r="M1016" s="1"/>
      <c r="N1016" s="1"/>
      <c r="O1016" s="1"/>
      <c r="P1016" s="1"/>
      <c r="Q1016" s="1"/>
    </row>
    <row r="1017" spans="1:17" x14ac:dyDescent="0.2">
      <c r="A1017" s="1"/>
      <c r="B1017" s="1"/>
      <c r="C1017" s="1"/>
      <c r="D1017" s="1"/>
      <c r="E1017" s="1"/>
      <c r="F1017" s="1"/>
      <c r="G1017" s="1"/>
      <c r="H1017" s="1"/>
      <c r="I1017" s="1"/>
      <c r="J1017" s="1"/>
      <c r="K1017" s="1"/>
      <c r="L1017" s="1"/>
      <c r="M1017" s="1"/>
      <c r="N1017" s="1"/>
      <c r="O1017" s="1"/>
      <c r="P1017" s="1"/>
      <c r="Q1017" s="1"/>
    </row>
    <row r="1018" spans="1:17" x14ac:dyDescent="0.2">
      <c r="A1018" s="1"/>
      <c r="B1018" s="1"/>
      <c r="C1018" s="1"/>
      <c r="D1018" s="1"/>
      <c r="E1018" s="1"/>
      <c r="F1018" s="1"/>
      <c r="G1018" s="1"/>
      <c r="H1018" s="1"/>
      <c r="I1018" s="1"/>
      <c r="J1018" s="1"/>
      <c r="K1018" s="1"/>
      <c r="L1018" s="1"/>
      <c r="M1018" s="1"/>
      <c r="N1018" s="1"/>
      <c r="O1018" s="1"/>
      <c r="P1018" s="1"/>
      <c r="Q1018" s="1"/>
    </row>
    <row r="1019" spans="1:17" x14ac:dyDescent="0.2">
      <c r="A1019" s="1"/>
      <c r="B1019" s="1"/>
      <c r="C1019" s="1"/>
      <c r="D1019" s="1"/>
      <c r="E1019" s="1"/>
      <c r="F1019" s="1"/>
      <c r="G1019" s="1"/>
      <c r="H1019" s="1"/>
      <c r="I1019" s="1"/>
      <c r="J1019" s="1"/>
      <c r="K1019" s="1"/>
      <c r="L1019" s="1"/>
      <c r="M1019" s="1"/>
      <c r="N1019" s="1"/>
      <c r="O1019" s="1"/>
      <c r="P1019" s="1"/>
      <c r="Q1019" s="1"/>
    </row>
    <row r="1020" spans="1:17" x14ac:dyDescent="0.2">
      <c r="A1020" s="1"/>
      <c r="B1020" s="1"/>
      <c r="C1020" s="1"/>
      <c r="D1020" s="1"/>
      <c r="E1020" s="1"/>
      <c r="F1020" s="1"/>
      <c r="G1020" s="1"/>
      <c r="H1020" s="1"/>
      <c r="I1020" s="1"/>
      <c r="J1020" s="1"/>
      <c r="K1020" s="1"/>
      <c r="L1020" s="1"/>
      <c r="M1020" s="1"/>
      <c r="N1020" s="1"/>
      <c r="O1020" s="1"/>
      <c r="P1020" s="1"/>
      <c r="Q1020" s="1"/>
    </row>
    <row r="1021" spans="1:17" x14ac:dyDescent="0.2">
      <c r="A1021" s="1"/>
      <c r="B1021" s="1"/>
      <c r="C1021" s="1"/>
      <c r="D1021" s="1"/>
      <c r="E1021" s="1"/>
      <c r="F1021" s="1"/>
      <c r="G1021" s="1"/>
      <c r="H1021" s="1"/>
      <c r="I1021" s="1"/>
      <c r="J1021" s="1"/>
      <c r="K1021" s="1"/>
      <c r="L1021" s="1"/>
      <c r="M1021" s="1"/>
      <c r="N1021" s="1"/>
      <c r="O1021" s="1"/>
      <c r="P1021" s="1"/>
      <c r="Q1021" s="1"/>
    </row>
    <row r="1022" spans="1:17" x14ac:dyDescent="0.2">
      <c r="A1022" s="1"/>
      <c r="B1022" s="1"/>
      <c r="C1022" s="1"/>
      <c r="D1022" s="1"/>
      <c r="E1022" s="1"/>
      <c r="F1022" s="1"/>
      <c r="G1022" s="1"/>
      <c r="H1022" s="1"/>
      <c r="I1022" s="1"/>
      <c r="J1022" s="1"/>
      <c r="K1022" s="1"/>
      <c r="L1022" s="1"/>
      <c r="M1022" s="1"/>
      <c r="N1022" s="1"/>
      <c r="O1022" s="1"/>
      <c r="P1022" s="1"/>
      <c r="Q1022" s="1"/>
    </row>
    <row r="1023" spans="1:17" x14ac:dyDescent="0.2">
      <c r="A1023" s="1"/>
      <c r="B1023" s="1"/>
      <c r="C1023" s="1"/>
      <c r="D1023" s="1"/>
      <c r="E1023" s="1"/>
      <c r="F1023" s="1"/>
      <c r="G1023" s="1"/>
      <c r="H1023" s="1"/>
      <c r="I1023" s="1"/>
      <c r="J1023" s="1"/>
      <c r="K1023" s="1"/>
      <c r="L1023" s="1"/>
      <c r="M1023" s="1"/>
      <c r="N1023" s="1"/>
      <c r="O1023" s="1"/>
      <c r="P1023" s="1"/>
      <c r="Q1023" s="1"/>
    </row>
    <row r="1024" spans="1:17" x14ac:dyDescent="0.2">
      <c r="A1024" s="1"/>
      <c r="B1024" s="1"/>
      <c r="C1024" s="1"/>
      <c r="D1024" s="1"/>
      <c r="E1024" s="1"/>
      <c r="F1024" s="1"/>
      <c r="G1024" s="1"/>
      <c r="H1024" s="1"/>
      <c r="I1024" s="1"/>
      <c r="J1024" s="1"/>
      <c r="K1024" s="1"/>
      <c r="L1024" s="1"/>
      <c r="M1024" s="1"/>
      <c r="N1024" s="1"/>
      <c r="O1024" s="1"/>
      <c r="P1024" s="1"/>
      <c r="Q1024" s="1"/>
    </row>
    <row r="1025" spans="1:17" x14ac:dyDescent="0.2">
      <c r="A1025" s="1"/>
      <c r="B1025" s="1"/>
      <c r="C1025" s="1"/>
      <c r="D1025" s="1"/>
      <c r="E1025" s="1"/>
      <c r="F1025" s="1"/>
      <c r="G1025" s="1"/>
      <c r="H1025" s="1"/>
      <c r="I1025" s="1"/>
      <c r="J1025" s="1"/>
      <c r="K1025" s="1"/>
      <c r="L1025" s="1"/>
      <c r="M1025" s="1"/>
      <c r="N1025" s="1"/>
      <c r="O1025" s="1"/>
      <c r="P1025" s="1"/>
      <c r="Q1025" s="1"/>
    </row>
    <row r="1026" spans="1:17" x14ac:dyDescent="0.2">
      <c r="A1026" s="1"/>
      <c r="B1026" s="1"/>
      <c r="C1026" s="1"/>
      <c r="D1026" s="1"/>
      <c r="E1026" s="1"/>
      <c r="F1026" s="1"/>
      <c r="G1026" s="1"/>
      <c r="H1026" s="1"/>
      <c r="I1026" s="1"/>
      <c r="J1026" s="1"/>
      <c r="K1026" s="1"/>
      <c r="L1026" s="1"/>
      <c r="M1026" s="1"/>
      <c r="N1026" s="1"/>
      <c r="O1026" s="1"/>
      <c r="P1026" s="1"/>
      <c r="Q1026" s="1"/>
    </row>
    <row r="1027" spans="1:17" x14ac:dyDescent="0.2">
      <c r="A1027" s="1"/>
      <c r="B1027" s="1"/>
      <c r="C1027" s="1"/>
      <c r="D1027" s="1"/>
      <c r="E1027" s="1"/>
      <c r="F1027" s="1"/>
      <c r="G1027" s="1"/>
      <c r="H1027" s="1"/>
      <c r="I1027" s="1"/>
      <c r="J1027" s="1"/>
      <c r="K1027" s="1"/>
      <c r="L1027" s="1"/>
      <c r="M1027" s="1"/>
      <c r="N1027" s="1"/>
      <c r="O1027" s="1"/>
      <c r="P1027" s="1"/>
      <c r="Q1027" s="1"/>
    </row>
    <row r="1028" spans="1:17" x14ac:dyDescent="0.2">
      <c r="A1028" s="1"/>
      <c r="B1028" s="1"/>
      <c r="C1028" s="1"/>
      <c r="D1028" s="1"/>
      <c r="E1028" s="1"/>
      <c r="F1028" s="1"/>
      <c r="G1028" s="1"/>
      <c r="H1028" s="1"/>
      <c r="I1028" s="1"/>
      <c r="J1028" s="1"/>
      <c r="K1028" s="1"/>
      <c r="L1028" s="1"/>
      <c r="M1028" s="1"/>
      <c r="N1028" s="1"/>
      <c r="O1028" s="1"/>
      <c r="P1028" s="1"/>
      <c r="Q1028" s="1"/>
    </row>
    <row r="1029" spans="1:17" x14ac:dyDescent="0.2">
      <c r="A1029" s="1"/>
      <c r="B1029" s="1"/>
      <c r="C1029" s="1"/>
      <c r="D1029" s="1"/>
      <c r="E1029" s="1"/>
      <c r="F1029" s="1"/>
      <c r="G1029" s="1"/>
      <c r="H1029" s="1"/>
      <c r="I1029" s="1"/>
      <c r="J1029" s="1"/>
      <c r="K1029" s="1"/>
      <c r="L1029" s="1"/>
      <c r="M1029" s="1"/>
      <c r="N1029" s="1"/>
      <c r="O1029" s="1"/>
      <c r="P1029" s="1"/>
      <c r="Q1029" s="1"/>
    </row>
    <row r="1030" spans="1:17" x14ac:dyDescent="0.2">
      <c r="A1030" s="1"/>
      <c r="B1030" s="1"/>
      <c r="C1030" s="1"/>
      <c r="D1030" s="1"/>
      <c r="E1030" s="1"/>
      <c r="F1030" s="1"/>
      <c r="G1030" s="1"/>
      <c r="H1030" s="1"/>
      <c r="I1030" s="1"/>
      <c r="J1030" s="1"/>
      <c r="K1030" s="1"/>
      <c r="L1030" s="1"/>
      <c r="M1030" s="1"/>
      <c r="N1030" s="1"/>
      <c r="O1030" s="1"/>
      <c r="P1030" s="1"/>
      <c r="Q1030" s="1"/>
    </row>
    <row r="1031" spans="1:17" x14ac:dyDescent="0.2">
      <c r="A1031" s="1"/>
      <c r="B1031" s="1"/>
      <c r="C1031" s="1"/>
      <c r="D1031" s="1"/>
      <c r="E1031" s="1"/>
      <c r="F1031" s="1"/>
      <c r="G1031" s="1"/>
      <c r="H1031" s="1"/>
      <c r="I1031" s="1"/>
      <c r="J1031" s="1"/>
      <c r="K1031" s="1"/>
      <c r="L1031" s="1"/>
      <c r="M1031" s="1"/>
      <c r="N1031" s="1"/>
      <c r="O1031" s="1"/>
      <c r="P1031" s="1"/>
      <c r="Q1031" s="1"/>
    </row>
    <row r="1032" spans="1:17" x14ac:dyDescent="0.2">
      <c r="A1032" s="1"/>
      <c r="B1032" s="1"/>
      <c r="C1032" s="1"/>
      <c r="D1032" s="1"/>
      <c r="E1032" s="1"/>
      <c r="F1032" s="1"/>
      <c r="G1032" s="1"/>
      <c r="H1032" s="1"/>
      <c r="I1032" s="1"/>
      <c r="J1032" s="1"/>
      <c r="K1032" s="1"/>
      <c r="L1032" s="1"/>
      <c r="M1032" s="1"/>
      <c r="N1032" s="1"/>
      <c r="O1032" s="1"/>
      <c r="P1032" s="1"/>
      <c r="Q1032" s="1"/>
    </row>
    <row r="1033" spans="1:17" x14ac:dyDescent="0.2">
      <c r="A1033" s="1"/>
      <c r="B1033" s="1"/>
      <c r="C1033" s="1"/>
      <c r="D1033" s="1"/>
      <c r="E1033" s="1"/>
      <c r="F1033" s="1"/>
      <c r="G1033" s="1"/>
      <c r="H1033" s="1"/>
      <c r="I1033" s="1"/>
      <c r="J1033" s="1"/>
      <c r="K1033" s="1"/>
      <c r="L1033" s="1"/>
      <c r="M1033" s="1"/>
      <c r="N1033" s="1"/>
      <c r="O1033" s="1"/>
      <c r="P1033" s="1"/>
      <c r="Q1033" s="1"/>
    </row>
    <row r="1034" spans="1:17" x14ac:dyDescent="0.2">
      <c r="A1034" s="1"/>
      <c r="B1034" s="1"/>
      <c r="C1034" s="1"/>
      <c r="D1034" s="1"/>
      <c r="E1034" s="1"/>
      <c r="F1034" s="1"/>
      <c r="G1034" s="1"/>
      <c r="H1034" s="1"/>
      <c r="I1034" s="1"/>
      <c r="J1034" s="1"/>
      <c r="K1034" s="1"/>
      <c r="L1034" s="1"/>
      <c r="M1034" s="1"/>
      <c r="N1034" s="1"/>
      <c r="O1034" s="1"/>
      <c r="P1034" s="1"/>
      <c r="Q1034" s="1"/>
    </row>
    <row r="1035" spans="1:17" x14ac:dyDescent="0.2">
      <c r="A1035" s="1"/>
      <c r="B1035" s="1"/>
      <c r="C1035" s="1"/>
      <c r="D1035" s="1"/>
      <c r="E1035" s="1"/>
      <c r="F1035" s="1"/>
      <c r="G1035" s="1"/>
      <c r="H1035" s="1"/>
      <c r="I1035" s="1"/>
      <c r="J1035" s="1"/>
      <c r="K1035" s="1"/>
      <c r="L1035" s="1"/>
      <c r="M1035" s="1"/>
      <c r="N1035" s="1"/>
      <c r="O1035" s="1"/>
      <c r="P1035" s="1"/>
      <c r="Q1035" s="1"/>
    </row>
    <row r="1036" spans="1:17" x14ac:dyDescent="0.2">
      <c r="A1036" s="1"/>
      <c r="B1036" s="1"/>
      <c r="C1036" s="1"/>
      <c r="D1036" s="1"/>
      <c r="E1036" s="1"/>
      <c r="F1036" s="1"/>
      <c r="G1036" s="1"/>
      <c r="H1036" s="1"/>
      <c r="I1036" s="1"/>
      <c r="J1036" s="1"/>
      <c r="K1036" s="1"/>
      <c r="L1036" s="1"/>
      <c r="M1036" s="1"/>
      <c r="N1036" s="1"/>
      <c r="O1036" s="1"/>
      <c r="P1036" s="1"/>
      <c r="Q1036" s="1"/>
    </row>
    <row r="1037" spans="1:17" x14ac:dyDescent="0.2">
      <c r="A1037" s="1"/>
      <c r="B1037" s="1"/>
      <c r="C1037" s="1"/>
      <c r="D1037" s="1"/>
      <c r="E1037" s="1"/>
      <c r="F1037" s="1"/>
      <c r="G1037" s="1"/>
      <c r="H1037" s="1"/>
      <c r="I1037" s="1"/>
      <c r="J1037" s="1"/>
      <c r="K1037" s="1"/>
      <c r="L1037" s="1"/>
      <c r="M1037" s="1"/>
      <c r="N1037" s="1"/>
      <c r="O1037" s="1"/>
      <c r="P1037" s="1"/>
      <c r="Q1037" s="1"/>
    </row>
    <row r="1038" spans="1:17" x14ac:dyDescent="0.2">
      <c r="A1038" s="1"/>
      <c r="B1038" s="1"/>
      <c r="C1038" s="1"/>
      <c r="D1038" s="1"/>
      <c r="E1038" s="1"/>
      <c r="F1038" s="1"/>
      <c r="G1038" s="1"/>
      <c r="H1038" s="1"/>
      <c r="I1038" s="1"/>
      <c r="J1038" s="1"/>
      <c r="K1038" s="1"/>
      <c r="L1038" s="1"/>
      <c r="M1038" s="1"/>
      <c r="N1038" s="1"/>
      <c r="O1038" s="1"/>
      <c r="P1038" s="1"/>
      <c r="Q1038" s="1"/>
    </row>
    <row r="1039" spans="1:17" x14ac:dyDescent="0.2">
      <c r="A1039" s="1"/>
      <c r="B1039" s="1"/>
      <c r="C1039" s="1"/>
      <c r="D1039" s="1"/>
      <c r="E1039" s="1"/>
      <c r="F1039" s="1"/>
      <c r="G1039" s="1"/>
      <c r="H1039" s="1"/>
      <c r="I1039" s="1"/>
      <c r="J1039" s="1"/>
      <c r="K1039" s="1"/>
      <c r="L1039" s="1"/>
      <c r="M1039" s="1"/>
      <c r="N1039" s="1"/>
      <c r="O1039" s="1"/>
      <c r="P1039" s="1"/>
      <c r="Q1039" s="1"/>
    </row>
    <row r="1040" spans="1:17" x14ac:dyDescent="0.2">
      <c r="A1040" s="1"/>
      <c r="B1040" s="1"/>
      <c r="C1040" s="1"/>
      <c r="D1040" s="1"/>
      <c r="E1040" s="1"/>
      <c r="F1040" s="1"/>
      <c r="G1040" s="1"/>
      <c r="H1040" s="1"/>
      <c r="I1040" s="1"/>
      <c r="J1040" s="1"/>
      <c r="K1040" s="1"/>
      <c r="L1040" s="1"/>
      <c r="M1040" s="1"/>
      <c r="N1040" s="1"/>
      <c r="O1040" s="1"/>
      <c r="P1040" s="1"/>
      <c r="Q1040" s="1"/>
    </row>
    <row r="1041" spans="1:17" x14ac:dyDescent="0.2">
      <c r="A1041" s="1"/>
      <c r="B1041" s="1"/>
      <c r="C1041" s="1"/>
      <c r="D1041" s="1"/>
      <c r="E1041" s="1"/>
      <c r="F1041" s="1"/>
      <c r="G1041" s="1"/>
      <c r="H1041" s="1"/>
      <c r="I1041" s="1"/>
      <c r="J1041" s="1"/>
      <c r="K1041" s="1"/>
      <c r="L1041" s="1"/>
      <c r="M1041" s="1"/>
      <c r="N1041" s="1"/>
      <c r="O1041" s="1"/>
      <c r="P1041" s="1"/>
      <c r="Q1041" s="1"/>
    </row>
    <row r="1042" spans="1:17" x14ac:dyDescent="0.2">
      <c r="A1042" s="1"/>
      <c r="B1042" s="1"/>
      <c r="C1042" s="1"/>
      <c r="D1042" s="1"/>
      <c r="E1042" s="1"/>
      <c r="F1042" s="1"/>
      <c r="G1042" s="1"/>
      <c r="H1042" s="1"/>
      <c r="I1042" s="1"/>
      <c r="J1042" s="1"/>
      <c r="K1042" s="1"/>
      <c r="L1042" s="1"/>
      <c r="M1042" s="1"/>
      <c r="N1042" s="1"/>
      <c r="O1042" s="1"/>
      <c r="P1042" s="1"/>
      <c r="Q1042" s="1"/>
    </row>
    <row r="1043" spans="1:17" x14ac:dyDescent="0.2">
      <c r="A1043" s="1"/>
      <c r="B1043" s="1"/>
      <c r="C1043" s="1"/>
      <c r="D1043" s="1"/>
      <c r="E1043" s="1"/>
      <c r="F1043" s="1"/>
      <c r="G1043" s="1"/>
      <c r="H1043" s="1"/>
      <c r="I1043" s="1"/>
      <c r="J1043" s="1"/>
      <c r="K1043" s="1"/>
      <c r="L1043" s="1"/>
      <c r="M1043" s="1"/>
      <c r="N1043" s="1"/>
      <c r="O1043" s="1"/>
      <c r="P1043" s="1"/>
      <c r="Q1043" s="1"/>
    </row>
    <row r="1044" spans="1:17" x14ac:dyDescent="0.2">
      <c r="A1044" s="1"/>
      <c r="B1044" s="1"/>
      <c r="C1044" s="1"/>
      <c r="D1044" s="1"/>
      <c r="E1044" s="1"/>
      <c r="F1044" s="1"/>
      <c r="G1044" s="1"/>
      <c r="H1044" s="1"/>
      <c r="I1044" s="1"/>
      <c r="J1044" s="1"/>
      <c r="K1044" s="1"/>
      <c r="L1044" s="1"/>
      <c r="M1044" s="1"/>
      <c r="N1044" s="1"/>
      <c r="O1044" s="1"/>
      <c r="P1044" s="1"/>
      <c r="Q1044" s="1"/>
    </row>
    <row r="1045" spans="1:17" x14ac:dyDescent="0.2">
      <c r="A1045" s="1"/>
      <c r="B1045" s="1"/>
      <c r="C1045" s="1"/>
      <c r="D1045" s="1"/>
      <c r="E1045" s="1"/>
      <c r="F1045" s="1"/>
      <c r="G1045" s="1"/>
      <c r="H1045" s="1"/>
      <c r="I1045" s="1"/>
      <c r="J1045" s="1"/>
      <c r="K1045" s="1"/>
      <c r="L1045" s="1"/>
      <c r="M1045" s="1"/>
      <c r="N1045" s="1"/>
      <c r="O1045" s="1"/>
      <c r="P1045" s="1"/>
      <c r="Q1045" s="1"/>
    </row>
    <row r="1046" spans="1:17" x14ac:dyDescent="0.2">
      <c r="A1046" s="1"/>
      <c r="B1046" s="1"/>
      <c r="C1046" s="1"/>
      <c r="D1046" s="1"/>
      <c r="E1046" s="1"/>
      <c r="F1046" s="1"/>
      <c r="G1046" s="1"/>
      <c r="H1046" s="1"/>
      <c r="I1046" s="1"/>
      <c r="J1046" s="1"/>
      <c r="K1046" s="1"/>
      <c r="L1046" s="1"/>
      <c r="M1046" s="1"/>
      <c r="N1046" s="1"/>
      <c r="O1046" s="1"/>
      <c r="P1046" s="1"/>
      <c r="Q1046" s="1"/>
    </row>
    <row r="1047" spans="1:17" x14ac:dyDescent="0.2">
      <c r="A1047" s="1"/>
      <c r="B1047" s="1"/>
      <c r="C1047" s="1"/>
      <c r="D1047" s="1"/>
      <c r="E1047" s="1"/>
      <c r="F1047" s="1"/>
      <c r="G1047" s="1"/>
      <c r="H1047" s="1"/>
      <c r="I1047" s="1"/>
      <c r="J1047" s="1"/>
      <c r="K1047" s="1"/>
      <c r="L1047" s="1"/>
      <c r="M1047" s="1"/>
      <c r="N1047" s="1"/>
      <c r="O1047" s="1"/>
      <c r="P1047" s="1"/>
      <c r="Q1047" s="1"/>
    </row>
    <row r="1048" spans="1:17" x14ac:dyDescent="0.2">
      <c r="A1048" s="1"/>
      <c r="B1048" s="1"/>
      <c r="C1048" s="1"/>
      <c r="D1048" s="1"/>
      <c r="E1048" s="1"/>
      <c r="F1048" s="1"/>
      <c r="G1048" s="1"/>
      <c r="H1048" s="1"/>
      <c r="I1048" s="1"/>
      <c r="J1048" s="1"/>
      <c r="K1048" s="1"/>
      <c r="L1048" s="1"/>
      <c r="M1048" s="1"/>
      <c r="N1048" s="1"/>
      <c r="O1048" s="1"/>
      <c r="P1048" s="1"/>
      <c r="Q1048" s="1"/>
    </row>
    <row r="1049" spans="1:17" x14ac:dyDescent="0.2">
      <c r="A1049" s="1"/>
      <c r="B1049" s="1"/>
      <c r="C1049" s="1"/>
      <c r="D1049" s="1"/>
      <c r="E1049" s="1"/>
      <c r="F1049" s="1"/>
      <c r="G1049" s="1"/>
      <c r="H1049" s="1"/>
      <c r="I1049" s="1"/>
      <c r="J1049" s="1"/>
      <c r="K1049" s="1"/>
      <c r="L1049" s="1"/>
      <c r="M1049" s="1"/>
      <c r="N1049" s="1"/>
      <c r="O1049" s="1"/>
      <c r="P1049" s="1"/>
      <c r="Q1049" s="1"/>
    </row>
    <row r="1050" spans="1:17" x14ac:dyDescent="0.2">
      <c r="A1050" s="1"/>
      <c r="B1050" s="1"/>
      <c r="C1050" s="1"/>
      <c r="D1050" s="1"/>
      <c r="E1050" s="1"/>
      <c r="F1050" s="1"/>
      <c r="G1050" s="1"/>
      <c r="H1050" s="1"/>
      <c r="I1050" s="1"/>
      <c r="J1050" s="1"/>
      <c r="K1050" s="1"/>
      <c r="L1050" s="1"/>
      <c r="M1050" s="1"/>
      <c r="N1050" s="1"/>
      <c r="O1050" s="1"/>
      <c r="P1050" s="1"/>
      <c r="Q1050" s="1"/>
    </row>
    <row r="1051" spans="1:17" x14ac:dyDescent="0.2">
      <c r="A1051" s="1"/>
      <c r="B1051" s="1"/>
      <c r="C1051" s="1"/>
      <c r="D1051" s="1"/>
      <c r="E1051" s="1"/>
      <c r="F1051" s="1"/>
      <c r="G1051" s="1"/>
      <c r="H1051" s="1"/>
      <c r="I1051" s="1"/>
      <c r="J1051" s="1"/>
      <c r="K1051" s="1"/>
      <c r="L1051" s="1"/>
      <c r="M1051" s="1"/>
      <c r="N1051" s="1"/>
      <c r="O1051" s="1"/>
      <c r="P1051" s="1"/>
      <c r="Q1051" s="1"/>
    </row>
    <row r="1052" spans="1:17" x14ac:dyDescent="0.2">
      <c r="A1052" s="1"/>
      <c r="B1052" s="1"/>
      <c r="C1052" s="1"/>
      <c r="D1052" s="1"/>
      <c r="E1052" s="1"/>
      <c r="F1052" s="1"/>
      <c r="G1052" s="1"/>
      <c r="H1052" s="1"/>
      <c r="I1052" s="1"/>
      <c r="J1052" s="1"/>
      <c r="K1052" s="1"/>
      <c r="L1052" s="1"/>
      <c r="M1052" s="1"/>
      <c r="N1052" s="1"/>
      <c r="O1052" s="1"/>
      <c r="P1052" s="1"/>
      <c r="Q1052" s="1"/>
    </row>
    <row r="1053" spans="1:17" x14ac:dyDescent="0.2">
      <c r="A1053" s="1"/>
      <c r="B1053" s="1"/>
      <c r="C1053" s="1"/>
      <c r="D1053" s="1"/>
      <c r="E1053" s="1"/>
      <c r="F1053" s="1"/>
      <c r="G1053" s="1"/>
      <c r="H1053" s="1"/>
      <c r="I1053" s="1"/>
      <c r="J1053" s="1"/>
      <c r="K1053" s="1"/>
      <c r="L1053" s="1"/>
      <c r="M1053" s="1"/>
      <c r="N1053" s="1"/>
      <c r="O1053" s="1"/>
      <c r="P1053" s="1"/>
      <c r="Q1053" s="1"/>
    </row>
    <row r="1054" spans="1:17" x14ac:dyDescent="0.2">
      <c r="A1054" s="1"/>
      <c r="B1054" s="1"/>
      <c r="C1054" s="1"/>
      <c r="D1054" s="1"/>
      <c r="E1054" s="1"/>
      <c r="F1054" s="1"/>
      <c r="G1054" s="1"/>
      <c r="H1054" s="1"/>
      <c r="I1054" s="1"/>
      <c r="J1054" s="1"/>
      <c r="K1054" s="1"/>
      <c r="L1054" s="1"/>
      <c r="M1054" s="1"/>
      <c r="N1054" s="1"/>
      <c r="O1054" s="1"/>
      <c r="P1054" s="1"/>
      <c r="Q1054" s="1"/>
    </row>
    <row r="1055" spans="1:17" x14ac:dyDescent="0.2">
      <c r="A1055" s="1"/>
      <c r="B1055" s="1"/>
      <c r="C1055" s="1"/>
      <c r="D1055" s="1"/>
      <c r="E1055" s="1"/>
      <c r="F1055" s="1"/>
      <c r="G1055" s="1"/>
      <c r="H1055" s="1"/>
      <c r="I1055" s="1"/>
      <c r="J1055" s="1"/>
      <c r="K1055" s="1"/>
      <c r="L1055" s="1"/>
      <c r="M1055" s="1"/>
      <c r="N1055" s="1"/>
      <c r="O1055" s="1"/>
      <c r="P1055" s="1"/>
      <c r="Q1055" s="1"/>
    </row>
    <row r="1056" spans="1:17" x14ac:dyDescent="0.2">
      <c r="A1056" s="1"/>
      <c r="B1056" s="1"/>
      <c r="C1056" s="1"/>
      <c r="D1056" s="1"/>
      <c r="E1056" s="1"/>
      <c r="F1056" s="1"/>
      <c r="G1056" s="1"/>
      <c r="H1056" s="1"/>
      <c r="I1056" s="1"/>
      <c r="J1056" s="1"/>
      <c r="K1056" s="1"/>
      <c r="L1056" s="1"/>
      <c r="M1056" s="1"/>
      <c r="N1056" s="1"/>
      <c r="O1056" s="1"/>
      <c r="P1056" s="1"/>
      <c r="Q1056" s="1"/>
    </row>
    <row r="1057" spans="1:17" x14ac:dyDescent="0.2">
      <c r="A1057" s="1"/>
      <c r="B1057" s="1"/>
      <c r="C1057" s="1"/>
      <c r="D1057" s="1"/>
      <c r="E1057" s="1"/>
      <c r="F1057" s="1"/>
      <c r="G1057" s="1"/>
      <c r="H1057" s="1"/>
      <c r="I1057" s="1"/>
      <c r="J1057" s="1"/>
      <c r="K1057" s="1"/>
      <c r="L1057" s="1"/>
      <c r="M1057" s="1"/>
      <c r="N1057" s="1"/>
      <c r="O1057" s="1"/>
      <c r="P1057" s="1"/>
      <c r="Q1057" s="1"/>
    </row>
    <row r="1058" spans="1:17" x14ac:dyDescent="0.2">
      <c r="A1058" s="1"/>
      <c r="B1058" s="1"/>
      <c r="C1058" s="1"/>
      <c r="D1058" s="1"/>
      <c r="E1058" s="1"/>
      <c r="F1058" s="1"/>
      <c r="G1058" s="1"/>
      <c r="H1058" s="1"/>
      <c r="I1058" s="1"/>
      <c r="J1058" s="1"/>
      <c r="K1058" s="1"/>
      <c r="L1058" s="1"/>
      <c r="M1058" s="1"/>
      <c r="N1058" s="1"/>
      <c r="O1058" s="1"/>
      <c r="P1058" s="1"/>
      <c r="Q1058" s="1"/>
    </row>
    <row r="1059" spans="1:17" x14ac:dyDescent="0.2">
      <c r="A1059" s="1"/>
      <c r="B1059" s="1"/>
      <c r="C1059" s="1"/>
      <c r="D1059" s="1"/>
      <c r="E1059" s="1"/>
      <c r="F1059" s="1"/>
      <c r="G1059" s="1"/>
      <c r="H1059" s="1"/>
      <c r="I1059" s="1"/>
      <c r="J1059" s="1"/>
      <c r="K1059" s="1"/>
      <c r="L1059" s="1"/>
      <c r="M1059" s="1"/>
      <c r="N1059" s="1"/>
      <c r="O1059" s="1"/>
      <c r="P1059" s="1"/>
      <c r="Q1059" s="1"/>
    </row>
    <row r="1060" spans="1:17" x14ac:dyDescent="0.2">
      <c r="A1060" s="1"/>
      <c r="B1060" s="1"/>
      <c r="C1060" s="1"/>
      <c r="D1060" s="1"/>
      <c r="E1060" s="1"/>
      <c r="F1060" s="1"/>
      <c r="G1060" s="1"/>
      <c r="H1060" s="1"/>
      <c r="I1060" s="1"/>
      <c r="J1060" s="1"/>
      <c r="K1060" s="1"/>
      <c r="L1060" s="1"/>
      <c r="M1060" s="1"/>
      <c r="N1060" s="1"/>
      <c r="O1060" s="1"/>
      <c r="P1060" s="1"/>
      <c r="Q1060" s="1"/>
    </row>
    <row r="1061" spans="1:17" x14ac:dyDescent="0.2">
      <c r="A1061" s="1"/>
      <c r="B1061" s="1"/>
      <c r="C1061" s="1"/>
      <c r="D1061" s="1"/>
      <c r="E1061" s="1"/>
      <c r="F1061" s="1"/>
      <c r="G1061" s="1"/>
      <c r="H1061" s="1"/>
      <c r="I1061" s="1"/>
      <c r="J1061" s="1"/>
      <c r="K1061" s="1"/>
      <c r="L1061" s="1"/>
      <c r="M1061" s="1"/>
      <c r="N1061" s="1"/>
      <c r="O1061" s="1"/>
      <c r="P1061" s="1"/>
      <c r="Q1061" s="1"/>
    </row>
    <row r="1062" spans="1:17" x14ac:dyDescent="0.2">
      <c r="A1062" s="1"/>
      <c r="B1062" s="1"/>
      <c r="C1062" s="1"/>
      <c r="D1062" s="1"/>
      <c r="E1062" s="1"/>
      <c r="F1062" s="1"/>
      <c r="G1062" s="1"/>
      <c r="H1062" s="1"/>
      <c r="I1062" s="1"/>
      <c r="J1062" s="1"/>
      <c r="K1062" s="1"/>
      <c r="L1062" s="1"/>
      <c r="M1062" s="1"/>
      <c r="N1062" s="1"/>
      <c r="O1062" s="1"/>
      <c r="P1062" s="1"/>
      <c r="Q1062" s="1"/>
    </row>
    <row r="1063" spans="1:17" x14ac:dyDescent="0.2">
      <c r="A1063" s="1"/>
      <c r="B1063" s="1"/>
      <c r="C1063" s="1"/>
      <c r="D1063" s="1"/>
      <c r="E1063" s="1"/>
      <c r="F1063" s="1"/>
      <c r="G1063" s="1"/>
      <c r="H1063" s="1"/>
      <c r="I1063" s="1"/>
      <c r="J1063" s="1"/>
      <c r="K1063" s="1"/>
      <c r="L1063" s="1"/>
      <c r="M1063" s="1"/>
      <c r="N1063" s="1"/>
      <c r="O1063" s="1"/>
      <c r="P1063" s="1"/>
      <c r="Q1063" s="1"/>
    </row>
    <row r="1064" spans="1:17" x14ac:dyDescent="0.2">
      <c r="A1064" s="1"/>
      <c r="B1064" s="1"/>
      <c r="C1064" s="1"/>
      <c r="D1064" s="1"/>
      <c r="E1064" s="1"/>
      <c r="F1064" s="1"/>
      <c r="G1064" s="1"/>
      <c r="H1064" s="1"/>
      <c r="I1064" s="1"/>
      <c r="J1064" s="1"/>
      <c r="K1064" s="1"/>
      <c r="L1064" s="1"/>
      <c r="M1064" s="1"/>
      <c r="N1064" s="1"/>
      <c r="O1064" s="1"/>
      <c r="P1064" s="1"/>
      <c r="Q1064" s="1"/>
    </row>
    <row r="1065" spans="1:17" x14ac:dyDescent="0.2">
      <c r="A1065" s="1"/>
      <c r="B1065" s="1"/>
      <c r="C1065" s="1"/>
      <c r="D1065" s="1"/>
      <c r="E1065" s="1"/>
      <c r="F1065" s="1"/>
      <c r="G1065" s="1"/>
      <c r="H1065" s="1"/>
      <c r="I1065" s="1"/>
      <c r="J1065" s="1"/>
      <c r="K1065" s="1"/>
      <c r="L1065" s="1"/>
      <c r="M1065" s="1"/>
      <c r="N1065" s="1"/>
      <c r="O1065" s="1"/>
      <c r="P1065" s="1"/>
      <c r="Q1065" s="1"/>
    </row>
    <row r="1066" spans="1:17" x14ac:dyDescent="0.2">
      <c r="A1066" s="1"/>
      <c r="B1066" s="1"/>
      <c r="C1066" s="1"/>
      <c r="D1066" s="1"/>
      <c r="E1066" s="1"/>
      <c r="F1066" s="1"/>
      <c r="G1066" s="1"/>
      <c r="H1066" s="1"/>
      <c r="I1066" s="1"/>
      <c r="J1066" s="1"/>
      <c r="K1066" s="1"/>
      <c r="L1066" s="1"/>
      <c r="M1066" s="1"/>
      <c r="N1066" s="1"/>
      <c r="O1066" s="1"/>
      <c r="P1066" s="1"/>
      <c r="Q1066" s="1"/>
    </row>
    <row r="1067" spans="1:17" x14ac:dyDescent="0.2">
      <c r="A1067" s="1"/>
      <c r="B1067" s="1"/>
      <c r="C1067" s="1"/>
      <c r="D1067" s="1"/>
      <c r="E1067" s="1"/>
      <c r="F1067" s="1"/>
      <c r="G1067" s="1"/>
      <c r="H1067" s="1"/>
      <c r="I1067" s="1"/>
      <c r="J1067" s="1"/>
      <c r="K1067" s="1"/>
      <c r="L1067" s="1"/>
      <c r="M1067" s="1"/>
      <c r="N1067" s="1"/>
      <c r="O1067" s="1"/>
      <c r="P1067" s="1"/>
      <c r="Q1067" s="1"/>
    </row>
    <row r="1068" spans="1:17" x14ac:dyDescent="0.2">
      <c r="A1068" s="1"/>
      <c r="B1068" s="1"/>
      <c r="C1068" s="1"/>
      <c r="D1068" s="1"/>
      <c r="E1068" s="1"/>
      <c r="F1068" s="1"/>
      <c r="G1068" s="1"/>
      <c r="H1068" s="1"/>
      <c r="I1068" s="1"/>
      <c r="J1068" s="1"/>
      <c r="K1068" s="1"/>
      <c r="L1068" s="1"/>
      <c r="M1068" s="1"/>
      <c r="N1068" s="1"/>
      <c r="O1068" s="1"/>
      <c r="P1068" s="1"/>
      <c r="Q1068" s="1"/>
    </row>
    <row r="1069" spans="1:17" x14ac:dyDescent="0.2">
      <c r="A1069" s="1"/>
      <c r="B1069" s="1"/>
      <c r="C1069" s="1"/>
      <c r="D1069" s="1"/>
      <c r="E1069" s="1"/>
      <c r="F1069" s="1"/>
      <c r="G1069" s="1"/>
      <c r="H1069" s="1"/>
      <c r="I1069" s="1"/>
      <c r="J1069" s="1"/>
      <c r="K1069" s="1"/>
      <c r="L1069" s="1"/>
      <c r="M1069" s="1"/>
      <c r="N1069" s="1"/>
      <c r="O1069" s="1"/>
      <c r="P1069" s="1"/>
      <c r="Q1069" s="1"/>
    </row>
    <row r="1070" spans="1:17" x14ac:dyDescent="0.2">
      <c r="A1070" s="1"/>
      <c r="B1070" s="1"/>
      <c r="C1070" s="1"/>
      <c r="D1070" s="1"/>
      <c r="E1070" s="1"/>
      <c r="F1070" s="1"/>
      <c r="G1070" s="1"/>
      <c r="H1070" s="1"/>
      <c r="I1070" s="1"/>
      <c r="J1070" s="1"/>
      <c r="K1070" s="1"/>
      <c r="L1070" s="1"/>
      <c r="M1070" s="1"/>
      <c r="N1070" s="1"/>
      <c r="O1070" s="1"/>
      <c r="P1070" s="1"/>
      <c r="Q1070" s="1"/>
    </row>
    <row r="1071" spans="1:17" x14ac:dyDescent="0.2">
      <c r="A1071" s="1"/>
      <c r="B1071" s="1"/>
      <c r="C1071" s="1"/>
      <c r="D1071" s="1"/>
      <c r="E1071" s="1"/>
      <c r="F1071" s="1"/>
      <c r="G1071" s="1"/>
      <c r="H1071" s="1"/>
      <c r="I1071" s="1"/>
      <c r="J1071" s="1"/>
      <c r="K1071" s="1"/>
      <c r="L1071" s="1"/>
      <c r="M1071" s="1"/>
      <c r="N1071" s="1"/>
      <c r="O1071" s="1"/>
      <c r="P1071" s="1"/>
      <c r="Q1071" s="1"/>
    </row>
    <row r="1072" spans="1:17" x14ac:dyDescent="0.2">
      <c r="A1072" s="1"/>
      <c r="B1072" s="1"/>
      <c r="C1072" s="1"/>
      <c r="D1072" s="1"/>
      <c r="E1072" s="1"/>
      <c r="F1072" s="1"/>
      <c r="G1072" s="1"/>
      <c r="H1072" s="1"/>
      <c r="I1072" s="1"/>
      <c r="J1072" s="1"/>
      <c r="K1072" s="1"/>
      <c r="L1072" s="1"/>
      <c r="M1072" s="1"/>
      <c r="N1072" s="1"/>
      <c r="O1072" s="1"/>
      <c r="P1072" s="1"/>
      <c r="Q1072" s="1"/>
    </row>
    <row r="1073" spans="1:17" x14ac:dyDescent="0.2">
      <c r="A1073" s="1"/>
      <c r="B1073" s="1"/>
      <c r="C1073" s="1"/>
      <c r="D1073" s="1"/>
      <c r="E1073" s="1"/>
      <c r="F1073" s="1"/>
      <c r="G1073" s="1"/>
      <c r="H1073" s="1"/>
      <c r="I1073" s="1"/>
      <c r="J1073" s="1"/>
      <c r="K1073" s="1"/>
      <c r="L1073" s="1"/>
      <c r="M1073" s="1"/>
      <c r="N1073" s="1"/>
      <c r="O1073" s="1"/>
      <c r="P1073" s="1"/>
      <c r="Q1073" s="1"/>
    </row>
    <row r="1074" spans="1:17" x14ac:dyDescent="0.2">
      <c r="A1074" s="1"/>
      <c r="B1074" s="1"/>
      <c r="C1074" s="1"/>
      <c r="D1074" s="1"/>
      <c r="E1074" s="1"/>
      <c r="F1074" s="1"/>
      <c r="G1074" s="1"/>
      <c r="H1074" s="1"/>
      <c r="I1074" s="1"/>
      <c r="J1074" s="1"/>
      <c r="K1074" s="1"/>
      <c r="L1074" s="1"/>
      <c r="M1074" s="1"/>
      <c r="N1074" s="1"/>
      <c r="O1074" s="1"/>
      <c r="P1074" s="1"/>
      <c r="Q1074" s="1"/>
    </row>
    <row r="1075" spans="1:17" x14ac:dyDescent="0.2">
      <c r="A1075" s="1"/>
      <c r="B1075" s="1"/>
      <c r="C1075" s="1"/>
      <c r="D1075" s="1"/>
      <c r="E1075" s="1"/>
      <c r="F1075" s="1"/>
      <c r="G1075" s="1"/>
      <c r="H1075" s="1"/>
      <c r="I1075" s="1"/>
      <c r="J1075" s="1"/>
      <c r="K1075" s="1"/>
      <c r="L1075" s="1"/>
      <c r="M1075" s="1"/>
      <c r="N1075" s="1"/>
      <c r="O1075" s="1"/>
      <c r="P1075" s="1"/>
      <c r="Q1075" s="1"/>
    </row>
    <row r="1076" spans="1:17" x14ac:dyDescent="0.2">
      <c r="A1076" s="1"/>
      <c r="B1076" s="1"/>
      <c r="C1076" s="1"/>
      <c r="D1076" s="1"/>
      <c r="E1076" s="1"/>
      <c r="F1076" s="1"/>
      <c r="G1076" s="1"/>
      <c r="H1076" s="1"/>
      <c r="I1076" s="1"/>
      <c r="J1076" s="1"/>
      <c r="K1076" s="1"/>
      <c r="L1076" s="1"/>
      <c r="M1076" s="1"/>
      <c r="N1076" s="1"/>
      <c r="O1076" s="1"/>
      <c r="P1076" s="1"/>
      <c r="Q1076" s="1"/>
    </row>
    <row r="1077" spans="1:17" x14ac:dyDescent="0.2">
      <c r="A1077" s="1"/>
      <c r="B1077" s="1"/>
      <c r="C1077" s="1"/>
      <c r="D1077" s="1"/>
      <c r="E1077" s="1"/>
      <c r="F1077" s="1"/>
      <c r="G1077" s="1"/>
      <c r="H1077" s="1"/>
      <c r="I1077" s="1"/>
      <c r="J1077" s="1"/>
      <c r="K1077" s="1"/>
      <c r="L1077" s="1"/>
      <c r="M1077" s="1"/>
      <c r="N1077" s="1"/>
      <c r="O1077" s="1"/>
      <c r="P1077" s="1"/>
      <c r="Q1077" s="1"/>
    </row>
    <row r="1078" spans="1:17" x14ac:dyDescent="0.2">
      <c r="A1078" s="1"/>
      <c r="B1078" s="1"/>
      <c r="C1078" s="1"/>
      <c r="D1078" s="1"/>
      <c r="E1078" s="1"/>
      <c r="F1078" s="1"/>
      <c r="G1078" s="1"/>
      <c r="H1078" s="1"/>
      <c r="I1078" s="1"/>
      <c r="J1078" s="1"/>
      <c r="K1078" s="1"/>
      <c r="L1078" s="1"/>
      <c r="M1078" s="1"/>
      <c r="N1078" s="1"/>
      <c r="O1078" s="1"/>
      <c r="P1078" s="1"/>
      <c r="Q1078" s="1"/>
    </row>
    <row r="1079" spans="1:17" x14ac:dyDescent="0.2">
      <c r="A1079" s="1"/>
      <c r="B1079" s="1"/>
      <c r="C1079" s="1"/>
      <c r="D1079" s="1"/>
      <c r="E1079" s="1"/>
      <c r="F1079" s="1"/>
      <c r="G1079" s="1"/>
      <c r="H1079" s="1"/>
      <c r="I1079" s="1"/>
      <c r="J1079" s="1"/>
      <c r="K1079" s="1"/>
      <c r="L1079" s="1"/>
      <c r="M1079" s="1"/>
      <c r="N1079" s="1"/>
      <c r="O1079" s="1"/>
      <c r="P1079" s="1"/>
      <c r="Q1079" s="1"/>
    </row>
    <row r="1080" spans="1:17" x14ac:dyDescent="0.2">
      <c r="A1080" s="1"/>
      <c r="B1080" s="1"/>
      <c r="C1080" s="1"/>
      <c r="D1080" s="1"/>
      <c r="E1080" s="1"/>
      <c r="F1080" s="1"/>
      <c r="G1080" s="1"/>
      <c r="H1080" s="1"/>
      <c r="I1080" s="1"/>
      <c r="J1080" s="1"/>
      <c r="K1080" s="1"/>
      <c r="L1080" s="1"/>
      <c r="M1080" s="1"/>
      <c r="N1080" s="1"/>
      <c r="O1080" s="1"/>
      <c r="P1080" s="1"/>
      <c r="Q1080" s="1"/>
    </row>
    <row r="1081" spans="1:17" x14ac:dyDescent="0.2">
      <c r="A1081" s="1"/>
      <c r="B1081" s="1"/>
      <c r="C1081" s="1"/>
      <c r="D1081" s="1"/>
      <c r="E1081" s="1"/>
      <c r="F1081" s="1"/>
      <c r="G1081" s="1"/>
      <c r="H1081" s="1"/>
      <c r="I1081" s="1"/>
      <c r="J1081" s="1"/>
      <c r="K1081" s="1"/>
      <c r="L1081" s="1"/>
      <c r="M1081" s="1"/>
      <c r="N1081" s="1"/>
      <c r="O1081" s="1"/>
      <c r="P1081" s="1"/>
      <c r="Q1081" s="1"/>
    </row>
    <row r="1082" spans="1:17" x14ac:dyDescent="0.2">
      <c r="A1082" s="1"/>
      <c r="B1082" s="1"/>
      <c r="C1082" s="1"/>
      <c r="D1082" s="1"/>
      <c r="E1082" s="1"/>
      <c r="F1082" s="1"/>
      <c r="G1082" s="1"/>
      <c r="H1082" s="1"/>
      <c r="I1082" s="1"/>
      <c r="J1082" s="1"/>
      <c r="K1082" s="1"/>
      <c r="L1082" s="1"/>
      <c r="M1082" s="1"/>
      <c r="N1082" s="1"/>
      <c r="O1082" s="1"/>
      <c r="P1082" s="1"/>
      <c r="Q1082" s="1"/>
    </row>
    <row r="1083" spans="1:17" x14ac:dyDescent="0.2">
      <c r="A1083" s="1"/>
      <c r="B1083" s="1"/>
      <c r="C1083" s="1"/>
      <c r="D1083" s="1"/>
      <c r="E1083" s="1"/>
      <c r="F1083" s="1"/>
      <c r="G1083" s="1"/>
      <c r="H1083" s="1"/>
      <c r="I1083" s="1"/>
      <c r="J1083" s="1"/>
      <c r="K1083" s="1"/>
      <c r="L1083" s="1"/>
      <c r="M1083" s="1"/>
      <c r="N1083" s="1"/>
      <c r="O1083" s="1"/>
      <c r="P1083" s="1"/>
      <c r="Q1083" s="1"/>
    </row>
    <row r="1084" spans="1:17" x14ac:dyDescent="0.2">
      <c r="A1084" s="1"/>
      <c r="B1084" s="1"/>
      <c r="C1084" s="1"/>
      <c r="D1084" s="1"/>
      <c r="E1084" s="1"/>
      <c r="F1084" s="1"/>
      <c r="G1084" s="1"/>
      <c r="H1084" s="1"/>
      <c r="I1084" s="1"/>
      <c r="J1084" s="1"/>
      <c r="K1084" s="1"/>
      <c r="L1084" s="1"/>
      <c r="M1084" s="1"/>
      <c r="N1084" s="1"/>
      <c r="O1084" s="1"/>
      <c r="P1084" s="1"/>
      <c r="Q1084" s="1"/>
    </row>
    <row r="1085" spans="1:17" x14ac:dyDescent="0.2">
      <c r="A1085" s="1"/>
      <c r="B1085" s="1"/>
      <c r="C1085" s="1"/>
      <c r="D1085" s="1"/>
      <c r="E1085" s="1"/>
      <c r="F1085" s="1"/>
      <c r="G1085" s="1"/>
      <c r="H1085" s="1"/>
      <c r="I1085" s="1"/>
      <c r="J1085" s="1"/>
      <c r="K1085" s="1"/>
      <c r="L1085" s="1"/>
      <c r="M1085" s="1"/>
      <c r="N1085" s="1"/>
      <c r="O1085" s="1"/>
      <c r="P1085" s="1"/>
      <c r="Q1085" s="1"/>
    </row>
    <row r="1086" spans="1:17" x14ac:dyDescent="0.2">
      <c r="A1086" s="1"/>
      <c r="B1086" s="1"/>
      <c r="C1086" s="1"/>
      <c r="D1086" s="1"/>
      <c r="E1086" s="1"/>
      <c r="F1086" s="1"/>
      <c r="G1086" s="1"/>
      <c r="H1086" s="1"/>
      <c r="I1086" s="1"/>
      <c r="J1086" s="1"/>
      <c r="K1086" s="1"/>
      <c r="L1086" s="1"/>
      <c r="M1086" s="1"/>
      <c r="N1086" s="1"/>
      <c r="O1086" s="1"/>
      <c r="P1086" s="1"/>
      <c r="Q1086" s="1"/>
    </row>
    <row r="1087" spans="1:17" x14ac:dyDescent="0.2">
      <c r="A1087" s="1"/>
      <c r="B1087" s="1"/>
      <c r="C1087" s="1"/>
      <c r="D1087" s="1"/>
      <c r="E1087" s="1"/>
      <c r="F1087" s="1"/>
      <c r="G1087" s="1"/>
      <c r="H1087" s="1"/>
      <c r="I1087" s="1"/>
      <c r="J1087" s="1"/>
      <c r="K1087" s="1"/>
      <c r="L1087" s="1"/>
      <c r="M1087" s="1"/>
      <c r="N1087" s="1"/>
      <c r="O1087" s="1"/>
      <c r="P1087" s="1"/>
      <c r="Q1087" s="1"/>
    </row>
    <row r="1088" spans="1:17" x14ac:dyDescent="0.2">
      <c r="A1088" s="1"/>
      <c r="B1088" s="1"/>
      <c r="C1088" s="1"/>
      <c r="D1088" s="1"/>
      <c r="E1088" s="1"/>
      <c r="F1088" s="1"/>
      <c r="G1088" s="1"/>
      <c r="H1088" s="1"/>
      <c r="I1088" s="1"/>
      <c r="J1088" s="1"/>
      <c r="K1088" s="1"/>
      <c r="L1088" s="1"/>
      <c r="M1088" s="1"/>
      <c r="N1088" s="1"/>
      <c r="O1088" s="1"/>
      <c r="P1088" s="1"/>
      <c r="Q1088" s="1"/>
    </row>
    <row r="1089" spans="1:17" x14ac:dyDescent="0.2">
      <c r="A1089" s="1"/>
      <c r="B1089" s="1"/>
      <c r="C1089" s="1"/>
      <c r="D1089" s="1"/>
      <c r="E1089" s="1"/>
      <c r="F1089" s="1"/>
      <c r="G1089" s="1"/>
      <c r="H1089" s="1"/>
      <c r="I1089" s="1"/>
      <c r="J1089" s="1"/>
      <c r="K1089" s="1"/>
      <c r="L1089" s="1"/>
      <c r="M1089" s="1"/>
      <c r="N1089" s="1"/>
      <c r="O1089" s="1"/>
      <c r="P1089" s="1"/>
      <c r="Q1089" s="1"/>
    </row>
    <row r="1090" spans="1:17" x14ac:dyDescent="0.2">
      <c r="A1090" s="1"/>
      <c r="B1090" s="1"/>
      <c r="C1090" s="1"/>
      <c r="D1090" s="1"/>
      <c r="E1090" s="1"/>
      <c r="F1090" s="1"/>
      <c r="G1090" s="1"/>
      <c r="H1090" s="1"/>
      <c r="I1090" s="1"/>
      <c r="J1090" s="1"/>
      <c r="K1090" s="1"/>
      <c r="L1090" s="1"/>
      <c r="M1090" s="1"/>
      <c r="N1090" s="1"/>
      <c r="O1090" s="1"/>
      <c r="P1090" s="1"/>
      <c r="Q1090" s="1"/>
    </row>
    <row r="1091" spans="1:17" x14ac:dyDescent="0.2">
      <c r="A1091" s="1"/>
      <c r="B1091" s="1"/>
      <c r="C1091" s="1"/>
      <c r="D1091" s="1"/>
      <c r="E1091" s="1"/>
      <c r="F1091" s="1"/>
      <c r="G1091" s="1"/>
      <c r="H1091" s="1"/>
      <c r="I1091" s="1"/>
      <c r="J1091" s="1"/>
      <c r="K1091" s="1"/>
      <c r="L1091" s="1"/>
      <c r="M1091" s="1"/>
      <c r="N1091" s="1"/>
      <c r="O1091" s="1"/>
      <c r="P1091" s="1"/>
      <c r="Q1091" s="1"/>
    </row>
    <row r="1092" spans="1:17" x14ac:dyDescent="0.2">
      <c r="A1092" s="1"/>
      <c r="B1092" s="1"/>
      <c r="C1092" s="1"/>
      <c r="D1092" s="1"/>
      <c r="E1092" s="1"/>
      <c r="F1092" s="1"/>
      <c r="G1092" s="1"/>
      <c r="H1092" s="1"/>
      <c r="I1092" s="1"/>
      <c r="J1092" s="1"/>
      <c r="K1092" s="1"/>
      <c r="L1092" s="1"/>
      <c r="M1092" s="1"/>
      <c r="N1092" s="1"/>
      <c r="O1092" s="1"/>
      <c r="P1092" s="1"/>
      <c r="Q1092" s="1"/>
    </row>
    <row r="1093" spans="1:17" x14ac:dyDescent="0.2">
      <c r="A1093" s="1"/>
      <c r="B1093" s="1"/>
      <c r="C1093" s="1"/>
      <c r="D1093" s="1"/>
      <c r="E1093" s="1"/>
      <c r="F1093" s="1"/>
      <c r="G1093" s="1"/>
      <c r="H1093" s="1"/>
      <c r="I1093" s="1"/>
      <c r="J1093" s="1"/>
      <c r="K1093" s="1"/>
      <c r="L1093" s="1"/>
      <c r="M1093" s="1"/>
      <c r="N1093" s="1"/>
      <c r="O1093" s="1"/>
      <c r="P1093" s="1"/>
      <c r="Q1093" s="1"/>
    </row>
    <row r="1094" spans="1:17" x14ac:dyDescent="0.2">
      <c r="A1094" s="1"/>
      <c r="B1094" s="1"/>
      <c r="C1094" s="1"/>
      <c r="D1094" s="1"/>
      <c r="E1094" s="1"/>
      <c r="F1094" s="1"/>
      <c r="G1094" s="1"/>
      <c r="H1094" s="1"/>
      <c r="I1094" s="1"/>
      <c r="J1094" s="1"/>
      <c r="K1094" s="1"/>
      <c r="L1094" s="1"/>
      <c r="M1094" s="1"/>
      <c r="N1094" s="1"/>
      <c r="O1094" s="1"/>
      <c r="P1094" s="1"/>
      <c r="Q1094" s="1"/>
    </row>
    <row r="1095" spans="1:17" x14ac:dyDescent="0.2">
      <c r="A1095" s="1"/>
      <c r="B1095" s="1"/>
      <c r="C1095" s="1"/>
      <c r="D1095" s="1"/>
      <c r="E1095" s="1"/>
      <c r="F1095" s="1"/>
      <c r="G1095" s="1"/>
      <c r="H1095" s="1"/>
      <c r="I1095" s="1"/>
      <c r="J1095" s="1"/>
      <c r="K1095" s="1"/>
      <c r="L1095" s="1"/>
      <c r="M1095" s="1"/>
      <c r="N1095" s="1"/>
      <c r="O1095" s="1"/>
      <c r="P1095" s="1"/>
      <c r="Q1095" s="1"/>
    </row>
    <row r="1096" spans="1:17" x14ac:dyDescent="0.2">
      <c r="A1096" s="1"/>
      <c r="B1096" s="1"/>
      <c r="C1096" s="1"/>
      <c r="D1096" s="1"/>
      <c r="E1096" s="1"/>
      <c r="F1096" s="1"/>
      <c r="G1096" s="1"/>
      <c r="H1096" s="1"/>
      <c r="I1096" s="1"/>
      <c r="J1096" s="1"/>
      <c r="K1096" s="1"/>
      <c r="L1096" s="1"/>
      <c r="M1096" s="1"/>
      <c r="N1096" s="1"/>
      <c r="O1096" s="1"/>
      <c r="P1096" s="1"/>
      <c r="Q1096" s="1"/>
    </row>
    <row r="1097" spans="1:17" x14ac:dyDescent="0.2">
      <c r="A1097" s="1"/>
      <c r="B1097" s="1"/>
      <c r="C1097" s="1"/>
      <c r="D1097" s="1"/>
      <c r="E1097" s="1"/>
      <c r="F1097" s="1"/>
      <c r="G1097" s="1"/>
      <c r="H1097" s="1"/>
      <c r="I1097" s="1"/>
      <c r="J1097" s="1"/>
      <c r="K1097" s="1"/>
      <c r="L1097" s="1"/>
      <c r="M1097" s="1"/>
      <c r="N1097" s="1"/>
      <c r="O1097" s="1"/>
      <c r="P1097" s="1"/>
      <c r="Q1097" s="1"/>
    </row>
    <row r="1098" spans="1:17" x14ac:dyDescent="0.2">
      <c r="A1098" s="1"/>
      <c r="B1098" s="1"/>
      <c r="C1098" s="1"/>
      <c r="D1098" s="1"/>
      <c r="E1098" s="1"/>
      <c r="F1098" s="1"/>
      <c r="G1098" s="1"/>
      <c r="H1098" s="1"/>
      <c r="I1098" s="1"/>
      <c r="J1098" s="1"/>
      <c r="K1098" s="1"/>
      <c r="L1098" s="1"/>
      <c r="M1098" s="1"/>
      <c r="N1098" s="1"/>
      <c r="O1098" s="1"/>
      <c r="P1098" s="1"/>
      <c r="Q1098" s="1"/>
    </row>
    <row r="1099" spans="1:17" x14ac:dyDescent="0.2">
      <c r="A1099" s="1"/>
      <c r="B1099" s="1"/>
      <c r="C1099" s="1"/>
      <c r="D1099" s="1"/>
      <c r="E1099" s="1"/>
      <c r="F1099" s="1"/>
      <c r="G1099" s="1"/>
      <c r="H1099" s="1"/>
      <c r="I1099" s="1"/>
      <c r="J1099" s="1"/>
      <c r="K1099" s="1"/>
      <c r="L1099" s="1"/>
      <c r="M1099" s="1"/>
      <c r="N1099" s="1"/>
      <c r="O1099" s="1"/>
      <c r="P1099" s="1"/>
      <c r="Q1099" s="1"/>
    </row>
    <row r="1100" spans="1:17" x14ac:dyDescent="0.2">
      <c r="A1100" s="1"/>
      <c r="B1100" s="1"/>
      <c r="C1100" s="1"/>
      <c r="D1100" s="1"/>
      <c r="E1100" s="1"/>
      <c r="F1100" s="1"/>
      <c r="G1100" s="1"/>
      <c r="H1100" s="1"/>
      <c r="I1100" s="1"/>
      <c r="J1100" s="1"/>
      <c r="K1100" s="1"/>
      <c r="L1100" s="1"/>
      <c r="M1100" s="1"/>
      <c r="N1100" s="1"/>
      <c r="O1100" s="1"/>
      <c r="P1100" s="1"/>
      <c r="Q1100" s="1"/>
    </row>
    <row r="1101" spans="1:17" x14ac:dyDescent="0.2">
      <c r="A1101" s="1"/>
      <c r="B1101" s="1"/>
      <c r="C1101" s="1"/>
      <c r="D1101" s="1"/>
      <c r="E1101" s="1"/>
      <c r="F1101" s="1"/>
      <c r="G1101" s="1"/>
      <c r="H1101" s="1"/>
      <c r="I1101" s="1"/>
      <c r="J1101" s="1"/>
      <c r="K1101" s="1"/>
      <c r="L1101" s="1"/>
      <c r="M1101" s="1"/>
      <c r="N1101" s="1"/>
      <c r="O1101" s="1"/>
      <c r="P1101" s="1"/>
      <c r="Q1101" s="1"/>
    </row>
    <row r="1102" spans="1:17" x14ac:dyDescent="0.2">
      <c r="A1102" s="1"/>
      <c r="B1102" s="1"/>
      <c r="C1102" s="1"/>
      <c r="D1102" s="1"/>
      <c r="E1102" s="1"/>
      <c r="F1102" s="1"/>
      <c r="G1102" s="1"/>
      <c r="H1102" s="1"/>
      <c r="I1102" s="1"/>
      <c r="J1102" s="1"/>
      <c r="K1102" s="1"/>
      <c r="L1102" s="1"/>
      <c r="M1102" s="1"/>
      <c r="N1102" s="1"/>
      <c r="O1102" s="1"/>
      <c r="P1102" s="1"/>
      <c r="Q1102" s="1"/>
    </row>
    <row r="1103" spans="1:17" x14ac:dyDescent="0.2">
      <c r="A1103" s="1"/>
      <c r="B1103" s="1"/>
      <c r="C1103" s="1"/>
      <c r="D1103" s="1"/>
      <c r="E1103" s="1"/>
      <c r="F1103" s="1"/>
      <c r="G1103" s="1"/>
      <c r="H1103" s="1"/>
      <c r="I1103" s="1"/>
      <c r="J1103" s="1"/>
      <c r="K1103" s="1"/>
      <c r="L1103" s="1"/>
      <c r="M1103" s="1"/>
      <c r="N1103" s="1"/>
      <c r="O1103" s="1"/>
      <c r="P1103" s="1"/>
      <c r="Q1103" s="1"/>
    </row>
    <row r="1104" spans="1:17" x14ac:dyDescent="0.2">
      <c r="A1104" s="1"/>
      <c r="B1104" s="1"/>
      <c r="C1104" s="1"/>
      <c r="D1104" s="1"/>
      <c r="E1104" s="1"/>
      <c r="F1104" s="1"/>
      <c r="G1104" s="1"/>
      <c r="H1104" s="1"/>
      <c r="I1104" s="1"/>
      <c r="J1104" s="1"/>
      <c r="K1104" s="1"/>
      <c r="L1104" s="1"/>
      <c r="M1104" s="1"/>
      <c r="N1104" s="1"/>
      <c r="O1104" s="1"/>
      <c r="P1104" s="1"/>
      <c r="Q1104" s="1"/>
    </row>
    <row r="1105" spans="1:17" x14ac:dyDescent="0.2">
      <c r="A1105" s="1"/>
      <c r="B1105" s="1"/>
      <c r="C1105" s="1"/>
      <c r="D1105" s="1"/>
      <c r="E1105" s="1"/>
      <c r="F1105" s="1"/>
      <c r="G1105" s="1"/>
      <c r="H1105" s="1"/>
      <c r="I1105" s="1"/>
      <c r="J1105" s="1"/>
      <c r="K1105" s="1"/>
      <c r="L1105" s="1"/>
      <c r="M1105" s="1"/>
      <c r="N1105" s="1"/>
      <c r="O1105" s="1"/>
      <c r="P1105" s="1"/>
      <c r="Q1105" s="1"/>
    </row>
    <row r="1106" spans="1:17" x14ac:dyDescent="0.2">
      <c r="A1106" s="1"/>
      <c r="B1106" s="1"/>
      <c r="C1106" s="1"/>
      <c r="D1106" s="1"/>
      <c r="E1106" s="1"/>
      <c r="F1106" s="1"/>
      <c r="G1106" s="1"/>
      <c r="H1106" s="1"/>
      <c r="I1106" s="1"/>
      <c r="J1106" s="1"/>
      <c r="K1106" s="1"/>
      <c r="L1106" s="1"/>
      <c r="M1106" s="1"/>
      <c r="N1106" s="1"/>
      <c r="O1106" s="1"/>
      <c r="P1106" s="1"/>
      <c r="Q1106" s="1"/>
    </row>
    <row r="1107" spans="1:17" x14ac:dyDescent="0.2">
      <c r="A1107" s="1"/>
      <c r="B1107" s="1"/>
      <c r="C1107" s="1"/>
      <c r="D1107" s="1"/>
      <c r="E1107" s="1"/>
      <c r="F1107" s="1"/>
      <c r="G1107" s="1"/>
      <c r="H1107" s="1"/>
      <c r="I1107" s="1"/>
      <c r="J1107" s="1"/>
      <c r="K1107" s="1"/>
      <c r="L1107" s="1"/>
      <c r="M1107" s="1"/>
      <c r="N1107" s="1"/>
      <c r="O1107" s="1"/>
      <c r="P1107" s="1"/>
      <c r="Q1107" s="1"/>
    </row>
    <row r="1108" spans="1:17" x14ac:dyDescent="0.2">
      <c r="A1108" s="1"/>
      <c r="B1108" s="1"/>
      <c r="C1108" s="1"/>
      <c r="D1108" s="1"/>
      <c r="E1108" s="1"/>
      <c r="F1108" s="1"/>
      <c r="G1108" s="1"/>
      <c r="H1108" s="1"/>
      <c r="I1108" s="1"/>
      <c r="J1108" s="1"/>
      <c r="K1108" s="1"/>
      <c r="L1108" s="1"/>
      <c r="M1108" s="1"/>
      <c r="N1108" s="1"/>
      <c r="O1108" s="1"/>
      <c r="P1108" s="1"/>
      <c r="Q1108" s="1"/>
    </row>
    <row r="1109" spans="1:17" x14ac:dyDescent="0.2">
      <c r="A1109" s="1"/>
      <c r="B1109" s="1"/>
      <c r="C1109" s="1"/>
      <c r="D1109" s="1"/>
      <c r="E1109" s="1"/>
      <c r="F1109" s="1"/>
      <c r="G1109" s="1"/>
      <c r="H1109" s="1"/>
      <c r="I1109" s="1"/>
      <c r="J1109" s="1"/>
      <c r="K1109" s="1"/>
      <c r="L1109" s="1"/>
      <c r="M1109" s="1"/>
      <c r="N1109" s="1"/>
      <c r="O1109" s="1"/>
      <c r="P1109" s="1"/>
      <c r="Q1109" s="1"/>
    </row>
    <row r="1110" spans="1:17" x14ac:dyDescent="0.2">
      <c r="A1110" s="1"/>
      <c r="B1110" s="1"/>
      <c r="C1110" s="1"/>
      <c r="D1110" s="1"/>
      <c r="E1110" s="1"/>
      <c r="F1110" s="1"/>
      <c r="G1110" s="1"/>
      <c r="H1110" s="1"/>
      <c r="I1110" s="1"/>
      <c r="J1110" s="1"/>
      <c r="K1110" s="1"/>
      <c r="L1110" s="1"/>
      <c r="M1110" s="1"/>
      <c r="N1110" s="1"/>
      <c r="O1110" s="1"/>
      <c r="P1110" s="1"/>
      <c r="Q1110" s="1"/>
    </row>
    <row r="1111" spans="1:17" x14ac:dyDescent="0.2">
      <c r="A1111" s="1"/>
      <c r="B1111" s="1"/>
      <c r="C1111" s="1"/>
      <c r="D1111" s="1"/>
      <c r="E1111" s="1"/>
      <c r="F1111" s="1"/>
      <c r="G1111" s="1"/>
      <c r="H1111" s="1"/>
      <c r="I1111" s="1"/>
      <c r="J1111" s="1"/>
      <c r="K1111" s="1"/>
      <c r="L1111" s="1"/>
      <c r="M1111" s="1"/>
      <c r="N1111" s="1"/>
      <c r="O1111" s="1"/>
      <c r="P1111" s="1"/>
      <c r="Q1111" s="1"/>
    </row>
    <row r="1112" spans="1:17" x14ac:dyDescent="0.2">
      <c r="A1112" s="1"/>
      <c r="B1112" s="1"/>
      <c r="C1112" s="1"/>
      <c r="D1112" s="1"/>
      <c r="E1112" s="1"/>
      <c r="F1112" s="1"/>
      <c r="G1112" s="1"/>
      <c r="H1112" s="1"/>
      <c r="I1112" s="1"/>
      <c r="J1112" s="1"/>
      <c r="K1112" s="1"/>
      <c r="L1112" s="1"/>
      <c r="M1112" s="1"/>
      <c r="N1112" s="1"/>
      <c r="O1112" s="1"/>
      <c r="P1112" s="1"/>
      <c r="Q1112" s="1"/>
    </row>
    <row r="1113" spans="1:17" x14ac:dyDescent="0.2">
      <c r="A1113" s="1"/>
      <c r="B1113" s="1"/>
      <c r="C1113" s="1"/>
      <c r="D1113" s="1"/>
      <c r="E1113" s="1"/>
      <c r="F1113" s="1"/>
      <c r="G1113" s="1"/>
      <c r="H1113" s="1"/>
      <c r="I1113" s="1"/>
      <c r="J1113" s="1"/>
      <c r="K1113" s="1"/>
      <c r="L1113" s="1"/>
      <c r="M1113" s="1"/>
      <c r="N1113" s="1"/>
      <c r="O1113" s="1"/>
      <c r="P1113" s="1"/>
      <c r="Q1113" s="1"/>
    </row>
    <row r="1114" spans="1:17" x14ac:dyDescent="0.2">
      <c r="A1114" s="1"/>
      <c r="B1114" s="1"/>
      <c r="C1114" s="1"/>
      <c r="D1114" s="1"/>
      <c r="E1114" s="1"/>
      <c r="F1114" s="1"/>
      <c r="G1114" s="1"/>
      <c r="H1114" s="1"/>
      <c r="I1114" s="1"/>
      <c r="J1114" s="1"/>
      <c r="K1114" s="1"/>
      <c r="L1114" s="1"/>
      <c r="M1114" s="1"/>
      <c r="N1114" s="1"/>
      <c r="O1114" s="1"/>
      <c r="P1114" s="1"/>
      <c r="Q1114" s="1"/>
    </row>
    <row r="1115" spans="1:17" x14ac:dyDescent="0.2">
      <c r="A1115" s="1"/>
      <c r="B1115" s="1"/>
      <c r="C1115" s="1"/>
      <c r="D1115" s="1"/>
      <c r="E1115" s="1"/>
      <c r="F1115" s="1"/>
      <c r="G1115" s="1"/>
      <c r="H1115" s="1"/>
      <c r="I1115" s="1"/>
      <c r="J1115" s="1"/>
      <c r="K1115" s="1"/>
      <c r="L1115" s="1"/>
      <c r="M1115" s="1"/>
      <c r="N1115" s="1"/>
      <c r="O1115" s="1"/>
      <c r="P1115" s="1"/>
      <c r="Q1115" s="1"/>
    </row>
    <row r="1116" spans="1:17" x14ac:dyDescent="0.2">
      <c r="A1116" s="1"/>
      <c r="B1116" s="1"/>
      <c r="C1116" s="1"/>
      <c r="D1116" s="1"/>
      <c r="E1116" s="1"/>
      <c r="F1116" s="1"/>
      <c r="G1116" s="1"/>
      <c r="H1116" s="1"/>
      <c r="I1116" s="1"/>
      <c r="J1116" s="1"/>
      <c r="K1116" s="1"/>
      <c r="L1116" s="1"/>
      <c r="M1116" s="1"/>
      <c r="N1116" s="1"/>
      <c r="O1116" s="1"/>
      <c r="P1116" s="1"/>
      <c r="Q1116" s="1"/>
    </row>
    <row r="1117" spans="1:17" x14ac:dyDescent="0.2">
      <c r="A1117" s="1"/>
      <c r="B1117" s="1"/>
      <c r="C1117" s="1"/>
      <c r="D1117" s="1"/>
      <c r="E1117" s="1"/>
      <c r="F1117" s="1"/>
      <c r="G1117" s="1"/>
      <c r="H1117" s="1"/>
      <c r="I1117" s="1"/>
      <c r="J1117" s="1"/>
      <c r="K1117" s="1"/>
      <c r="L1117" s="1"/>
      <c r="M1117" s="1"/>
      <c r="N1117" s="1"/>
      <c r="O1117" s="1"/>
      <c r="P1117" s="1"/>
      <c r="Q1117" s="1"/>
    </row>
    <row r="1118" spans="1:17" x14ac:dyDescent="0.2">
      <c r="A1118" s="1"/>
      <c r="B1118" s="1"/>
      <c r="C1118" s="1"/>
      <c r="D1118" s="1"/>
      <c r="E1118" s="1"/>
      <c r="F1118" s="1"/>
      <c r="G1118" s="1"/>
      <c r="H1118" s="1"/>
      <c r="I1118" s="1"/>
      <c r="J1118" s="1"/>
      <c r="K1118" s="1"/>
      <c r="L1118" s="1"/>
      <c r="M1118" s="1"/>
      <c r="N1118" s="1"/>
      <c r="O1118" s="1"/>
      <c r="P1118" s="1"/>
      <c r="Q1118" s="1"/>
    </row>
    <row r="1119" spans="1:17" x14ac:dyDescent="0.2">
      <c r="A1119" s="1"/>
      <c r="B1119" s="1"/>
      <c r="C1119" s="1"/>
      <c r="D1119" s="1"/>
      <c r="E1119" s="1"/>
      <c r="F1119" s="1"/>
      <c r="G1119" s="1"/>
      <c r="H1119" s="1"/>
      <c r="I1119" s="1"/>
      <c r="J1119" s="1"/>
      <c r="K1119" s="1"/>
      <c r="L1119" s="1"/>
      <c r="M1119" s="1"/>
      <c r="N1119" s="1"/>
      <c r="O1119" s="1"/>
      <c r="P1119" s="1"/>
      <c r="Q1119" s="1"/>
    </row>
    <row r="1120" spans="1:17" x14ac:dyDescent="0.2">
      <c r="A1120" s="1"/>
      <c r="B1120" s="1"/>
      <c r="C1120" s="1"/>
      <c r="D1120" s="1"/>
      <c r="E1120" s="1"/>
      <c r="F1120" s="1"/>
      <c r="G1120" s="1"/>
      <c r="H1120" s="1"/>
      <c r="I1120" s="1"/>
      <c r="J1120" s="1"/>
      <c r="K1120" s="1"/>
      <c r="L1120" s="1"/>
      <c r="M1120" s="1"/>
      <c r="N1120" s="1"/>
      <c r="O1120" s="1"/>
      <c r="P1120" s="1"/>
      <c r="Q1120" s="1"/>
    </row>
    <row r="1121" spans="1:17" x14ac:dyDescent="0.2">
      <c r="A1121" s="1"/>
      <c r="B1121" s="1"/>
      <c r="C1121" s="1"/>
      <c r="D1121" s="1"/>
      <c r="E1121" s="1"/>
      <c r="F1121" s="1"/>
      <c r="G1121" s="1"/>
      <c r="H1121" s="1"/>
      <c r="I1121" s="1"/>
      <c r="J1121" s="1"/>
      <c r="K1121" s="1"/>
      <c r="L1121" s="1"/>
      <c r="M1121" s="1"/>
      <c r="N1121" s="1"/>
      <c r="O1121" s="1"/>
      <c r="P1121" s="1"/>
      <c r="Q1121" s="1"/>
    </row>
    <row r="1122" spans="1:17" x14ac:dyDescent="0.2">
      <c r="A1122" s="1"/>
      <c r="B1122" s="1"/>
      <c r="C1122" s="1"/>
      <c r="D1122" s="1"/>
      <c r="E1122" s="1"/>
      <c r="F1122" s="1"/>
      <c r="G1122" s="1"/>
      <c r="H1122" s="1"/>
      <c r="I1122" s="1"/>
      <c r="J1122" s="1"/>
      <c r="K1122" s="1"/>
      <c r="L1122" s="1"/>
      <c r="M1122" s="1"/>
      <c r="N1122" s="1"/>
      <c r="O1122" s="1"/>
      <c r="P1122" s="1"/>
      <c r="Q1122" s="1"/>
    </row>
    <row r="1123" spans="1:17" x14ac:dyDescent="0.2">
      <c r="A1123" s="1"/>
      <c r="B1123" s="1"/>
      <c r="C1123" s="1"/>
      <c r="D1123" s="1"/>
      <c r="E1123" s="1"/>
      <c r="F1123" s="1"/>
      <c r="G1123" s="1"/>
      <c r="H1123" s="1"/>
      <c r="I1123" s="1"/>
      <c r="J1123" s="1"/>
      <c r="K1123" s="1"/>
      <c r="L1123" s="1"/>
      <c r="M1123" s="1"/>
      <c r="N1123" s="1"/>
      <c r="O1123" s="1"/>
      <c r="P1123" s="1"/>
      <c r="Q1123" s="1"/>
    </row>
    <row r="1124" spans="1:17" x14ac:dyDescent="0.2">
      <c r="A1124" s="1"/>
      <c r="B1124" s="1"/>
      <c r="C1124" s="1"/>
      <c r="D1124" s="1"/>
      <c r="E1124" s="1"/>
      <c r="F1124" s="1"/>
      <c r="G1124" s="1"/>
      <c r="H1124" s="1"/>
      <c r="I1124" s="1"/>
      <c r="J1124" s="1"/>
      <c r="K1124" s="1"/>
      <c r="L1124" s="1"/>
      <c r="M1124" s="1"/>
      <c r="N1124" s="1"/>
      <c r="O1124" s="1"/>
      <c r="P1124" s="1"/>
      <c r="Q1124" s="1"/>
    </row>
    <row r="1125" spans="1:17" x14ac:dyDescent="0.2">
      <c r="A1125" s="1"/>
      <c r="B1125" s="1"/>
      <c r="C1125" s="1"/>
      <c r="D1125" s="1"/>
      <c r="E1125" s="1"/>
      <c r="F1125" s="1"/>
      <c r="G1125" s="1"/>
      <c r="H1125" s="1"/>
      <c r="I1125" s="1"/>
      <c r="J1125" s="1"/>
      <c r="K1125" s="1"/>
      <c r="L1125" s="1"/>
      <c r="M1125" s="1"/>
      <c r="N1125" s="1"/>
      <c r="O1125" s="1"/>
      <c r="P1125" s="1"/>
      <c r="Q1125" s="1"/>
    </row>
    <row r="1126" spans="1:17" x14ac:dyDescent="0.2">
      <c r="A1126" s="1"/>
      <c r="B1126" s="1"/>
      <c r="C1126" s="1"/>
      <c r="D1126" s="1"/>
      <c r="E1126" s="1"/>
      <c r="F1126" s="1"/>
      <c r="G1126" s="1"/>
      <c r="H1126" s="1"/>
      <c r="I1126" s="1"/>
      <c r="J1126" s="1"/>
      <c r="K1126" s="1"/>
      <c r="L1126" s="1"/>
      <c r="M1126" s="1"/>
      <c r="N1126" s="1"/>
      <c r="O1126" s="1"/>
      <c r="P1126" s="1"/>
      <c r="Q1126" s="1"/>
    </row>
    <row r="1127" spans="1:17" x14ac:dyDescent="0.2">
      <c r="A1127" s="1"/>
      <c r="B1127" s="1"/>
      <c r="C1127" s="1"/>
      <c r="D1127" s="1"/>
      <c r="E1127" s="1"/>
      <c r="F1127" s="1"/>
      <c r="G1127" s="1"/>
      <c r="H1127" s="1"/>
      <c r="I1127" s="1"/>
      <c r="J1127" s="1"/>
      <c r="K1127" s="1"/>
      <c r="L1127" s="1"/>
      <c r="M1127" s="1"/>
      <c r="N1127" s="1"/>
      <c r="O1127" s="1"/>
      <c r="P1127" s="1"/>
      <c r="Q1127" s="1"/>
    </row>
    <row r="1128" spans="1:17" x14ac:dyDescent="0.2">
      <c r="A1128" s="1"/>
      <c r="B1128" s="1"/>
      <c r="C1128" s="1"/>
      <c r="D1128" s="1"/>
      <c r="E1128" s="1"/>
      <c r="F1128" s="1"/>
      <c r="G1128" s="1"/>
      <c r="H1128" s="1"/>
      <c r="I1128" s="1"/>
      <c r="J1128" s="1"/>
      <c r="K1128" s="1"/>
      <c r="L1128" s="1"/>
      <c r="M1128" s="1"/>
      <c r="N1128" s="1"/>
      <c r="O1128" s="1"/>
      <c r="P1128" s="1"/>
      <c r="Q1128" s="1"/>
    </row>
    <row r="1129" spans="1:17" x14ac:dyDescent="0.2">
      <c r="A1129" s="1"/>
      <c r="B1129" s="1"/>
      <c r="C1129" s="1"/>
      <c r="D1129" s="1"/>
      <c r="E1129" s="1"/>
      <c r="F1129" s="1"/>
      <c r="G1129" s="1"/>
      <c r="H1129" s="1"/>
      <c r="I1129" s="1"/>
      <c r="J1129" s="1"/>
      <c r="K1129" s="1"/>
      <c r="L1129" s="1"/>
      <c r="M1129" s="1"/>
      <c r="N1129" s="1"/>
      <c r="O1129" s="1"/>
      <c r="P1129" s="1"/>
      <c r="Q1129" s="1"/>
    </row>
    <row r="1130" spans="1:17" x14ac:dyDescent="0.2">
      <c r="A1130" s="1"/>
      <c r="B1130" s="1"/>
      <c r="C1130" s="1"/>
      <c r="D1130" s="1"/>
      <c r="E1130" s="1"/>
      <c r="F1130" s="1"/>
      <c r="G1130" s="1"/>
      <c r="H1130" s="1"/>
      <c r="I1130" s="1"/>
      <c r="J1130" s="1"/>
      <c r="K1130" s="1"/>
      <c r="L1130" s="1"/>
      <c r="M1130" s="1"/>
      <c r="N1130" s="1"/>
      <c r="O1130" s="1"/>
      <c r="P1130" s="1"/>
      <c r="Q1130" s="1"/>
    </row>
    <row r="1131" spans="1:17" x14ac:dyDescent="0.2">
      <c r="A1131" s="1"/>
      <c r="B1131" s="1"/>
      <c r="C1131" s="1"/>
      <c r="D1131" s="1"/>
      <c r="E1131" s="1"/>
      <c r="F1131" s="1"/>
      <c r="G1131" s="1"/>
      <c r="H1131" s="1"/>
      <c r="I1131" s="1"/>
      <c r="J1131" s="1"/>
      <c r="K1131" s="1"/>
      <c r="L1131" s="1"/>
      <c r="M1131" s="1"/>
      <c r="N1131" s="1"/>
      <c r="O1131" s="1"/>
      <c r="P1131" s="1"/>
      <c r="Q1131" s="1"/>
    </row>
    <row r="1132" spans="1:17" x14ac:dyDescent="0.2">
      <c r="A1132" s="1"/>
      <c r="B1132" s="1"/>
      <c r="C1132" s="1"/>
      <c r="D1132" s="1"/>
      <c r="E1132" s="1"/>
      <c r="F1132" s="1"/>
      <c r="G1132" s="1"/>
      <c r="H1132" s="1"/>
      <c r="I1132" s="1"/>
      <c r="J1132" s="1"/>
      <c r="K1132" s="1"/>
      <c r="L1132" s="1"/>
      <c r="M1132" s="1"/>
      <c r="N1132" s="1"/>
      <c r="O1132" s="1"/>
      <c r="P1132" s="1"/>
      <c r="Q1132" s="1"/>
    </row>
    <row r="1133" spans="1:17" x14ac:dyDescent="0.2">
      <c r="A1133" s="1"/>
      <c r="B1133" s="1"/>
      <c r="C1133" s="1"/>
      <c r="D1133" s="1"/>
      <c r="E1133" s="1"/>
      <c r="F1133" s="1"/>
      <c r="G1133" s="1"/>
      <c r="H1133" s="1"/>
      <c r="I1133" s="1"/>
      <c r="J1133" s="1"/>
      <c r="K1133" s="1"/>
      <c r="L1133" s="1"/>
      <c r="M1133" s="1"/>
      <c r="N1133" s="1"/>
      <c r="O1133" s="1"/>
      <c r="P1133" s="1"/>
      <c r="Q1133" s="1"/>
    </row>
    <row r="1134" spans="1:17" x14ac:dyDescent="0.2">
      <c r="A1134" s="1"/>
      <c r="B1134" s="1"/>
      <c r="C1134" s="1"/>
      <c r="D1134" s="1"/>
      <c r="E1134" s="1"/>
      <c r="F1134" s="1"/>
      <c r="G1134" s="1"/>
      <c r="H1134" s="1"/>
      <c r="I1134" s="1"/>
      <c r="J1134" s="1"/>
      <c r="K1134" s="1"/>
      <c r="L1134" s="1"/>
      <c r="M1134" s="1"/>
      <c r="N1134" s="1"/>
      <c r="O1134" s="1"/>
      <c r="P1134" s="1"/>
      <c r="Q1134" s="1"/>
    </row>
    <row r="1135" spans="1:17" x14ac:dyDescent="0.2">
      <c r="A1135" s="1"/>
      <c r="B1135" s="1"/>
      <c r="C1135" s="1"/>
      <c r="D1135" s="1"/>
      <c r="E1135" s="1"/>
      <c r="F1135" s="1"/>
      <c r="G1135" s="1"/>
      <c r="H1135" s="1"/>
      <c r="I1135" s="1"/>
      <c r="J1135" s="1"/>
      <c r="K1135" s="1"/>
      <c r="L1135" s="1"/>
      <c r="M1135" s="1"/>
      <c r="N1135" s="1"/>
      <c r="O1135" s="1"/>
      <c r="P1135" s="1"/>
      <c r="Q1135" s="1"/>
    </row>
    <row r="1136" spans="1:17" x14ac:dyDescent="0.2">
      <c r="A1136" s="1"/>
      <c r="B1136" s="1"/>
      <c r="C1136" s="1"/>
      <c r="D1136" s="1"/>
      <c r="E1136" s="1"/>
      <c r="F1136" s="1"/>
      <c r="G1136" s="1"/>
      <c r="H1136" s="1"/>
      <c r="I1136" s="1"/>
      <c r="J1136" s="1"/>
      <c r="K1136" s="1"/>
      <c r="L1136" s="1"/>
      <c r="M1136" s="1"/>
      <c r="N1136" s="1"/>
      <c r="O1136" s="1"/>
      <c r="P1136" s="1"/>
      <c r="Q1136" s="1"/>
    </row>
    <row r="1137" spans="1:17" x14ac:dyDescent="0.2">
      <c r="A1137" s="1"/>
      <c r="B1137" s="1"/>
      <c r="C1137" s="1"/>
      <c r="D1137" s="1"/>
      <c r="E1137" s="1"/>
      <c r="F1137" s="1"/>
      <c r="G1137" s="1"/>
      <c r="H1137" s="1"/>
      <c r="I1137" s="1"/>
      <c r="J1137" s="1"/>
      <c r="K1137" s="1"/>
      <c r="L1137" s="1"/>
      <c r="M1137" s="1"/>
      <c r="N1137" s="1"/>
      <c r="O1137" s="1"/>
      <c r="P1137" s="1"/>
      <c r="Q1137" s="1"/>
    </row>
    <row r="1138" spans="1:17" x14ac:dyDescent="0.2">
      <c r="A1138" s="1"/>
      <c r="B1138" s="1"/>
      <c r="C1138" s="1"/>
      <c r="D1138" s="1"/>
      <c r="E1138" s="1"/>
      <c r="F1138" s="1"/>
      <c r="G1138" s="1"/>
      <c r="H1138" s="1"/>
      <c r="I1138" s="1"/>
      <c r="J1138" s="1"/>
      <c r="K1138" s="1"/>
      <c r="L1138" s="1"/>
      <c r="M1138" s="1"/>
      <c r="N1138" s="1"/>
      <c r="O1138" s="1"/>
      <c r="P1138" s="1"/>
      <c r="Q1138" s="1"/>
    </row>
    <row r="1139" spans="1:17" x14ac:dyDescent="0.2">
      <c r="A1139" s="1"/>
      <c r="B1139" s="1"/>
      <c r="C1139" s="1"/>
      <c r="D1139" s="1"/>
      <c r="E1139" s="1"/>
      <c r="F1139" s="1"/>
      <c r="G1139" s="1"/>
      <c r="H1139" s="1"/>
      <c r="I1139" s="1"/>
      <c r="J1139" s="1"/>
      <c r="K1139" s="1"/>
      <c r="L1139" s="1"/>
      <c r="M1139" s="1"/>
      <c r="N1139" s="1"/>
      <c r="O1139" s="1"/>
      <c r="P1139" s="1"/>
      <c r="Q1139" s="1"/>
    </row>
    <row r="1140" spans="1:17" x14ac:dyDescent="0.2">
      <c r="A1140" s="1"/>
      <c r="B1140" s="1"/>
      <c r="C1140" s="1"/>
      <c r="D1140" s="1"/>
      <c r="E1140" s="1"/>
      <c r="F1140" s="1"/>
      <c r="G1140" s="1"/>
      <c r="H1140" s="1"/>
      <c r="I1140" s="1"/>
      <c r="J1140" s="1"/>
      <c r="K1140" s="1"/>
      <c r="L1140" s="1"/>
      <c r="M1140" s="1"/>
      <c r="N1140" s="1"/>
      <c r="O1140" s="1"/>
      <c r="P1140" s="1"/>
      <c r="Q1140" s="1"/>
    </row>
    <row r="1141" spans="1:17" x14ac:dyDescent="0.2">
      <c r="A1141" s="1"/>
      <c r="B1141" s="1"/>
      <c r="C1141" s="1"/>
      <c r="D1141" s="1"/>
      <c r="E1141" s="1"/>
      <c r="F1141" s="1"/>
      <c r="G1141" s="1"/>
      <c r="H1141" s="1"/>
      <c r="I1141" s="1"/>
      <c r="J1141" s="1"/>
      <c r="K1141" s="1"/>
      <c r="L1141" s="1"/>
      <c r="M1141" s="1"/>
      <c r="N1141" s="1"/>
      <c r="O1141" s="1"/>
      <c r="P1141" s="1"/>
      <c r="Q1141" s="1"/>
    </row>
    <row r="1142" spans="1:17" x14ac:dyDescent="0.2">
      <c r="A1142" s="1"/>
      <c r="B1142" s="1"/>
      <c r="C1142" s="1"/>
      <c r="D1142" s="1"/>
      <c r="E1142" s="1"/>
      <c r="F1142" s="1"/>
      <c r="G1142" s="1"/>
      <c r="H1142" s="1"/>
      <c r="I1142" s="1"/>
      <c r="J1142" s="1"/>
      <c r="K1142" s="1"/>
      <c r="L1142" s="1"/>
      <c r="M1142" s="1"/>
      <c r="N1142" s="1"/>
      <c r="O1142" s="1"/>
      <c r="P1142" s="1"/>
      <c r="Q1142" s="1"/>
    </row>
    <row r="1143" spans="1:17" x14ac:dyDescent="0.2">
      <c r="A1143" s="1"/>
      <c r="B1143" s="1"/>
      <c r="C1143" s="1"/>
      <c r="D1143" s="1"/>
      <c r="E1143" s="1"/>
      <c r="F1143" s="1"/>
      <c r="G1143" s="1"/>
      <c r="H1143" s="1"/>
      <c r="I1143" s="1"/>
      <c r="J1143" s="1"/>
      <c r="K1143" s="1"/>
      <c r="L1143" s="1"/>
      <c r="M1143" s="1"/>
      <c r="N1143" s="1"/>
      <c r="O1143" s="1"/>
      <c r="P1143" s="1"/>
      <c r="Q1143" s="1"/>
    </row>
    <row r="1144" spans="1:17" x14ac:dyDescent="0.2">
      <c r="A1144" s="1"/>
      <c r="B1144" s="1"/>
      <c r="C1144" s="1"/>
      <c r="D1144" s="1"/>
      <c r="E1144" s="1"/>
      <c r="F1144" s="1"/>
      <c r="G1144" s="1"/>
      <c r="H1144" s="1"/>
      <c r="I1144" s="1"/>
      <c r="J1144" s="1"/>
      <c r="K1144" s="1"/>
      <c r="L1144" s="1"/>
      <c r="M1144" s="1"/>
      <c r="N1144" s="1"/>
      <c r="O1144" s="1"/>
      <c r="P1144" s="1"/>
      <c r="Q1144" s="1"/>
    </row>
    <row r="1145" spans="1:17" x14ac:dyDescent="0.2">
      <c r="A1145" s="1"/>
      <c r="B1145" s="1"/>
      <c r="C1145" s="1"/>
      <c r="D1145" s="1"/>
      <c r="E1145" s="1"/>
      <c r="F1145" s="1"/>
      <c r="G1145" s="1"/>
      <c r="H1145" s="1"/>
      <c r="I1145" s="1"/>
      <c r="J1145" s="1"/>
      <c r="K1145" s="1"/>
      <c r="L1145" s="1"/>
      <c r="M1145" s="1"/>
      <c r="N1145" s="1"/>
      <c r="O1145" s="1"/>
      <c r="P1145" s="1"/>
      <c r="Q1145" s="1"/>
    </row>
    <row r="1146" spans="1:17" x14ac:dyDescent="0.2">
      <c r="A1146" s="1"/>
      <c r="B1146" s="1"/>
      <c r="C1146" s="1"/>
      <c r="D1146" s="1"/>
      <c r="E1146" s="1"/>
      <c r="F1146" s="1"/>
      <c r="G1146" s="1"/>
      <c r="H1146" s="1"/>
      <c r="I1146" s="1"/>
      <c r="J1146" s="1"/>
      <c r="K1146" s="1"/>
      <c r="L1146" s="1"/>
      <c r="M1146" s="1"/>
      <c r="N1146" s="1"/>
      <c r="O1146" s="1"/>
      <c r="P1146" s="1"/>
      <c r="Q1146" s="1"/>
    </row>
    <row r="1147" spans="1:17" x14ac:dyDescent="0.2">
      <c r="A1147" s="1"/>
      <c r="B1147" s="1"/>
      <c r="C1147" s="1"/>
      <c r="D1147" s="1"/>
      <c r="E1147" s="1"/>
      <c r="F1147" s="1"/>
      <c r="G1147" s="1"/>
      <c r="H1147" s="1"/>
      <c r="I1147" s="1"/>
      <c r="J1147" s="1"/>
      <c r="K1147" s="1"/>
      <c r="L1147" s="1"/>
      <c r="M1147" s="1"/>
      <c r="N1147" s="1"/>
      <c r="O1147" s="1"/>
      <c r="P1147" s="1"/>
      <c r="Q1147" s="1"/>
    </row>
    <row r="1148" spans="1:17" x14ac:dyDescent="0.2">
      <c r="A1148" s="1"/>
      <c r="B1148" s="1"/>
      <c r="C1148" s="1"/>
      <c r="D1148" s="1"/>
      <c r="E1148" s="1"/>
      <c r="F1148" s="1"/>
      <c r="G1148" s="1"/>
      <c r="H1148" s="1"/>
      <c r="I1148" s="1"/>
      <c r="J1148" s="1"/>
      <c r="K1148" s="1"/>
      <c r="L1148" s="1"/>
      <c r="M1148" s="1"/>
      <c r="N1148" s="1"/>
      <c r="O1148" s="1"/>
      <c r="P1148" s="1"/>
      <c r="Q1148" s="1"/>
    </row>
    <row r="1149" spans="1:17" x14ac:dyDescent="0.2">
      <c r="A1149" s="1"/>
      <c r="B1149" s="1"/>
      <c r="C1149" s="1"/>
      <c r="D1149" s="1"/>
      <c r="E1149" s="1"/>
      <c r="F1149" s="1"/>
      <c r="G1149" s="1"/>
      <c r="H1149" s="1"/>
      <c r="I1149" s="1"/>
      <c r="J1149" s="1"/>
      <c r="K1149" s="1"/>
      <c r="L1149" s="1"/>
      <c r="M1149" s="1"/>
      <c r="N1149" s="1"/>
      <c r="O1149" s="1"/>
      <c r="P1149" s="1"/>
      <c r="Q1149" s="1"/>
    </row>
    <row r="1150" spans="1:17" x14ac:dyDescent="0.2">
      <c r="A1150" s="1"/>
      <c r="B1150" s="1"/>
      <c r="C1150" s="1"/>
      <c r="D1150" s="1"/>
      <c r="E1150" s="1"/>
      <c r="F1150" s="1"/>
      <c r="G1150" s="1"/>
      <c r="H1150" s="1"/>
      <c r="I1150" s="1"/>
      <c r="J1150" s="1"/>
      <c r="K1150" s="1"/>
      <c r="L1150" s="1"/>
      <c r="M1150" s="1"/>
      <c r="N1150" s="1"/>
      <c r="O1150" s="1"/>
      <c r="P1150" s="1"/>
      <c r="Q1150" s="1"/>
    </row>
    <row r="1151" spans="1:17" x14ac:dyDescent="0.2">
      <c r="A1151" s="1"/>
      <c r="B1151" s="1"/>
      <c r="C1151" s="1"/>
      <c r="D1151" s="1"/>
      <c r="E1151" s="1"/>
      <c r="F1151" s="1"/>
      <c r="G1151" s="1"/>
      <c r="H1151" s="1"/>
      <c r="I1151" s="1"/>
      <c r="J1151" s="1"/>
      <c r="K1151" s="1"/>
      <c r="L1151" s="1"/>
      <c r="M1151" s="1"/>
      <c r="N1151" s="1"/>
      <c r="O1151" s="1"/>
      <c r="P1151" s="1"/>
      <c r="Q1151" s="1"/>
    </row>
    <row r="1152" spans="1:17" x14ac:dyDescent="0.2">
      <c r="A1152" s="1"/>
      <c r="B1152" s="1"/>
      <c r="C1152" s="1"/>
      <c r="D1152" s="1"/>
      <c r="E1152" s="1"/>
      <c r="F1152" s="1"/>
      <c r="G1152" s="1"/>
      <c r="H1152" s="1"/>
      <c r="I1152" s="1"/>
      <c r="J1152" s="1"/>
      <c r="K1152" s="1"/>
      <c r="L1152" s="1"/>
      <c r="M1152" s="1"/>
      <c r="N1152" s="1"/>
      <c r="O1152" s="1"/>
      <c r="P1152" s="1"/>
      <c r="Q1152" s="1"/>
    </row>
    <row r="1153" spans="1:17" x14ac:dyDescent="0.2">
      <c r="A1153" s="1"/>
      <c r="B1153" s="1"/>
      <c r="C1153" s="1"/>
      <c r="D1153" s="1"/>
      <c r="E1153" s="1"/>
      <c r="F1153" s="1"/>
      <c r="G1153" s="1"/>
      <c r="H1153" s="1"/>
      <c r="I1153" s="1"/>
      <c r="J1153" s="1"/>
      <c r="K1153" s="1"/>
      <c r="L1153" s="1"/>
      <c r="M1153" s="1"/>
      <c r="N1153" s="1"/>
      <c r="O1153" s="1"/>
      <c r="P1153" s="1"/>
      <c r="Q1153" s="1"/>
    </row>
    <row r="1154" spans="1:17" x14ac:dyDescent="0.2">
      <c r="A1154" s="1"/>
      <c r="B1154" s="1"/>
      <c r="C1154" s="1"/>
      <c r="D1154" s="1"/>
      <c r="E1154" s="1"/>
      <c r="F1154" s="1"/>
      <c r="G1154" s="1"/>
      <c r="H1154" s="1"/>
      <c r="I1154" s="1"/>
      <c r="J1154" s="1"/>
      <c r="K1154" s="1"/>
      <c r="L1154" s="1"/>
      <c r="M1154" s="1"/>
      <c r="N1154" s="1"/>
      <c r="O1154" s="1"/>
      <c r="P1154" s="1"/>
      <c r="Q1154" s="1"/>
    </row>
    <row r="1155" spans="1:17" x14ac:dyDescent="0.2">
      <c r="A1155" s="1"/>
      <c r="B1155" s="1"/>
      <c r="C1155" s="1"/>
      <c r="D1155" s="1"/>
      <c r="E1155" s="1"/>
      <c r="F1155" s="1"/>
      <c r="G1155" s="1"/>
      <c r="H1155" s="1"/>
      <c r="I1155" s="1"/>
      <c r="J1155" s="1"/>
      <c r="K1155" s="1"/>
      <c r="L1155" s="1"/>
      <c r="M1155" s="1"/>
      <c r="N1155" s="1"/>
      <c r="O1155" s="1"/>
      <c r="P1155" s="1"/>
      <c r="Q1155" s="1"/>
    </row>
    <row r="1156" spans="1:17" x14ac:dyDescent="0.2">
      <c r="A1156" s="1"/>
      <c r="B1156" s="1"/>
      <c r="C1156" s="1"/>
      <c r="D1156" s="1"/>
      <c r="E1156" s="1"/>
      <c r="F1156" s="1"/>
      <c r="G1156" s="1"/>
      <c r="H1156" s="1"/>
      <c r="I1156" s="1"/>
      <c r="J1156" s="1"/>
      <c r="K1156" s="1"/>
      <c r="L1156" s="1"/>
      <c r="M1156" s="1"/>
      <c r="N1156" s="1"/>
      <c r="O1156" s="1"/>
      <c r="P1156" s="1"/>
      <c r="Q1156" s="1"/>
    </row>
    <row r="1157" spans="1:17" x14ac:dyDescent="0.2">
      <c r="A1157" s="1"/>
      <c r="B1157" s="1"/>
      <c r="C1157" s="1"/>
      <c r="D1157" s="1"/>
      <c r="E1157" s="1"/>
      <c r="F1157" s="1"/>
      <c r="G1157" s="1"/>
      <c r="H1157" s="1"/>
      <c r="I1157" s="1"/>
      <c r="J1157" s="1"/>
      <c r="K1157" s="1"/>
      <c r="L1157" s="1"/>
      <c r="M1157" s="1"/>
      <c r="N1157" s="1"/>
      <c r="O1157" s="1"/>
      <c r="P1157" s="1"/>
      <c r="Q1157" s="1"/>
    </row>
    <row r="1158" spans="1:17" x14ac:dyDescent="0.2">
      <c r="A1158" s="1"/>
      <c r="B1158" s="1"/>
      <c r="C1158" s="1"/>
      <c r="D1158" s="1"/>
      <c r="E1158" s="1"/>
      <c r="F1158" s="1"/>
      <c r="G1158" s="1"/>
      <c r="H1158" s="1"/>
      <c r="I1158" s="1"/>
      <c r="J1158" s="1"/>
      <c r="K1158" s="1"/>
      <c r="L1158" s="1"/>
      <c r="M1158" s="1"/>
      <c r="N1158" s="1"/>
      <c r="O1158" s="1"/>
      <c r="P1158" s="1"/>
      <c r="Q1158" s="1"/>
    </row>
    <row r="1159" spans="1:17" x14ac:dyDescent="0.2">
      <c r="A1159" s="1"/>
      <c r="B1159" s="1"/>
      <c r="C1159" s="1"/>
      <c r="D1159" s="1"/>
      <c r="E1159" s="1"/>
      <c r="F1159" s="1"/>
      <c r="G1159" s="1"/>
      <c r="H1159" s="1"/>
      <c r="I1159" s="1"/>
      <c r="J1159" s="1"/>
      <c r="K1159" s="1"/>
      <c r="L1159" s="1"/>
      <c r="M1159" s="1"/>
      <c r="N1159" s="1"/>
      <c r="O1159" s="1"/>
      <c r="P1159" s="1"/>
      <c r="Q1159" s="1"/>
    </row>
    <row r="1160" spans="1:17" x14ac:dyDescent="0.2">
      <c r="A1160" s="1"/>
      <c r="B1160" s="1"/>
      <c r="C1160" s="1"/>
      <c r="D1160" s="1"/>
      <c r="E1160" s="1"/>
      <c r="F1160" s="1"/>
      <c r="G1160" s="1"/>
      <c r="H1160" s="1"/>
      <c r="I1160" s="1"/>
      <c r="J1160" s="1"/>
      <c r="K1160" s="1"/>
      <c r="L1160" s="1"/>
      <c r="M1160" s="1"/>
      <c r="N1160" s="1"/>
      <c r="O1160" s="1"/>
      <c r="P1160" s="1"/>
      <c r="Q1160" s="1"/>
    </row>
    <row r="1161" spans="1:17" x14ac:dyDescent="0.2">
      <c r="A1161" s="1"/>
      <c r="B1161" s="1"/>
      <c r="C1161" s="1"/>
      <c r="D1161" s="1"/>
      <c r="E1161" s="1"/>
      <c r="F1161" s="1"/>
      <c r="G1161" s="1"/>
      <c r="H1161" s="1"/>
      <c r="I1161" s="1"/>
      <c r="J1161" s="1"/>
      <c r="K1161" s="1"/>
      <c r="L1161" s="1"/>
      <c r="M1161" s="1"/>
      <c r="N1161" s="1"/>
      <c r="O1161" s="1"/>
      <c r="P1161" s="1"/>
      <c r="Q1161" s="1"/>
    </row>
    <row r="1162" spans="1:17" x14ac:dyDescent="0.2">
      <c r="A1162" s="1"/>
      <c r="B1162" s="1"/>
      <c r="C1162" s="1"/>
      <c r="D1162" s="1"/>
      <c r="E1162" s="1"/>
      <c r="F1162" s="1"/>
      <c r="G1162" s="1"/>
      <c r="H1162" s="1"/>
      <c r="I1162" s="1"/>
      <c r="J1162" s="1"/>
      <c r="K1162" s="1"/>
      <c r="L1162" s="1"/>
      <c r="M1162" s="1"/>
      <c r="N1162" s="1"/>
      <c r="O1162" s="1"/>
      <c r="P1162" s="1"/>
      <c r="Q1162" s="1"/>
    </row>
    <row r="1163" spans="1:17" x14ac:dyDescent="0.2">
      <c r="A1163" s="1"/>
      <c r="B1163" s="1"/>
      <c r="C1163" s="1"/>
      <c r="D1163" s="1"/>
      <c r="E1163" s="1"/>
      <c r="F1163" s="1"/>
      <c r="G1163" s="1"/>
      <c r="H1163" s="1"/>
      <c r="I1163" s="1"/>
      <c r="J1163" s="1"/>
      <c r="K1163" s="1"/>
      <c r="L1163" s="1"/>
      <c r="M1163" s="1"/>
      <c r="N1163" s="1"/>
      <c r="O1163" s="1"/>
      <c r="P1163" s="1"/>
      <c r="Q1163" s="1"/>
    </row>
    <row r="1164" spans="1:17" x14ac:dyDescent="0.2">
      <c r="A1164" s="1"/>
      <c r="B1164" s="1"/>
      <c r="C1164" s="1"/>
      <c r="D1164" s="1"/>
      <c r="E1164" s="1"/>
      <c r="F1164" s="1"/>
      <c r="G1164" s="1"/>
      <c r="H1164" s="1"/>
      <c r="I1164" s="1"/>
      <c r="J1164" s="1"/>
      <c r="K1164" s="1"/>
      <c r="L1164" s="1"/>
      <c r="M1164" s="1"/>
      <c r="N1164" s="1"/>
      <c r="O1164" s="1"/>
      <c r="P1164" s="1"/>
      <c r="Q1164" s="1"/>
    </row>
    <row r="1165" spans="1:17" x14ac:dyDescent="0.2">
      <c r="A1165" s="1"/>
      <c r="B1165" s="1"/>
      <c r="C1165" s="1"/>
      <c r="D1165" s="1"/>
      <c r="E1165" s="1"/>
      <c r="F1165" s="1"/>
      <c r="G1165" s="1"/>
      <c r="H1165" s="1"/>
      <c r="I1165" s="1"/>
      <c r="J1165" s="1"/>
      <c r="K1165" s="1"/>
      <c r="L1165" s="1"/>
      <c r="M1165" s="1"/>
      <c r="N1165" s="1"/>
      <c r="O1165" s="1"/>
      <c r="P1165" s="1"/>
      <c r="Q1165" s="1"/>
    </row>
    <row r="1166" spans="1:17" x14ac:dyDescent="0.2">
      <c r="A1166" s="1"/>
      <c r="B1166" s="1"/>
      <c r="C1166" s="1"/>
      <c r="D1166" s="1"/>
      <c r="E1166" s="1"/>
      <c r="F1166" s="1"/>
      <c r="G1166" s="1"/>
      <c r="H1166" s="1"/>
      <c r="I1166" s="1"/>
      <c r="J1166" s="1"/>
      <c r="K1166" s="1"/>
      <c r="L1166" s="1"/>
      <c r="M1166" s="1"/>
      <c r="N1166" s="1"/>
      <c r="O1166" s="1"/>
      <c r="P1166" s="1"/>
      <c r="Q1166" s="1"/>
    </row>
    <row r="1167" spans="1:17" x14ac:dyDescent="0.2">
      <c r="A1167" s="1"/>
      <c r="B1167" s="1"/>
      <c r="C1167" s="1"/>
      <c r="D1167" s="1"/>
      <c r="E1167" s="1"/>
      <c r="F1167" s="1"/>
      <c r="G1167" s="1"/>
      <c r="H1167" s="1"/>
      <c r="I1167" s="1"/>
      <c r="J1167" s="1"/>
      <c r="K1167" s="1"/>
      <c r="L1167" s="1"/>
      <c r="M1167" s="1"/>
      <c r="N1167" s="1"/>
      <c r="O1167" s="1"/>
      <c r="P1167" s="1"/>
      <c r="Q1167" s="1"/>
    </row>
    <row r="1168" spans="1:17" x14ac:dyDescent="0.2">
      <c r="A1168" s="1"/>
      <c r="B1168" s="1"/>
      <c r="C1168" s="1"/>
      <c r="D1168" s="1"/>
      <c r="E1168" s="1"/>
      <c r="F1168" s="1"/>
      <c r="G1168" s="1"/>
      <c r="H1168" s="1"/>
      <c r="I1168" s="1"/>
      <c r="J1168" s="1"/>
      <c r="K1168" s="1"/>
      <c r="L1168" s="1"/>
      <c r="M1168" s="1"/>
      <c r="N1168" s="1"/>
      <c r="O1168" s="1"/>
      <c r="P1168" s="1"/>
      <c r="Q1168" s="1"/>
    </row>
    <row r="1169" spans="1:17" x14ac:dyDescent="0.2">
      <c r="A1169" s="1"/>
      <c r="B1169" s="1"/>
      <c r="C1169" s="1"/>
      <c r="D1169" s="1"/>
      <c r="E1169" s="1"/>
      <c r="F1169" s="1"/>
      <c r="G1169" s="1"/>
      <c r="H1169" s="1"/>
      <c r="I1169" s="1"/>
      <c r="J1169" s="1"/>
      <c r="K1169" s="1"/>
      <c r="L1169" s="1"/>
      <c r="M1169" s="1"/>
      <c r="N1169" s="1"/>
      <c r="O1169" s="1"/>
      <c r="P1169" s="1"/>
      <c r="Q1169" s="1"/>
    </row>
    <row r="1170" spans="1:17" x14ac:dyDescent="0.2">
      <c r="A1170" s="1"/>
      <c r="B1170" s="1"/>
      <c r="C1170" s="1"/>
      <c r="D1170" s="1"/>
      <c r="E1170" s="1"/>
      <c r="F1170" s="1"/>
      <c r="G1170" s="1"/>
      <c r="H1170" s="1"/>
      <c r="I1170" s="1"/>
      <c r="J1170" s="1"/>
      <c r="K1170" s="1"/>
      <c r="L1170" s="1"/>
      <c r="M1170" s="1"/>
      <c r="N1170" s="1"/>
      <c r="O1170" s="1"/>
      <c r="P1170" s="1"/>
      <c r="Q1170" s="1"/>
    </row>
    <row r="1171" spans="1:17" x14ac:dyDescent="0.2">
      <c r="A1171" s="1"/>
      <c r="B1171" s="1"/>
      <c r="C1171" s="1"/>
      <c r="D1171" s="1"/>
      <c r="E1171" s="1"/>
      <c r="F1171" s="1"/>
      <c r="G1171" s="1"/>
      <c r="H1171" s="1"/>
      <c r="I1171" s="1"/>
      <c r="J1171" s="1"/>
      <c r="K1171" s="1"/>
      <c r="L1171" s="1"/>
      <c r="M1171" s="1"/>
      <c r="N1171" s="1"/>
      <c r="O1171" s="1"/>
      <c r="P1171" s="1"/>
      <c r="Q1171" s="1"/>
    </row>
    <row r="1172" spans="1:17" x14ac:dyDescent="0.2">
      <c r="A1172" s="1"/>
      <c r="B1172" s="1"/>
      <c r="C1172" s="1"/>
      <c r="D1172" s="1"/>
      <c r="E1172" s="1"/>
      <c r="F1172" s="1"/>
      <c r="G1172" s="1"/>
      <c r="H1172" s="1"/>
      <c r="I1172" s="1"/>
      <c r="J1172" s="1"/>
      <c r="K1172" s="1"/>
      <c r="L1172" s="1"/>
      <c r="M1172" s="1"/>
      <c r="N1172" s="1"/>
      <c r="O1172" s="1"/>
      <c r="P1172" s="1"/>
      <c r="Q1172" s="1"/>
    </row>
    <row r="1173" spans="1:17" x14ac:dyDescent="0.2">
      <c r="A1173" s="1"/>
      <c r="B1173" s="1"/>
      <c r="C1173" s="1"/>
      <c r="D1173" s="1"/>
      <c r="E1173" s="1"/>
      <c r="F1173" s="1"/>
      <c r="G1173" s="1"/>
      <c r="H1173" s="1"/>
      <c r="I1173" s="1"/>
      <c r="J1173" s="1"/>
      <c r="K1173" s="1"/>
      <c r="L1173" s="1"/>
      <c r="M1173" s="1"/>
      <c r="N1173" s="1"/>
      <c r="O1173" s="1"/>
      <c r="P1173" s="1"/>
      <c r="Q1173" s="1"/>
    </row>
    <row r="1174" spans="1:17" x14ac:dyDescent="0.2">
      <c r="A1174" s="1"/>
      <c r="B1174" s="1"/>
      <c r="C1174" s="1"/>
      <c r="D1174" s="1"/>
      <c r="E1174" s="1"/>
      <c r="F1174" s="1"/>
      <c r="G1174" s="1"/>
      <c r="H1174" s="1"/>
      <c r="I1174" s="1"/>
      <c r="J1174" s="1"/>
      <c r="K1174" s="1"/>
      <c r="L1174" s="1"/>
      <c r="M1174" s="1"/>
      <c r="N1174" s="1"/>
      <c r="O1174" s="1"/>
      <c r="P1174" s="1"/>
      <c r="Q1174" s="1"/>
    </row>
    <row r="1175" spans="1:17" x14ac:dyDescent="0.2">
      <c r="A1175" s="1"/>
      <c r="B1175" s="1"/>
      <c r="C1175" s="1"/>
      <c r="D1175" s="1"/>
      <c r="E1175" s="1"/>
      <c r="F1175" s="1"/>
      <c r="G1175" s="1"/>
      <c r="H1175" s="1"/>
      <c r="I1175" s="1"/>
      <c r="J1175" s="1"/>
      <c r="K1175" s="1"/>
      <c r="L1175" s="1"/>
      <c r="M1175" s="1"/>
      <c r="N1175" s="1"/>
      <c r="O1175" s="1"/>
      <c r="P1175" s="1"/>
      <c r="Q1175" s="1"/>
    </row>
    <row r="1176" spans="1:17" x14ac:dyDescent="0.2">
      <c r="A1176" s="1"/>
      <c r="B1176" s="1"/>
      <c r="C1176" s="1"/>
      <c r="D1176" s="1"/>
      <c r="E1176" s="1"/>
      <c r="F1176" s="1"/>
      <c r="G1176" s="1"/>
      <c r="H1176" s="1"/>
      <c r="I1176" s="1"/>
      <c r="J1176" s="1"/>
      <c r="K1176" s="1"/>
      <c r="L1176" s="1"/>
      <c r="M1176" s="1"/>
      <c r="N1176" s="1"/>
      <c r="O1176" s="1"/>
      <c r="P1176" s="1"/>
      <c r="Q1176" s="1"/>
    </row>
    <row r="1177" spans="1:17" x14ac:dyDescent="0.2">
      <c r="A1177" s="1"/>
      <c r="B1177" s="1"/>
      <c r="C1177" s="1"/>
      <c r="D1177" s="1"/>
      <c r="E1177" s="1"/>
      <c r="F1177" s="1"/>
      <c r="G1177" s="1"/>
      <c r="H1177" s="1"/>
      <c r="I1177" s="1"/>
      <c r="J1177" s="1"/>
      <c r="K1177" s="1"/>
      <c r="L1177" s="1"/>
      <c r="M1177" s="1"/>
      <c r="N1177" s="1"/>
      <c r="O1177" s="1"/>
      <c r="P1177" s="1"/>
      <c r="Q1177" s="1"/>
    </row>
    <row r="1178" spans="1:17" x14ac:dyDescent="0.2">
      <c r="A1178" s="1"/>
      <c r="B1178" s="1"/>
      <c r="C1178" s="1"/>
      <c r="D1178" s="1"/>
      <c r="E1178" s="1"/>
      <c r="F1178" s="1"/>
      <c r="G1178" s="1"/>
      <c r="H1178" s="1"/>
      <c r="I1178" s="1"/>
      <c r="J1178" s="1"/>
      <c r="K1178" s="1"/>
      <c r="L1178" s="1"/>
      <c r="M1178" s="1"/>
      <c r="N1178" s="1"/>
      <c r="O1178" s="1"/>
      <c r="P1178" s="1"/>
      <c r="Q1178" s="1"/>
    </row>
    <row r="1179" spans="1:17" x14ac:dyDescent="0.2">
      <c r="A1179" s="1"/>
      <c r="B1179" s="1"/>
      <c r="C1179" s="1"/>
      <c r="D1179" s="1"/>
      <c r="E1179" s="1"/>
      <c r="F1179" s="1"/>
      <c r="G1179" s="1"/>
      <c r="H1179" s="1"/>
      <c r="I1179" s="1"/>
      <c r="J1179" s="1"/>
      <c r="K1179" s="1"/>
      <c r="L1179" s="1"/>
      <c r="M1179" s="1"/>
      <c r="N1179" s="1"/>
      <c r="O1179" s="1"/>
      <c r="P1179" s="1"/>
      <c r="Q1179" s="1"/>
    </row>
    <row r="1180" spans="1:17" x14ac:dyDescent="0.2">
      <c r="A1180" s="1"/>
      <c r="B1180" s="1"/>
      <c r="C1180" s="1"/>
      <c r="D1180" s="1"/>
      <c r="E1180" s="1"/>
      <c r="F1180" s="1"/>
      <c r="G1180" s="1"/>
      <c r="H1180" s="1"/>
      <c r="I1180" s="1"/>
      <c r="J1180" s="1"/>
      <c r="K1180" s="1"/>
      <c r="L1180" s="1"/>
      <c r="M1180" s="1"/>
      <c r="N1180" s="1"/>
      <c r="O1180" s="1"/>
      <c r="P1180" s="1"/>
      <c r="Q1180" s="1"/>
    </row>
    <row r="1181" spans="1:17" x14ac:dyDescent="0.2">
      <c r="A1181" s="1"/>
      <c r="B1181" s="1"/>
      <c r="C1181" s="1"/>
      <c r="D1181" s="1"/>
      <c r="E1181" s="1"/>
      <c r="F1181" s="1"/>
      <c r="G1181" s="1"/>
      <c r="H1181" s="1"/>
      <c r="I1181" s="1"/>
      <c r="J1181" s="1"/>
      <c r="K1181" s="1"/>
      <c r="L1181" s="1"/>
      <c r="M1181" s="1"/>
      <c r="N1181" s="1"/>
      <c r="O1181" s="1"/>
      <c r="P1181" s="1"/>
      <c r="Q1181" s="1"/>
    </row>
    <row r="1182" spans="1:17" x14ac:dyDescent="0.2">
      <c r="A1182" s="1"/>
      <c r="B1182" s="1"/>
      <c r="C1182" s="1"/>
      <c r="D1182" s="1"/>
      <c r="E1182" s="1"/>
      <c r="F1182" s="1"/>
      <c r="G1182" s="1"/>
      <c r="H1182" s="1"/>
      <c r="I1182" s="1"/>
      <c r="J1182" s="1"/>
      <c r="K1182" s="1"/>
      <c r="L1182" s="1"/>
      <c r="M1182" s="1"/>
      <c r="N1182" s="1"/>
      <c r="O1182" s="1"/>
      <c r="P1182" s="1"/>
      <c r="Q1182" s="1"/>
    </row>
    <row r="1183" spans="1:17" x14ac:dyDescent="0.2">
      <c r="A1183" s="1"/>
      <c r="B1183" s="1"/>
      <c r="C1183" s="1"/>
      <c r="D1183" s="1"/>
      <c r="E1183" s="1"/>
      <c r="F1183" s="1"/>
      <c r="G1183" s="1"/>
      <c r="H1183" s="1"/>
      <c r="I1183" s="1"/>
      <c r="J1183" s="1"/>
      <c r="K1183" s="1"/>
      <c r="L1183" s="1"/>
      <c r="M1183" s="1"/>
      <c r="N1183" s="1"/>
      <c r="O1183" s="1"/>
      <c r="P1183" s="1"/>
      <c r="Q1183" s="1"/>
    </row>
    <row r="1184" spans="1:17" x14ac:dyDescent="0.2">
      <c r="A1184" s="1"/>
      <c r="B1184" s="1"/>
      <c r="C1184" s="1"/>
      <c r="D1184" s="1"/>
      <c r="E1184" s="1"/>
      <c r="F1184" s="1"/>
      <c r="G1184" s="1"/>
      <c r="H1184" s="1"/>
      <c r="I1184" s="1"/>
      <c r="J1184" s="1"/>
      <c r="K1184" s="1"/>
      <c r="L1184" s="1"/>
      <c r="M1184" s="1"/>
      <c r="N1184" s="1"/>
      <c r="O1184" s="1"/>
      <c r="P1184" s="1"/>
      <c r="Q1184" s="1"/>
    </row>
    <row r="1185" spans="1:17" x14ac:dyDescent="0.2">
      <c r="A1185" s="1"/>
      <c r="B1185" s="1"/>
      <c r="C1185" s="1"/>
      <c r="D1185" s="1"/>
      <c r="E1185" s="1"/>
      <c r="F1185" s="1"/>
      <c r="G1185" s="1"/>
      <c r="H1185" s="1"/>
      <c r="I1185" s="1"/>
      <c r="J1185" s="1"/>
      <c r="K1185" s="1"/>
      <c r="L1185" s="1"/>
      <c r="M1185" s="1"/>
      <c r="N1185" s="1"/>
      <c r="O1185" s="1"/>
      <c r="P1185" s="1"/>
      <c r="Q1185" s="1"/>
    </row>
    <row r="1186" spans="1:17" x14ac:dyDescent="0.2">
      <c r="A1186" s="1"/>
      <c r="B1186" s="1"/>
      <c r="C1186" s="1"/>
      <c r="D1186" s="1"/>
      <c r="E1186" s="1"/>
      <c r="F1186" s="1"/>
      <c r="G1186" s="1"/>
      <c r="H1186" s="1"/>
      <c r="I1186" s="1"/>
      <c r="J1186" s="1"/>
      <c r="K1186" s="1"/>
      <c r="L1186" s="1"/>
      <c r="M1186" s="1"/>
      <c r="N1186" s="1"/>
      <c r="O1186" s="1"/>
      <c r="P1186" s="1"/>
      <c r="Q1186" s="1"/>
    </row>
    <row r="1187" spans="1:17" x14ac:dyDescent="0.2">
      <c r="A1187" s="1"/>
      <c r="B1187" s="1"/>
      <c r="C1187" s="1"/>
      <c r="D1187" s="1"/>
      <c r="E1187" s="1"/>
      <c r="F1187" s="1"/>
      <c r="G1187" s="1"/>
      <c r="H1187" s="1"/>
      <c r="I1187" s="1"/>
      <c r="J1187" s="1"/>
      <c r="K1187" s="1"/>
      <c r="L1187" s="1"/>
      <c r="M1187" s="1"/>
      <c r="N1187" s="1"/>
      <c r="O1187" s="1"/>
      <c r="P1187" s="1"/>
      <c r="Q1187" s="1"/>
    </row>
    <row r="1188" spans="1:17" x14ac:dyDescent="0.2">
      <c r="A1188" s="1"/>
      <c r="B1188" s="1"/>
      <c r="C1188" s="1"/>
      <c r="D1188" s="1"/>
      <c r="E1188" s="1"/>
      <c r="F1188" s="1"/>
      <c r="G1188" s="1"/>
      <c r="H1188" s="1"/>
      <c r="I1188" s="1"/>
      <c r="J1188" s="1"/>
      <c r="K1188" s="1"/>
      <c r="L1188" s="1"/>
      <c r="M1188" s="1"/>
      <c r="N1188" s="1"/>
      <c r="O1188" s="1"/>
      <c r="P1188" s="1"/>
      <c r="Q1188" s="1"/>
    </row>
    <row r="1189" spans="1:17" x14ac:dyDescent="0.2">
      <c r="A1189" s="1"/>
      <c r="B1189" s="1"/>
      <c r="C1189" s="1"/>
      <c r="D1189" s="1"/>
      <c r="E1189" s="1"/>
      <c r="F1189" s="1"/>
      <c r="G1189" s="1"/>
      <c r="H1189" s="1"/>
      <c r="I1189" s="1"/>
      <c r="J1189" s="1"/>
      <c r="K1189" s="1"/>
      <c r="L1189" s="1"/>
      <c r="M1189" s="1"/>
      <c r="N1189" s="1"/>
      <c r="O1189" s="1"/>
      <c r="P1189" s="1"/>
      <c r="Q1189" s="1"/>
    </row>
    <row r="1190" spans="1:17" x14ac:dyDescent="0.2">
      <c r="A1190" s="1"/>
      <c r="B1190" s="1"/>
      <c r="C1190" s="1"/>
      <c r="D1190" s="1"/>
      <c r="E1190" s="1"/>
      <c r="F1190" s="1"/>
      <c r="G1190" s="1"/>
      <c r="H1190" s="1"/>
      <c r="I1190" s="1"/>
      <c r="J1190" s="1"/>
      <c r="K1190" s="1"/>
      <c r="L1190" s="1"/>
      <c r="M1190" s="1"/>
      <c r="N1190" s="1"/>
      <c r="O1190" s="1"/>
      <c r="P1190" s="1"/>
      <c r="Q1190" s="1"/>
    </row>
    <row r="1191" spans="1:17" x14ac:dyDescent="0.2">
      <c r="A1191" s="1"/>
      <c r="B1191" s="1"/>
      <c r="C1191" s="1"/>
      <c r="D1191" s="1"/>
      <c r="E1191" s="1"/>
      <c r="F1191" s="1"/>
      <c r="G1191" s="1"/>
      <c r="H1191" s="1"/>
      <c r="I1191" s="1"/>
      <c r="J1191" s="1"/>
      <c r="K1191" s="1"/>
      <c r="L1191" s="1"/>
      <c r="M1191" s="1"/>
      <c r="N1191" s="1"/>
      <c r="O1191" s="1"/>
      <c r="P1191" s="1"/>
      <c r="Q1191" s="1"/>
    </row>
    <row r="1192" spans="1:17" x14ac:dyDescent="0.2">
      <c r="A1192" s="1"/>
      <c r="B1192" s="1"/>
      <c r="C1192" s="1"/>
      <c r="D1192" s="1"/>
      <c r="E1192" s="1"/>
      <c r="F1192" s="1"/>
      <c r="G1192" s="1"/>
      <c r="H1192" s="1"/>
      <c r="I1192" s="1"/>
      <c r="J1192" s="1"/>
      <c r="K1192" s="1"/>
      <c r="L1192" s="1"/>
      <c r="M1192" s="1"/>
      <c r="N1192" s="1"/>
      <c r="O1192" s="1"/>
      <c r="P1192" s="1"/>
      <c r="Q1192" s="1"/>
    </row>
    <row r="1193" spans="1:17" x14ac:dyDescent="0.2">
      <c r="A1193" s="1"/>
      <c r="B1193" s="1"/>
      <c r="C1193" s="1"/>
      <c r="D1193" s="1"/>
      <c r="E1193" s="1"/>
      <c r="F1193" s="1"/>
      <c r="G1193" s="1"/>
      <c r="H1193" s="1"/>
      <c r="I1193" s="1"/>
      <c r="J1193" s="1"/>
      <c r="K1193" s="1"/>
      <c r="L1193" s="1"/>
      <c r="M1193" s="1"/>
      <c r="N1193" s="1"/>
      <c r="O1193" s="1"/>
      <c r="P1193" s="1"/>
      <c r="Q1193" s="1"/>
    </row>
    <row r="1194" spans="1:17" x14ac:dyDescent="0.2">
      <c r="A1194" s="1"/>
      <c r="B1194" s="1"/>
      <c r="C1194" s="1"/>
      <c r="D1194" s="1"/>
      <c r="E1194" s="1"/>
      <c r="F1194" s="1"/>
      <c r="G1194" s="1"/>
      <c r="H1194" s="1"/>
      <c r="I1194" s="1"/>
      <c r="J1194" s="1"/>
      <c r="K1194" s="1"/>
      <c r="L1194" s="1"/>
      <c r="M1194" s="1"/>
      <c r="N1194" s="1"/>
      <c r="O1194" s="1"/>
      <c r="P1194" s="1"/>
      <c r="Q1194" s="1"/>
    </row>
    <row r="1195" spans="1:17" x14ac:dyDescent="0.2">
      <c r="A1195" s="1"/>
      <c r="B1195" s="1"/>
      <c r="C1195" s="1"/>
      <c r="D1195" s="1"/>
      <c r="E1195" s="1"/>
      <c r="F1195" s="1"/>
      <c r="G1195" s="1"/>
      <c r="H1195" s="1"/>
      <c r="I1195" s="1"/>
      <c r="J1195" s="1"/>
      <c r="K1195" s="1"/>
      <c r="L1195" s="1"/>
      <c r="M1195" s="1"/>
      <c r="N1195" s="1"/>
      <c r="O1195" s="1"/>
      <c r="P1195" s="1"/>
      <c r="Q1195" s="1"/>
    </row>
    <row r="1196" spans="1:17" x14ac:dyDescent="0.2">
      <c r="A1196" s="1"/>
      <c r="B1196" s="1"/>
      <c r="C1196" s="1"/>
      <c r="D1196" s="1"/>
      <c r="E1196" s="1"/>
      <c r="F1196" s="1"/>
      <c r="G1196" s="1"/>
      <c r="H1196" s="1"/>
      <c r="I1196" s="1"/>
      <c r="J1196" s="1"/>
      <c r="K1196" s="1"/>
      <c r="L1196" s="1"/>
      <c r="M1196" s="1"/>
      <c r="N1196" s="1"/>
      <c r="O1196" s="1"/>
      <c r="P1196" s="1"/>
      <c r="Q1196" s="1"/>
    </row>
    <row r="1197" spans="1:17" x14ac:dyDescent="0.2">
      <c r="A1197" s="1"/>
      <c r="B1197" s="1"/>
      <c r="C1197" s="1"/>
      <c r="D1197" s="1"/>
      <c r="E1197" s="1"/>
      <c r="F1197" s="1"/>
      <c r="G1197" s="1"/>
      <c r="H1197" s="1"/>
      <c r="I1197" s="1"/>
      <c r="J1197" s="1"/>
      <c r="K1197" s="1"/>
      <c r="L1197" s="1"/>
      <c r="M1197" s="1"/>
      <c r="N1197" s="1"/>
      <c r="O1197" s="1"/>
      <c r="P1197" s="1"/>
      <c r="Q1197" s="1"/>
    </row>
    <row r="1198" spans="1:17" x14ac:dyDescent="0.2">
      <c r="A1198" s="1"/>
      <c r="B1198" s="1"/>
      <c r="C1198" s="1"/>
      <c r="D1198" s="1"/>
      <c r="E1198" s="1"/>
      <c r="F1198" s="1"/>
      <c r="G1198" s="1"/>
      <c r="H1198" s="1"/>
      <c r="I1198" s="1"/>
      <c r="J1198" s="1"/>
      <c r="K1198" s="1"/>
      <c r="L1198" s="1"/>
      <c r="M1198" s="1"/>
      <c r="N1198" s="1"/>
      <c r="O1198" s="1"/>
      <c r="P1198" s="1"/>
      <c r="Q1198" s="1"/>
    </row>
    <row r="1199" spans="1:17" x14ac:dyDescent="0.2">
      <c r="A1199" s="1"/>
      <c r="B1199" s="1"/>
      <c r="C1199" s="1"/>
      <c r="D1199" s="1"/>
      <c r="E1199" s="1"/>
      <c r="F1199" s="1"/>
      <c r="G1199" s="1"/>
      <c r="H1199" s="1"/>
      <c r="I1199" s="1"/>
      <c r="J1199" s="1"/>
      <c r="K1199" s="1"/>
      <c r="L1199" s="1"/>
      <c r="M1199" s="1"/>
      <c r="N1199" s="1"/>
      <c r="O1199" s="1"/>
      <c r="P1199" s="1"/>
      <c r="Q1199" s="1"/>
    </row>
    <row r="1200" spans="1:17" x14ac:dyDescent="0.2">
      <c r="A1200" s="1"/>
      <c r="B1200" s="1"/>
      <c r="C1200" s="1"/>
      <c r="D1200" s="1"/>
      <c r="E1200" s="1"/>
      <c r="F1200" s="1"/>
      <c r="G1200" s="1"/>
      <c r="H1200" s="1"/>
      <c r="I1200" s="1"/>
      <c r="J1200" s="1"/>
      <c r="K1200" s="1"/>
      <c r="L1200" s="1"/>
      <c r="M1200" s="1"/>
      <c r="N1200" s="1"/>
      <c r="O1200" s="1"/>
      <c r="P1200" s="1"/>
      <c r="Q1200" s="1"/>
    </row>
    <row r="1201" spans="1:17" x14ac:dyDescent="0.2">
      <c r="A1201" s="1"/>
      <c r="B1201" s="1"/>
      <c r="C1201" s="1"/>
      <c r="D1201" s="1"/>
      <c r="E1201" s="1"/>
      <c r="F1201" s="1"/>
      <c r="G1201" s="1"/>
      <c r="H1201" s="1"/>
      <c r="I1201" s="1"/>
      <c r="J1201" s="1"/>
      <c r="K1201" s="1"/>
      <c r="L1201" s="1"/>
      <c r="M1201" s="1"/>
      <c r="N1201" s="1"/>
      <c r="O1201" s="1"/>
      <c r="P1201" s="1"/>
      <c r="Q1201" s="1"/>
    </row>
    <row r="1202" spans="1:17" x14ac:dyDescent="0.2">
      <c r="A1202" s="1"/>
      <c r="B1202" s="1"/>
      <c r="C1202" s="1"/>
      <c r="D1202" s="1"/>
      <c r="E1202" s="1"/>
      <c r="F1202" s="1"/>
      <c r="G1202" s="1"/>
      <c r="H1202" s="1"/>
      <c r="I1202" s="1"/>
      <c r="J1202" s="1"/>
      <c r="K1202" s="1"/>
      <c r="L1202" s="1"/>
      <c r="M1202" s="1"/>
      <c r="N1202" s="1"/>
      <c r="O1202" s="1"/>
      <c r="P1202" s="1"/>
      <c r="Q1202" s="1"/>
    </row>
    <row r="1203" spans="1:17" x14ac:dyDescent="0.2">
      <c r="A1203" s="1"/>
      <c r="B1203" s="1"/>
      <c r="C1203" s="1"/>
      <c r="D1203" s="1"/>
      <c r="E1203" s="1"/>
      <c r="F1203" s="1"/>
      <c r="G1203" s="1"/>
      <c r="H1203" s="1"/>
      <c r="I1203" s="1"/>
      <c r="J1203" s="1"/>
      <c r="K1203" s="1"/>
      <c r="L1203" s="1"/>
      <c r="M1203" s="1"/>
      <c r="N1203" s="1"/>
      <c r="O1203" s="1"/>
      <c r="P1203" s="1"/>
      <c r="Q1203" s="1"/>
    </row>
    <row r="1204" spans="1:17" x14ac:dyDescent="0.2">
      <c r="A1204" s="1"/>
      <c r="B1204" s="1"/>
      <c r="C1204" s="1"/>
      <c r="D1204" s="1"/>
      <c r="E1204" s="1"/>
      <c r="F1204" s="1"/>
      <c r="G1204" s="1"/>
      <c r="H1204" s="1"/>
      <c r="I1204" s="1"/>
      <c r="J1204" s="1"/>
      <c r="K1204" s="1"/>
      <c r="L1204" s="1"/>
      <c r="M1204" s="1"/>
      <c r="N1204" s="1"/>
      <c r="O1204" s="1"/>
      <c r="P1204" s="1"/>
      <c r="Q1204" s="1"/>
    </row>
    <row r="1205" spans="1:17" x14ac:dyDescent="0.2">
      <c r="A1205" s="1"/>
      <c r="B1205" s="1"/>
      <c r="C1205" s="1"/>
      <c r="D1205" s="1"/>
      <c r="E1205" s="1"/>
      <c r="F1205" s="1"/>
      <c r="G1205" s="1"/>
      <c r="H1205" s="1"/>
      <c r="I1205" s="1"/>
      <c r="J1205" s="1"/>
      <c r="K1205" s="1"/>
      <c r="L1205" s="1"/>
      <c r="M1205" s="1"/>
      <c r="N1205" s="1"/>
      <c r="O1205" s="1"/>
      <c r="P1205" s="1"/>
      <c r="Q1205" s="1"/>
    </row>
    <row r="1206" spans="1:17" x14ac:dyDescent="0.2">
      <c r="A1206" s="1"/>
      <c r="B1206" s="1"/>
      <c r="C1206" s="1"/>
      <c r="D1206" s="1"/>
      <c r="E1206" s="1"/>
      <c r="F1206" s="1"/>
      <c r="G1206" s="1"/>
      <c r="H1206" s="1"/>
      <c r="I1206" s="1"/>
      <c r="J1206" s="1"/>
      <c r="K1206" s="1"/>
      <c r="L1206" s="1"/>
      <c r="M1206" s="1"/>
      <c r="N1206" s="1"/>
      <c r="O1206" s="1"/>
      <c r="P1206" s="1"/>
      <c r="Q1206" s="1"/>
    </row>
    <row r="1207" spans="1:17" x14ac:dyDescent="0.2">
      <c r="A1207" s="1"/>
      <c r="B1207" s="1"/>
      <c r="C1207" s="1"/>
      <c r="D1207" s="1"/>
      <c r="E1207" s="1"/>
      <c r="F1207" s="1"/>
      <c r="G1207" s="1"/>
      <c r="H1207" s="1"/>
      <c r="I1207" s="1"/>
      <c r="J1207" s="1"/>
      <c r="K1207" s="1"/>
      <c r="L1207" s="1"/>
      <c r="M1207" s="1"/>
      <c r="N1207" s="1"/>
      <c r="O1207" s="1"/>
      <c r="P1207" s="1"/>
      <c r="Q1207" s="1"/>
    </row>
    <row r="1208" spans="1:17" x14ac:dyDescent="0.2">
      <c r="A1208" s="1"/>
      <c r="B1208" s="1"/>
      <c r="C1208" s="1"/>
      <c r="D1208" s="1"/>
      <c r="E1208" s="1"/>
      <c r="F1208" s="1"/>
      <c r="G1208" s="1"/>
      <c r="H1208" s="1"/>
      <c r="I1208" s="1"/>
      <c r="J1208" s="1"/>
      <c r="K1208" s="1"/>
      <c r="L1208" s="1"/>
      <c r="M1208" s="1"/>
      <c r="N1208" s="1"/>
      <c r="O1208" s="1"/>
      <c r="P1208" s="1"/>
      <c r="Q1208" s="1"/>
    </row>
    <row r="1209" spans="1:17" x14ac:dyDescent="0.2">
      <c r="A1209" s="1"/>
      <c r="B1209" s="1"/>
      <c r="C1209" s="1"/>
      <c r="D1209" s="1"/>
      <c r="E1209" s="1"/>
      <c r="F1209" s="1"/>
      <c r="G1209" s="1"/>
      <c r="H1209" s="1"/>
      <c r="I1209" s="1"/>
      <c r="J1209" s="1"/>
      <c r="K1209" s="1"/>
      <c r="L1209" s="1"/>
      <c r="M1209" s="1"/>
      <c r="N1209" s="1"/>
      <c r="O1209" s="1"/>
      <c r="P1209" s="1"/>
      <c r="Q1209" s="1"/>
    </row>
    <row r="1210" spans="1:17" x14ac:dyDescent="0.2">
      <c r="A1210" s="1"/>
      <c r="B1210" s="1"/>
      <c r="C1210" s="1"/>
      <c r="D1210" s="1"/>
      <c r="E1210" s="1"/>
      <c r="F1210" s="1"/>
      <c r="G1210" s="1"/>
      <c r="H1210" s="1"/>
      <c r="I1210" s="1"/>
      <c r="J1210" s="1"/>
      <c r="K1210" s="1"/>
      <c r="L1210" s="1"/>
      <c r="M1210" s="1"/>
      <c r="N1210" s="1"/>
      <c r="O1210" s="1"/>
      <c r="P1210" s="1"/>
      <c r="Q1210" s="1"/>
    </row>
    <row r="1211" spans="1:17" x14ac:dyDescent="0.2">
      <c r="A1211" s="1"/>
      <c r="B1211" s="1"/>
      <c r="C1211" s="1"/>
      <c r="D1211" s="1"/>
      <c r="E1211" s="1"/>
      <c r="F1211" s="1"/>
      <c r="G1211" s="1"/>
      <c r="H1211" s="1"/>
      <c r="I1211" s="1"/>
      <c r="J1211" s="1"/>
      <c r="K1211" s="1"/>
      <c r="L1211" s="1"/>
      <c r="M1211" s="1"/>
      <c r="N1211" s="1"/>
      <c r="O1211" s="1"/>
      <c r="P1211" s="1"/>
      <c r="Q1211" s="1"/>
    </row>
    <row r="1212" spans="1:17" x14ac:dyDescent="0.2">
      <c r="A1212" s="1"/>
      <c r="B1212" s="1"/>
      <c r="C1212" s="1"/>
      <c r="D1212" s="1"/>
      <c r="E1212" s="1"/>
      <c r="F1212" s="1"/>
      <c r="G1212" s="1"/>
      <c r="H1212" s="1"/>
      <c r="I1212" s="1"/>
      <c r="J1212" s="1"/>
      <c r="K1212" s="1"/>
      <c r="L1212" s="1"/>
      <c r="M1212" s="1"/>
      <c r="N1212" s="1"/>
      <c r="O1212" s="1"/>
      <c r="P1212" s="1"/>
      <c r="Q1212" s="1"/>
    </row>
    <row r="1213" spans="1:17" x14ac:dyDescent="0.2">
      <c r="A1213" s="1"/>
      <c r="B1213" s="1"/>
      <c r="C1213" s="1"/>
      <c r="D1213" s="1"/>
      <c r="E1213" s="1"/>
      <c r="F1213" s="1"/>
      <c r="G1213" s="1"/>
      <c r="H1213" s="1"/>
      <c r="I1213" s="1"/>
      <c r="J1213" s="1"/>
      <c r="K1213" s="1"/>
      <c r="L1213" s="1"/>
      <c r="M1213" s="1"/>
      <c r="N1213" s="1"/>
      <c r="O1213" s="1"/>
      <c r="P1213" s="1"/>
      <c r="Q1213" s="1"/>
    </row>
    <row r="1214" spans="1:17" x14ac:dyDescent="0.2">
      <c r="A1214" s="1"/>
      <c r="B1214" s="1"/>
      <c r="C1214" s="1"/>
      <c r="D1214" s="1"/>
      <c r="E1214" s="1"/>
      <c r="F1214" s="1"/>
      <c r="G1214" s="1"/>
      <c r="H1214" s="1"/>
      <c r="I1214" s="1"/>
      <c r="J1214" s="1"/>
      <c r="K1214" s="1"/>
      <c r="L1214" s="1"/>
      <c r="M1214" s="1"/>
      <c r="N1214" s="1"/>
      <c r="O1214" s="1"/>
      <c r="P1214" s="1"/>
      <c r="Q1214" s="1"/>
    </row>
    <row r="1215" spans="1:17" x14ac:dyDescent="0.2">
      <c r="A1215" s="1"/>
      <c r="B1215" s="1"/>
      <c r="C1215" s="1"/>
      <c r="D1215" s="1"/>
      <c r="E1215" s="1"/>
      <c r="F1215" s="1"/>
      <c r="G1215" s="1"/>
      <c r="H1215" s="1"/>
      <c r="I1215" s="1"/>
      <c r="J1215" s="1"/>
      <c r="K1215" s="1"/>
      <c r="L1215" s="1"/>
      <c r="M1215" s="1"/>
      <c r="N1215" s="1"/>
      <c r="O1215" s="1"/>
      <c r="P1215" s="1"/>
      <c r="Q1215" s="1"/>
    </row>
    <row r="1216" spans="1:17" x14ac:dyDescent="0.2">
      <c r="A1216" s="1"/>
      <c r="B1216" s="1"/>
      <c r="C1216" s="1"/>
      <c r="D1216" s="1"/>
      <c r="E1216" s="1"/>
      <c r="F1216" s="1"/>
      <c r="G1216" s="1"/>
      <c r="H1216" s="1"/>
      <c r="I1216" s="1"/>
      <c r="J1216" s="1"/>
      <c r="K1216" s="1"/>
      <c r="L1216" s="1"/>
      <c r="M1216" s="1"/>
      <c r="N1216" s="1"/>
      <c r="O1216" s="1"/>
      <c r="P1216" s="1"/>
      <c r="Q1216" s="1"/>
    </row>
    <row r="1217" spans="1:17" x14ac:dyDescent="0.2">
      <c r="A1217" s="1"/>
      <c r="B1217" s="1"/>
      <c r="C1217" s="1"/>
      <c r="D1217" s="1"/>
      <c r="E1217" s="1"/>
      <c r="F1217" s="1"/>
      <c r="G1217" s="1"/>
      <c r="H1217" s="1"/>
      <c r="I1217" s="1"/>
      <c r="J1217" s="1"/>
      <c r="K1217" s="1"/>
      <c r="L1217" s="1"/>
      <c r="M1217" s="1"/>
      <c r="N1217" s="1"/>
      <c r="O1217" s="1"/>
      <c r="P1217" s="1"/>
      <c r="Q1217" s="1"/>
    </row>
    <row r="1218" spans="1:17" x14ac:dyDescent="0.2">
      <c r="A1218" s="1"/>
      <c r="B1218" s="1"/>
      <c r="C1218" s="1"/>
      <c r="D1218" s="1"/>
      <c r="E1218" s="1"/>
      <c r="F1218" s="1"/>
      <c r="G1218" s="1"/>
      <c r="H1218" s="1"/>
      <c r="I1218" s="1"/>
      <c r="J1218" s="1"/>
      <c r="K1218" s="1"/>
      <c r="L1218" s="1"/>
      <c r="M1218" s="1"/>
      <c r="N1218" s="1"/>
      <c r="O1218" s="1"/>
      <c r="P1218" s="1"/>
      <c r="Q1218" s="1"/>
    </row>
    <row r="1219" spans="1:17" x14ac:dyDescent="0.2">
      <c r="A1219" s="1"/>
      <c r="B1219" s="1"/>
      <c r="C1219" s="1"/>
      <c r="D1219" s="1"/>
      <c r="E1219" s="1"/>
      <c r="F1219" s="1"/>
      <c r="G1219" s="1"/>
      <c r="H1219" s="1"/>
      <c r="I1219" s="1"/>
      <c r="J1219" s="1"/>
      <c r="K1219" s="1"/>
      <c r="L1219" s="1"/>
      <c r="M1219" s="1"/>
      <c r="N1219" s="1"/>
      <c r="O1219" s="1"/>
      <c r="P1219" s="1"/>
      <c r="Q1219" s="1"/>
    </row>
    <row r="1220" spans="1:17" x14ac:dyDescent="0.2">
      <c r="A1220" s="1"/>
      <c r="B1220" s="1"/>
      <c r="C1220" s="1"/>
      <c r="D1220" s="1"/>
      <c r="E1220" s="1"/>
      <c r="F1220" s="1"/>
      <c r="G1220" s="1"/>
      <c r="H1220" s="1"/>
      <c r="I1220" s="1"/>
      <c r="J1220" s="1"/>
      <c r="K1220" s="1"/>
      <c r="L1220" s="1"/>
      <c r="M1220" s="1"/>
      <c r="N1220" s="1"/>
      <c r="O1220" s="1"/>
      <c r="P1220" s="1"/>
      <c r="Q1220" s="1"/>
    </row>
    <row r="1221" spans="1:17" x14ac:dyDescent="0.2">
      <c r="A1221" s="1"/>
      <c r="B1221" s="1"/>
      <c r="C1221" s="1"/>
      <c r="D1221" s="1"/>
      <c r="E1221" s="1"/>
      <c r="F1221" s="1"/>
      <c r="G1221" s="1"/>
      <c r="H1221" s="1"/>
      <c r="I1221" s="1"/>
      <c r="J1221" s="1"/>
      <c r="K1221" s="1"/>
      <c r="L1221" s="1"/>
      <c r="M1221" s="1"/>
      <c r="N1221" s="1"/>
      <c r="O1221" s="1"/>
      <c r="P1221" s="1"/>
      <c r="Q1221" s="1"/>
    </row>
    <row r="1222" spans="1:17" x14ac:dyDescent="0.2">
      <c r="A1222" s="1"/>
      <c r="B1222" s="1"/>
      <c r="C1222" s="1"/>
      <c r="D1222" s="1"/>
      <c r="E1222" s="1"/>
      <c r="F1222" s="1"/>
      <c r="G1222" s="1"/>
      <c r="H1222" s="1"/>
      <c r="I1222" s="1"/>
      <c r="J1222" s="1"/>
      <c r="K1222" s="1"/>
      <c r="L1222" s="1"/>
      <c r="M1222" s="1"/>
      <c r="N1222" s="1"/>
      <c r="O1222" s="1"/>
      <c r="P1222" s="1"/>
      <c r="Q1222" s="1"/>
    </row>
    <row r="1223" spans="1:17" x14ac:dyDescent="0.2">
      <c r="A1223" s="1"/>
      <c r="B1223" s="1"/>
      <c r="C1223" s="1"/>
      <c r="D1223" s="1"/>
      <c r="E1223" s="1"/>
      <c r="F1223" s="1"/>
      <c r="G1223" s="1"/>
      <c r="H1223" s="1"/>
      <c r="I1223" s="1"/>
      <c r="J1223" s="1"/>
      <c r="K1223" s="1"/>
      <c r="L1223" s="1"/>
      <c r="M1223" s="1"/>
      <c r="N1223" s="1"/>
      <c r="O1223" s="1"/>
      <c r="P1223" s="1"/>
      <c r="Q1223" s="1"/>
    </row>
    <row r="1224" spans="1:17" x14ac:dyDescent="0.2">
      <c r="A1224" s="1"/>
      <c r="B1224" s="1"/>
      <c r="C1224" s="1"/>
      <c r="D1224" s="1"/>
      <c r="E1224" s="1"/>
      <c r="F1224" s="1"/>
      <c r="G1224" s="1"/>
      <c r="H1224" s="1"/>
      <c r="I1224" s="1"/>
      <c r="J1224" s="1"/>
      <c r="K1224" s="1"/>
      <c r="L1224" s="1"/>
      <c r="M1224" s="1"/>
      <c r="N1224" s="1"/>
      <c r="O1224" s="1"/>
      <c r="P1224" s="1"/>
      <c r="Q1224" s="1"/>
    </row>
    <row r="1225" spans="1:17" x14ac:dyDescent="0.2">
      <c r="A1225" s="1"/>
      <c r="B1225" s="1"/>
      <c r="C1225" s="1"/>
      <c r="D1225" s="1"/>
      <c r="E1225" s="1"/>
      <c r="F1225" s="1"/>
      <c r="G1225" s="1"/>
      <c r="H1225" s="1"/>
      <c r="I1225" s="1"/>
      <c r="J1225" s="1"/>
      <c r="K1225" s="1"/>
      <c r="L1225" s="1"/>
      <c r="M1225" s="1"/>
      <c r="N1225" s="1"/>
      <c r="O1225" s="1"/>
      <c r="P1225" s="1"/>
      <c r="Q1225" s="1"/>
    </row>
    <row r="1226" spans="1:17" x14ac:dyDescent="0.2">
      <c r="A1226" s="1"/>
      <c r="B1226" s="1"/>
      <c r="C1226" s="1"/>
      <c r="D1226" s="1"/>
      <c r="E1226" s="1"/>
      <c r="F1226" s="1"/>
      <c r="G1226" s="1"/>
      <c r="H1226" s="1"/>
      <c r="I1226" s="1"/>
      <c r="J1226" s="1"/>
      <c r="K1226" s="1"/>
      <c r="L1226" s="1"/>
      <c r="M1226" s="1"/>
      <c r="N1226" s="1"/>
      <c r="O1226" s="1"/>
      <c r="P1226" s="1"/>
      <c r="Q1226" s="1"/>
    </row>
    <row r="1227" spans="1:17" x14ac:dyDescent="0.2">
      <c r="A1227" s="1"/>
      <c r="B1227" s="1"/>
      <c r="C1227" s="1"/>
      <c r="D1227" s="1"/>
      <c r="E1227" s="1"/>
      <c r="F1227" s="1"/>
      <c r="G1227" s="1"/>
      <c r="H1227" s="1"/>
      <c r="I1227" s="1"/>
      <c r="J1227" s="1"/>
      <c r="K1227" s="1"/>
      <c r="L1227" s="1"/>
      <c r="M1227" s="1"/>
      <c r="N1227" s="1"/>
      <c r="O1227" s="1"/>
      <c r="P1227" s="1"/>
      <c r="Q1227" s="1"/>
    </row>
    <row r="1228" spans="1:17" x14ac:dyDescent="0.2">
      <c r="A1228" s="1"/>
      <c r="B1228" s="1"/>
      <c r="C1228" s="1"/>
      <c r="D1228" s="1"/>
      <c r="E1228" s="1"/>
      <c r="F1228" s="1"/>
      <c r="G1228" s="1"/>
      <c r="H1228" s="1"/>
      <c r="I1228" s="1"/>
      <c r="J1228" s="1"/>
      <c r="K1228" s="1"/>
      <c r="L1228" s="1"/>
      <c r="M1228" s="1"/>
      <c r="N1228" s="1"/>
      <c r="O1228" s="1"/>
      <c r="P1228" s="1"/>
      <c r="Q1228" s="1"/>
    </row>
    <row r="1229" spans="1:17" x14ac:dyDescent="0.2">
      <c r="A1229" s="1"/>
      <c r="B1229" s="1"/>
      <c r="C1229" s="1"/>
      <c r="D1229" s="1"/>
      <c r="E1229" s="1"/>
      <c r="F1229" s="1"/>
      <c r="G1229" s="1"/>
      <c r="H1229" s="1"/>
      <c r="I1229" s="1"/>
      <c r="J1229" s="1"/>
      <c r="K1229" s="1"/>
      <c r="L1229" s="1"/>
      <c r="M1229" s="1"/>
      <c r="N1229" s="1"/>
      <c r="O1229" s="1"/>
      <c r="P1229" s="1"/>
      <c r="Q1229" s="1"/>
    </row>
    <row r="1230" spans="1:17" x14ac:dyDescent="0.2">
      <c r="A1230" s="1"/>
      <c r="B1230" s="1"/>
      <c r="C1230" s="1"/>
      <c r="D1230" s="1"/>
      <c r="E1230" s="1"/>
      <c r="F1230" s="1"/>
      <c r="G1230" s="1"/>
      <c r="H1230" s="1"/>
      <c r="I1230" s="1"/>
      <c r="J1230" s="1"/>
      <c r="K1230" s="1"/>
      <c r="L1230" s="1"/>
      <c r="M1230" s="1"/>
      <c r="N1230" s="1"/>
      <c r="O1230" s="1"/>
      <c r="P1230" s="1"/>
      <c r="Q1230" s="1"/>
    </row>
    <row r="1231" spans="1:17" x14ac:dyDescent="0.2">
      <c r="A1231" s="1"/>
      <c r="B1231" s="1"/>
      <c r="C1231" s="1"/>
      <c r="D1231" s="1"/>
      <c r="E1231" s="1"/>
      <c r="F1231" s="1"/>
      <c r="G1231" s="1"/>
      <c r="H1231" s="1"/>
      <c r="I1231" s="1"/>
      <c r="J1231" s="1"/>
      <c r="K1231" s="1"/>
      <c r="L1231" s="1"/>
      <c r="M1231" s="1"/>
      <c r="N1231" s="1"/>
      <c r="O1231" s="1"/>
      <c r="P1231" s="1"/>
      <c r="Q1231" s="1"/>
    </row>
    <row r="1232" spans="1:17" x14ac:dyDescent="0.2">
      <c r="A1232" s="1"/>
      <c r="B1232" s="1"/>
      <c r="C1232" s="1"/>
      <c r="D1232" s="1"/>
      <c r="E1232" s="1"/>
      <c r="F1232" s="1"/>
      <c r="G1232" s="1"/>
      <c r="H1232" s="1"/>
      <c r="I1232" s="1"/>
      <c r="J1232" s="1"/>
      <c r="K1232" s="1"/>
      <c r="L1232" s="1"/>
      <c r="M1232" s="1"/>
      <c r="N1232" s="1"/>
      <c r="O1232" s="1"/>
      <c r="P1232" s="1"/>
      <c r="Q1232" s="1"/>
    </row>
    <row r="1233" spans="1:17" x14ac:dyDescent="0.2">
      <c r="A1233" s="1"/>
      <c r="B1233" s="1"/>
      <c r="C1233" s="1"/>
      <c r="D1233" s="1"/>
      <c r="E1233" s="1"/>
      <c r="F1233" s="1"/>
      <c r="G1233" s="1"/>
      <c r="H1233" s="1"/>
      <c r="I1233" s="1"/>
      <c r="J1233" s="1"/>
      <c r="K1233" s="1"/>
      <c r="L1233" s="1"/>
      <c r="M1233" s="1"/>
      <c r="N1233" s="1"/>
      <c r="O1233" s="1"/>
      <c r="P1233" s="1"/>
      <c r="Q1233" s="1"/>
    </row>
    <row r="1234" spans="1:17" x14ac:dyDescent="0.2">
      <c r="A1234" s="1"/>
      <c r="B1234" s="1"/>
      <c r="C1234" s="1"/>
      <c r="D1234" s="1"/>
      <c r="E1234" s="1"/>
      <c r="F1234" s="1"/>
      <c r="G1234" s="1"/>
      <c r="H1234" s="1"/>
      <c r="I1234" s="1"/>
      <c r="J1234" s="1"/>
      <c r="K1234" s="1"/>
      <c r="L1234" s="1"/>
      <c r="M1234" s="1"/>
      <c r="N1234" s="1"/>
      <c r="O1234" s="1"/>
      <c r="P1234" s="1"/>
      <c r="Q1234" s="1"/>
    </row>
    <row r="1235" spans="1:17" x14ac:dyDescent="0.2">
      <c r="A1235" s="1"/>
      <c r="B1235" s="1"/>
      <c r="C1235" s="1"/>
      <c r="D1235" s="1"/>
      <c r="E1235" s="1"/>
      <c r="F1235" s="1"/>
      <c r="G1235" s="1"/>
      <c r="H1235" s="1"/>
      <c r="I1235" s="1"/>
      <c r="J1235" s="1"/>
      <c r="K1235" s="1"/>
      <c r="L1235" s="1"/>
      <c r="M1235" s="1"/>
      <c r="N1235" s="1"/>
      <c r="O1235" s="1"/>
      <c r="P1235" s="1"/>
      <c r="Q1235" s="1"/>
    </row>
    <row r="1236" spans="1:17" x14ac:dyDescent="0.2">
      <c r="A1236" s="1"/>
      <c r="B1236" s="1"/>
      <c r="C1236" s="1"/>
      <c r="D1236" s="1"/>
      <c r="E1236" s="1"/>
      <c r="F1236" s="1"/>
      <c r="G1236" s="1"/>
      <c r="H1236" s="1"/>
      <c r="I1236" s="1"/>
      <c r="J1236" s="1"/>
      <c r="K1236" s="1"/>
      <c r="L1236" s="1"/>
      <c r="M1236" s="1"/>
      <c r="N1236" s="1"/>
      <c r="O1236" s="1"/>
      <c r="P1236" s="1"/>
      <c r="Q1236" s="1"/>
    </row>
    <row r="1237" spans="1:17" x14ac:dyDescent="0.2">
      <c r="A1237" s="1"/>
      <c r="B1237" s="1"/>
      <c r="C1237" s="1"/>
      <c r="D1237" s="1"/>
      <c r="E1237" s="1"/>
      <c r="F1237" s="1"/>
      <c r="G1237" s="1"/>
      <c r="H1237" s="1"/>
      <c r="I1237" s="1"/>
      <c r="J1237" s="1"/>
      <c r="K1237" s="1"/>
      <c r="L1237" s="1"/>
      <c r="M1237" s="1"/>
      <c r="N1237" s="1"/>
      <c r="O1237" s="1"/>
      <c r="P1237" s="1"/>
      <c r="Q1237" s="1"/>
    </row>
    <row r="1238" spans="1:17" x14ac:dyDescent="0.2">
      <c r="A1238" s="1"/>
      <c r="B1238" s="1"/>
      <c r="C1238" s="1"/>
      <c r="D1238" s="1"/>
      <c r="E1238" s="1"/>
      <c r="F1238" s="1"/>
      <c r="G1238" s="1"/>
      <c r="H1238" s="1"/>
      <c r="I1238" s="1"/>
      <c r="J1238" s="1"/>
      <c r="K1238" s="1"/>
      <c r="L1238" s="1"/>
      <c r="M1238" s="1"/>
      <c r="N1238" s="1"/>
      <c r="O1238" s="1"/>
      <c r="P1238" s="1"/>
      <c r="Q1238" s="1"/>
    </row>
    <row r="1239" spans="1:17" x14ac:dyDescent="0.2">
      <c r="A1239" s="1"/>
      <c r="B1239" s="1"/>
      <c r="C1239" s="1"/>
      <c r="D1239" s="1"/>
      <c r="E1239" s="1"/>
      <c r="F1239" s="1"/>
      <c r="G1239" s="1"/>
      <c r="H1239" s="1"/>
      <c r="I1239" s="1"/>
      <c r="J1239" s="1"/>
      <c r="K1239" s="1"/>
      <c r="L1239" s="1"/>
      <c r="M1239" s="1"/>
      <c r="N1239" s="1"/>
      <c r="O1239" s="1"/>
      <c r="P1239" s="1"/>
      <c r="Q1239" s="1"/>
    </row>
    <row r="1240" spans="1:17" x14ac:dyDescent="0.2">
      <c r="A1240" s="1"/>
      <c r="B1240" s="1"/>
      <c r="C1240" s="1"/>
      <c r="D1240" s="1"/>
      <c r="E1240" s="1"/>
      <c r="F1240" s="1"/>
      <c r="G1240" s="1"/>
      <c r="H1240" s="1"/>
      <c r="I1240" s="1"/>
      <c r="J1240" s="1"/>
      <c r="K1240" s="1"/>
      <c r="L1240" s="1"/>
      <c r="M1240" s="1"/>
      <c r="N1240" s="1"/>
      <c r="O1240" s="1"/>
      <c r="P1240" s="1"/>
      <c r="Q1240" s="1"/>
    </row>
    <row r="1241" spans="1:17" x14ac:dyDescent="0.2">
      <c r="A1241" s="1"/>
      <c r="B1241" s="1"/>
      <c r="C1241" s="1"/>
      <c r="D1241" s="1"/>
      <c r="E1241" s="1"/>
      <c r="F1241" s="1"/>
      <c r="G1241" s="1"/>
      <c r="H1241" s="1"/>
      <c r="I1241" s="1"/>
      <c r="J1241" s="1"/>
      <c r="K1241" s="1"/>
      <c r="L1241" s="1"/>
      <c r="M1241" s="1"/>
      <c r="N1241" s="1"/>
      <c r="O1241" s="1"/>
      <c r="P1241" s="1"/>
      <c r="Q1241" s="1"/>
    </row>
    <row r="1242" spans="1:17" x14ac:dyDescent="0.2">
      <c r="A1242" s="1"/>
      <c r="B1242" s="1"/>
      <c r="C1242" s="1"/>
      <c r="D1242" s="1"/>
      <c r="E1242" s="1"/>
      <c r="F1242" s="1"/>
      <c r="G1242" s="1"/>
      <c r="H1242" s="1"/>
      <c r="I1242" s="1"/>
      <c r="J1242" s="1"/>
      <c r="K1242" s="1"/>
      <c r="L1242" s="1"/>
      <c r="M1242" s="1"/>
      <c r="N1242" s="1"/>
      <c r="O1242" s="1"/>
      <c r="P1242" s="1"/>
      <c r="Q1242" s="1"/>
    </row>
    <row r="1243" spans="1:17" x14ac:dyDescent="0.2">
      <c r="A1243" s="1"/>
      <c r="B1243" s="1"/>
      <c r="C1243" s="1"/>
      <c r="D1243" s="1"/>
      <c r="E1243" s="1"/>
      <c r="F1243" s="1"/>
      <c r="G1243" s="1"/>
      <c r="H1243" s="1"/>
      <c r="I1243" s="1"/>
      <c r="J1243" s="1"/>
      <c r="K1243" s="1"/>
      <c r="L1243" s="1"/>
      <c r="M1243" s="1"/>
      <c r="N1243" s="1"/>
      <c r="O1243" s="1"/>
      <c r="P1243" s="1"/>
      <c r="Q1243" s="1"/>
    </row>
    <row r="1244" spans="1:17" x14ac:dyDescent="0.2">
      <c r="A1244" s="1"/>
      <c r="B1244" s="1"/>
      <c r="C1244" s="1"/>
      <c r="D1244" s="1"/>
      <c r="E1244" s="1"/>
      <c r="F1244" s="1"/>
      <c r="G1244" s="1"/>
      <c r="H1244" s="1"/>
      <c r="I1244" s="1"/>
      <c r="J1244" s="1"/>
      <c r="K1244" s="1"/>
      <c r="L1244" s="1"/>
      <c r="M1244" s="1"/>
      <c r="N1244" s="1"/>
      <c r="O1244" s="1"/>
      <c r="P1244" s="1"/>
      <c r="Q1244" s="1"/>
    </row>
    <row r="1245" spans="1:17" x14ac:dyDescent="0.2">
      <c r="A1245" s="1"/>
      <c r="B1245" s="1"/>
      <c r="C1245" s="1"/>
      <c r="D1245" s="1"/>
      <c r="E1245" s="1"/>
      <c r="F1245" s="1"/>
      <c r="G1245" s="1"/>
      <c r="H1245" s="1"/>
      <c r="I1245" s="1"/>
      <c r="J1245" s="1"/>
      <c r="K1245" s="1"/>
      <c r="L1245" s="1"/>
      <c r="M1245" s="1"/>
      <c r="N1245" s="1"/>
      <c r="O1245" s="1"/>
      <c r="P1245" s="1"/>
      <c r="Q1245" s="1"/>
    </row>
    <row r="1246" spans="1:17" x14ac:dyDescent="0.2">
      <c r="A1246" s="1"/>
      <c r="B1246" s="1"/>
      <c r="C1246" s="1"/>
      <c r="D1246" s="1"/>
      <c r="E1246" s="1"/>
      <c r="F1246" s="1"/>
      <c r="G1246" s="1"/>
      <c r="H1246" s="1"/>
      <c r="I1246" s="1"/>
      <c r="J1246" s="1"/>
      <c r="K1246" s="1"/>
      <c r="L1246" s="1"/>
      <c r="M1246" s="1"/>
      <c r="N1246" s="1"/>
      <c r="O1246" s="1"/>
      <c r="P1246" s="1"/>
      <c r="Q1246" s="1"/>
    </row>
    <row r="1247" spans="1:17" x14ac:dyDescent="0.2">
      <c r="A1247" s="1"/>
      <c r="B1247" s="1"/>
      <c r="C1247" s="1"/>
      <c r="D1247" s="1"/>
      <c r="E1247" s="1"/>
      <c r="F1247" s="1"/>
      <c r="G1247" s="1"/>
      <c r="H1247" s="1"/>
      <c r="I1247" s="1"/>
      <c r="J1247" s="1"/>
      <c r="K1247" s="1"/>
      <c r="L1247" s="1"/>
      <c r="M1247" s="1"/>
      <c r="N1247" s="1"/>
      <c r="O1247" s="1"/>
      <c r="P1247" s="1"/>
      <c r="Q1247" s="1"/>
    </row>
    <row r="1248" spans="1:17" x14ac:dyDescent="0.2">
      <c r="A1248" s="1"/>
      <c r="B1248" s="1"/>
      <c r="C1248" s="1"/>
      <c r="D1248" s="1"/>
      <c r="E1248" s="1"/>
      <c r="F1248" s="1"/>
      <c r="G1248" s="1"/>
      <c r="H1248" s="1"/>
      <c r="I1248" s="1"/>
      <c r="J1248" s="1"/>
      <c r="K1248" s="1"/>
      <c r="L1248" s="1"/>
      <c r="M1248" s="1"/>
      <c r="N1248" s="1"/>
      <c r="O1248" s="1"/>
      <c r="P1248" s="1"/>
      <c r="Q1248" s="1"/>
    </row>
    <row r="1249" spans="1:17" x14ac:dyDescent="0.2">
      <c r="A1249" s="1"/>
      <c r="B1249" s="1"/>
      <c r="C1249" s="1"/>
      <c r="D1249" s="1"/>
      <c r="E1249" s="1"/>
      <c r="F1249" s="1"/>
      <c r="G1249" s="1"/>
      <c r="H1249" s="1"/>
      <c r="I1249" s="1"/>
      <c r="J1249" s="1"/>
      <c r="K1249" s="1"/>
      <c r="L1249" s="1"/>
      <c r="M1249" s="1"/>
      <c r="N1249" s="1"/>
      <c r="O1249" s="1"/>
      <c r="P1249" s="1"/>
      <c r="Q1249" s="1"/>
    </row>
    <row r="1250" spans="1:17" x14ac:dyDescent="0.2">
      <c r="A1250" s="1"/>
      <c r="B1250" s="1"/>
      <c r="C1250" s="1"/>
      <c r="D1250" s="1"/>
      <c r="E1250" s="1"/>
      <c r="F1250" s="1"/>
      <c r="G1250" s="1"/>
      <c r="H1250" s="1"/>
      <c r="I1250" s="1"/>
      <c r="J1250" s="1"/>
      <c r="K1250" s="1"/>
      <c r="L1250" s="1"/>
      <c r="M1250" s="1"/>
      <c r="N1250" s="1"/>
      <c r="O1250" s="1"/>
      <c r="P1250" s="1"/>
      <c r="Q1250" s="1"/>
    </row>
    <row r="1251" spans="1:17" x14ac:dyDescent="0.2">
      <c r="A1251" s="1"/>
      <c r="B1251" s="1"/>
      <c r="C1251" s="1"/>
      <c r="D1251" s="1"/>
      <c r="E1251" s="1"/>
      <c r="F1251" s="1"/>
      <c r="G1251" s="1"/>
      <c r="H1251" s="1"/>
      <c r="I1251" s="1"/>
      <c r="J1251" s="1"/>
      <c r="K1251" s="1"/>
      <c r="L1251" s="1"/>
      <c r="M1251" s="1"/>
      <c r="N1251" s="1"/>
      <c r="O1251" s="1"/>
      <c r="P1251" s="1"/>
      <c r="Q1251" s="1"/>
    </row>
    <row r="1252" spans="1:17" x14ac:dyDescent="0.2">
      <c r="A1252" s="1"/>
      <c r="B1252" s="1"/>
      <c r="C1252" s="1"/>
      <c r="D1252" s="1"/>
      <c r="E1252" s="1"/>
      <c r="F1252" s="1"/>
      <c r="G1252" s="1"/>
      <c r="H1252" s="1"/>
      <c r="I1252" s="1"/>
      <c r="J1252" s="1"/>
      <c r="K1252" s="1"/>
      <c r="L1252" s="1"/>
      <c r="M1252" s="1"/>
      <c r="N1252" s="1"/>
      <c r="O1252" s="1"/>
      <c r="P1252" s="1"/>
      <c r="Q1252" s="1"/>
    </row>
    <row r="1253" spans="1:17" x14ac:dyDescent="0.2">
      <c r="A1253" s="1"/>
      <c r="B1253" s="1"/>
      <c r="C1253" s="1"/>
      <c r="D1253" s="1"/>
      <c r="E1253" s="1"/>
      <c r="F1253" s="1"/>
      <c r="G1253" s="1"/>
      <c r="H1253" s="1"/>
      <c r="I1253" s="1"/>
      <c r="J1253" s="1"/>
      <c r="K1253" s="1"/>
      <c r="L1253" s="1"/>
      <c r="M1253" s="1"/>
      <c r="N1253" s="1"/>
      <c r="O1253" s="1"/>
      <c r="P1253" s="1"/>
      <c r="Q1253" s="1"/>
    </row>
    <row r="1254" spans="1:17" x14ac:dyDescent="0.2">
      <c r="A1254" s="1"/>
      <c r="B1254" s="1"/>
      <c r="C1254" s="1"/>
      <c r="D1254" s="1"/>
      <c r="E1254" s="1"/>
      <c r="F1254" s="1"/>
      <c r="G1254" s="1"/>
      <c r="H1254" s="1"/>
      <c r="I1254" s="1"/>
      <c r="J1254" s="1"/>
      <c r="K1254" s="1"/>
      <c r="L1254" s="1"/>
      <c r="M1254" s="1"/>
      <c r="N1254" s="1"/>
      <c r="O1254" s="1"/>
      <c r="P1254" s="1"/>
      <c r="Q1254" s="1"/>
    </row>
    <row r="1255" spans="1:17" x14ac:dyDescent="0.2">
      <c r="A1255" s="1"/>
      <c r="B1255" s="1"/>
      <c r="C1255" s="1"/>
      <c r="D1255" s="1"/>
      <c r="E1255" s="1"/>
      <c r="F1255" s="1"/>
      <c r="G1255" s="1"/>
      <c r="H1255" s="1"/>
      <c r="I1255" s="1"/>
      <c r="J1255" s="1"/>
      <c r="K1255" s="1"/>
      <c r="L1255" s="1"/>
      <c r="M1255" s="1"/>
      <c r="N1255" s="1"/>
      <c r="O1255" s="1"/>
      <c r="P1255" s="1"/>
      <c r="Q1255" s="1"/>
    </row>
    <row r="1256" spans="1:17" x14ac:dyDescent="0.2">
      <c r="A1256" s="1"/>
      <c r="B1256" s="1"/>
      <c r="C1256" s="1"/>
      <c r="D1256" s="1"/>
      <c r="E1256" s="1"/>
      <c r="F1256" s="1"/>
      <c r="G1256" s="1"/>
      <c r="H1256" s="1"/>
      <c r="I1256" s="1"/>
      <c r="J1256" s="1"/>
      <c r="K1256" s="1"/>
      <c r="L1256" s="1"/>
      <c r="M1256" s="1"/>
      <c r="N1256" s="1"/>
      <c r="O1256" s="1"/>
      <c r="P1256" s="1"/>
      <c r="Q1256" s="1"/>
    </row>
    <row r="1257" spans="1:17" x14ac:dyDescent="0.2">
      <c r="A1257" s="1"/>
      <c r="B1257" s="1"/>
      <c r="C1257" s="1"/>
      <c r="D1257" s="1"/>
      <c r="E1257" s="1"/>
      <c r="F1257" s="1"/>
      <c r="G1257" s="1"/>
      <c r="H1257" s="1"/>
      <c r="I1257" s="1"/>
      <c r="J1257" s="1"/>
      <c r="K1257" s="1"/>
      <c r="L1257" s="1"/>
      <c r="M1257" s="1"/>
      <c r="N1257" s="1"/>
      <c r="O1257" s="1"/>
      <c r="P1257" s="1"/>
      <c r="Q1257" s="1"/>
    </row>
    <row r="1258" spans="1:17" x14ac:dyDescent="0.2">
      <c r="A1258" s="1"/>
      <c r="B1258" s="1"/>
      <c r="C1258" s="1"/>
      <c r="D1258" s="1"/>
      <c r="E1258" s="1"/>
      <c r="F1258" s="1"/>
      <c r="G1258" s="1"/>
      <c r="H1258" s="1"/>
      <c r="I1258" s="1"/>
      <c r="J1258" s="1"/>
      <c r="K1258" s="1"/>
      <c r="L1258" s="1"/>
      <c r="M1258" s="1"/>
      <c r="N1258" s="1"/>
      <c r="O1258" s="1"/>
      <c r="P1258" s="1"/>
      <c r="Q1258" s="1"/>
    </row>
    <row r="1259" spans="1:17" x14ac:dyDescent="0.2">
      <c r="A1259" s="1"/>
      <c r="B1259" s="1"/>
      <c r="C1259" s="1"/>
      <c r="D1259" s="1"/>
      <c r="E1259" s="1"/>
      <c r="F1259" s="1"/>
      <c r="G1259" s="1"/>
      <c r="H1259" s="1"/>
      <c r="I1259" s="1"/>
      <c r="J1259" s="1"/>
      <c r="K1259" s="1"/>
      <c r="L1259" s="1"/>
      <c r="M1259" s="1"/>
      <c r="N1259" s="1"/>
      <c r="O1259" s="1"/>
      <c r="P1259" s="1"/>
      <c r="Q1259" s="1"/>
    </row>
    <row r="1260" spans="1:17" x14ac:dyDescent="0.2">
      <c r="A1260" s="1"/>
      <c r="B1260" s="1"/>
      <c r="C1260" s="1"/>
      <c r="D1260" s="1"/>
      <c r="E1260" s="1"/>
      <c r="F1260" s="1"/>
      <c r="G1260" s="1"/>
      <c r="H1260" s="1"/>
      <c r="I1260" s="1"/>
      <c r="J1260" s="1"/>
      <c r="K1260" s="1"/>
      <c r="L1260" s="1"/>
      <c r="M1260" s="1"/>
      <c r="N1260" s="1"/>
      <c r="O1260" s="1"/>
      <c r="P1260" s="1"/>
      <c r="Q1260" s="1"/>
    </row>
    <row r="1261" spans="1:17" x14ac:dyDescent="0.2">
      <c r="A1261" s="1"/>
      <c r="B1261" s="1"/>
      <c r="C1261" s="1"/>
      <c r="D1261" s="1"/>
      <c r="E1261" s="1"/>
      <c r="F1261" s="1"/>
      <c r="G1261" s="1"/>
      <c r="H1261" s="1"/>
      <c r="I1261" s="1"/>
      <c r="J1261" s="1"/>
      <c r="K1261" s="1"/>
      <c r="L1261" s="1"/>
      <c r="M1261" s="1"/>
      <c r="N1261" s="1"/>
      <c r="O1261" s="1"/>
      <c r="P1261" s="1"/>
      <c r="Q1261" s="1"/>
    </row>
    <row r="1262" spans="1:17" x14ac:dyDescent="0.2">
      <c r="A1262" s="1"/>
      <c r="B1262" s="1"/>
      <c r="C1262" s="1"/>
      <c r="D1262" s="1"/>
      <c r="E1262" s="1"/>
      <c r="F1262" s="1"/>
      <c r="G1262" s="1"/>
      <c r="H1262" s="1"/>
      <c r="I1262" s="1"/>
      <c r="J1262" s="1"/>
      <c r="K1262" s="1"/>
      <c r="L1262" s="1"/>
      <c r="M1262" s="1"/>
      <c r="N1262" s="1"/>
      <c r="O1262" s="1"/>
      <c r="P1262" s="1"/>
      <c r="Q1262" s="1"/>
    </row>
    <row r="1263" spans="1:17" x14ac:dyDescent="0.2">
      <c r="A1263" s="1"/>
      <c r="B1263" s="1"/>
      <c r="C1263" s="1"/>
      <c r="D1263" s="1"/>
      <c r="E1263" s="1"/>
      <c r="F1263" s="1"/>
      <c r="G1263" s="1"/>
      <c r="H1263" s="1"/>
      <c r="I1263" s="1"/>
      <c r="J1263" s="1"/>
      <c r="K1263" s="1"/>
      <c r="L1263" s="1"/>
      <c r="M1263" s="1"/>
      <c r="N1263" s="1"/>
      <c r="O1263" s="1"/>
      <c r="P1263" s="1"/>
      <c r="Q1263" s="1"/>
    </row>
    <row r="1264" spans="1:17" x14ac:dyDescent="0.2">
      <c r="A1264" s="1"/>
      <c r="B1264" s="1"/>
      <c r="C1264" s="1"/>
      <c r="D1264" s="1"/>
      <c r="E1264" s="1"/>
      <c r="F1264" s="1"/>
      <c r="G1264" s="1"/>
      <c r="H1264" s="1"/>
      <c r="I1264" s="1"/>
      <c r="J1264" s="1"/>
      <c r="K1264" s="1"/>
      <c r="L1264" s="1"/>
      <c r="M1264" s="1"/>
      <c r="N1264" s="1"/>
      <c r="O1264" s="1"/>
      <c r="P1264" s="1"/>
      <c r="Q1264" s="1"/>
    </row>
    <row r="1265" spans="1:17" x14ac:dyDescent="0.2">
      <c r="A1265" s="1"/>
      <c r="B1265" s="1"/>
      <c r="C1265" s="1"/>
      <c r="D1265" s="1"/>
      <c r="E1265" s="1"/>
      <c r="F1265" s="1"/>
      <c r="G1265" s="1"/>
      <c r="H1265" s="1"/>
      <c r="I1265" s="1"/>
      <c r="J1265" s="1"/>
      <c r="K1265" s="1"/>
      <c r="L1265" s="1"/>
      <c r="M1265" s="1"/>
      <c r="N1265" s="1"/>
      <c r="O1265" s="1"/>
      <c r="P1265" s="1"/>
      <c r="Q1265" s="1"/>
    </row>
    <row r="1266" spans="1:17" x14ac:dyDescent="0.2">
      <c r="A1266" s="1"/>
      <c r="B1266" s="1"/>
      <c r="C1266" s="1"/>
      <c r="D1266" s="1"/>
      <c r="E1266" s="1"/>
      <c r="F1266" s="1"/>
      <c r="G1266" s="1"/>
      <c r="H1266" s="1"/>
      <c r="I1266" s="1"/>
      <c r="J1266" s="1"/>
      <c r="K1266" s="1"/>
      <c r="L1266" s="1"/>
      <c r="M1266" s="1"/>
      <c r="N1266" s="1"/>
      <c r="O1266" s="1"/>
      <c r="P1266" s="1"/>
      <c r="Q1266" s="1"/>
    </row>
    <row r="1267" spans="1:17" x14ac:dyDescent="0.2">
      <c r="A1267" s="1"/>
      <c r="B1267" s="1"/>
      <c r="C1267" s="1"/>
      <c r="D1267" s="1"/>
      <c r="E1267" s="1"/>
      <c r="F1267" s="1"/>
      <c r="G1267" s="1"/>
      <c r="H1267" s="1"/>
      <c r="I1267" s="1"/>
      <c r="J1267" s="1"/>
      <c r="K1267" s="1"/>
      <c r="L1267" s="1"/>
      <c r="M1267" s="1"/>
      <c r="N1267" s="1"/>
      <c r="O1267" s="1"/>
      <c r="P1267" s="1"/>
      <c r="Q1267" s="1"/>
    </row>
    <row r="1268" spans="1:17" x14ac:dyDescent="0.2">
      <c r="A1268" s="1"/>
      <c r="B1268" s="1"/>
      <c r="C1268" s="1"/>
      <c r="D1268" s="1"/>
      <c r="E1268" s="1"/>
      <c r="F1268" s="1"/>
      <c r="G1268" s="1"/>
      <c r="H1268" s="1"/>
      <c r="I1268" s="1"/>
      <c r="J1268" s="1"/>
      <c r="K1268" s="1"/>
      <c r="L1268" s="1"/>
      <c r="M1268" s="1"/>
      <c r="N1268" s="1"/>
      <c r="O1268" s="1"/>
      <c r="P1268" s="1"/>
      <c r="Q1268" s="1"/>
    </row>
    <row r="1269" spans="1:17" x14ac:dyDescent="0.2">
      <c r="A1269" s="1"/>
      <c r="B1269" s="1"/>
      <c r="C1269" s="1"/>
      <c r="D1269" s="1"/>
      <c r="E1269" s="1"/>
      <c r="F1269" s="1"/>
      <c r="G1269" s="1"/>
      <c r="H1269" s="1"/>
      <c r="I1269" s="1"/>
      <c r="J1269" s="1"/>
      <c r="K1269" s="1"/>
      <c r="L1269" s="1"/>
      <c r="M1269" s="1"/>
      <c r="N1269" s="1"/>
      <c r="O1269" s="1"/>
      <c r="P1269" s="1"/>
      <c r="Q1269" s="1"/>
    </row>
    <row r="1270" spans="1:17" x14ac:dyDescent="0.2">
      <c r="A1270" s="1"/>
      <c r="B1270" s="1"/>
      <c r="C1270" s="1"/>
      <c r="D1270" s="1"/>
      <c r="E1270" s="1"/>
      <c r="F1270" s="1"/>
      <c r="G1270" s="1"/>
      <c r="H1270" s="1"/>
      <c r="I1270" s="1"/>
      <c r="J1270" s="1"/>
      <c r="K1270" s="1"/>
      <c r="L1270" s="1"/>
      <c r="M1270" s="1"/>
      <c r="N1270" s="1"/>
      <c r="O1270" s="1"/>
      <c r="P1270" s="1"/>
      <c r="Q1270" s="1"/>
    </row>
    <row r="1271" spans="1:17" x14ac:dyDescent="0.2">
      <c r="A1271" s="1"/>
      <c r="B1271" s="1"/>
      <c r="C1271" s="1"/>
      <c r="D1271" s="1"/>
      <c r="E1271" s="1"/>
      <c r="F1271" s="1"/>
      <c r="G1271" s="1"/>
      <c r="H1271" s="1"/>
      <c r="I1271" s="1"/>
      <c r="J1271" s="1"/>
      <c r="K1271" s="1"/>
      <c r="L1271" s="1"/>
      <c r="M1271" s="1"/>
      <c r="N1271" s="1"/>
      <c r="O1271" s="1"/>
      <c r="P1271" s="1"/>
      <c r="Q1271" s="1"/>
    </row>
    <row r="1272" spans="1:17" x14ac:dyDescent="0.2">
      <c r="A1272" s="1"/>
      <c r="B1272" s="1"/>
      <c r="C1272" s="1"/>
      <c r="D1272" s="1"/>
      <c r="E1272" s="1"/>
      <c r="F1272" s="1"/>
      <c r="G1272" s="1"/>
      <c r="H1272" s="1"/>
      <c r="I1272" s="1"/>
      <c r="J1272" s="1"/>
      <c r="K1272" s="1"/>
      <c r="L1272" s="1"/>
      <c r="M1272" s="1"/>
      <c r="N1272" s="1"/>
      <c r="O1272" s="1"/>
      <c r="P1272" s="1"/>
      <c r="Q1272" s="1"/>
    </row>
    <row r="1273" spans="1:17" x14ac:dyDescent="0.2">
      <c r="A1273" s="1"/>
      <c r="B1273" s="1"/>
      <c r="C1273" s="1"/>
      <c r="D1273" s="1"/>
      <c r="E1273" s="1"/>
      <c r="F1273" s="1"/>
      <c r="G1273" s="1"/>
      <c r="H1273" s="1"/>
      <c r="I1273" s="1"/>
      <c r="J1273" s="1"/>
      <c r="K1273" s="1"/>
      <c r="L1273" s="1"/>
      <c r="M1273" s="1"/>
      <c r="N1273" s="1"/>
      <c r="O1273" s="1"/>
      <c r="P1273" s="1"/>
      <c r="Q1273" s="1"/>
    </row>
    <row r="1274" spans="1:17" x14ac:dyDescent="0.2">
      <c r="A1274" s="1"/>
      <c r="B1274" s="1"/>
      <c r="C1274" s="1"/>
      <c r="D1274" s="1"/>
      <c r="E1274" s="1"/>
      <c r="F1274" s="1"/>
      <c r="G1274" s="1"/>
      <c r="H1274" s="1"/>
      <c r="I1274" s="1"/>
      <c r="J1274" s="1"/>
      <c r="K1274" s="1"/>
      <c r="L1274" s="1"/>
      <c r="M1274" s="1"/>
      <c r="N1274" s="1"/>
      <c r="O1274" s="1"/>
      <c r="P1274" s="1"/>
      <c r="Q1274" s="1"/>
    </row>
    <row r="1275" spans="1:17" x14ac:dyDescent="0.2">
      <c r="A1275" s="1"/>
      <c r="B1275" s="1"/>
      <c r="C1275" s="1"/>
      <c r="D1275" s="1"/>
      <c r="E1275" s="1"/>
      <c r="F1275" s="1"/>
      <c r="G1275" s="1"/>
      <c r="H1275" s="1"/>
      <c r="I1275" s="1"/>
      <c r="J1275" s="1"/>
      <c r="K1275" s="1"/>
      <c r="L1275" s="1"/>
      <c r="M1275" s="1"/>
      <c r="N1275" s="1"/>
      <c r="O1275" s="1"/>
      <c r="P1275" s="1"/>
      <c r="Q1275" s="1"/>
    </row>
    <row r="1276" spans="1:17" x14ac:dyDescent="0.2">
      <c r="A1276" s="1"/>
      <c r="B1276" s="1"/>
      <c r="C1276" s="1"/>
      <c r="D1276" s="1"/>
      <c r="E1276" s="1"/>
      <c r="F1276" s="1"/>
      <c r="G1276" s="1"/>
      <c r="H1276" s="1"/>
      <c r="I1276" s="1"/>
      <c r="J1276" s="1"/>
      <c r="K1276" s="1"/>
      <c r="L1276" s="1"/>
      <c r="M1276" s="1"/>
      <c r="N1276" s="1"/>
      <c r="O1276" s="1"/>
      <c r="P1276" s="1"/>
      <c r="Q1276" s="1"/>
    </row>
    <row r="1277" spans="1:17" x14ac:dyDescent="0.2">
      <c r="A1277" s="1"/>
      <c r="B1277" s="1"/>
      <c r="C1277" s="1"/>
      <c r="D1277" s="1"/>
      <c r="E1277" s="1"/>
      <c r="F1277" s="1"/>
      <c r="G1277" s="1"/>
      <c r="H1277" s="1"/>
      <c r="I1277" s="1"/>
      <c r="J1277" s="1"/>
      <c r="K1277" s="1"/>
      <c r="L1277" s="1"/>
      <c r="M1277" s="1"/>
      <c r="N1277" s="1"/>
      <c r="O1277" s="1"/>
      <c r="P1277" s="1"/>
      <c r="Q1277" s="1"/>
    </row>
    <row r="1278" spans="1:17" x14ac:dyDescent="0.2">
      <c r="A1278" s="1"/>
      <c r="B1278" s="1"/>
      <c r="C1278" s="1"/>
      <c r="D1278" s="1"/>
      <c r="E1278" s="1"/>
      <c r="F1278" s="1"/>
      <c r="G1278" s="1"/>
      <c r="H1278" s="1"/>
      <c r="I1278" s="1"/>
      <c r="J1278" s="1"/>
      <c r="K1278" s="1"/>
      <c r="L1278" s="1"/>
      <c r="M1278" s="1"/>
      <c r="N1278" s="1"/>
      <c r="O1278" s="1"/>
      <c r="P1278" s="1"/>
      <c r="Q1278" s="1"/>
    </row>
    <row r="1279" spans="1:17" x14ac:dyDescent="0.2">
      <c r="A1279" s="1"/>
      <c r="B1279" s="1"/>
      <c r="C1279" s="1"/>
      <c r="D1279" s="1"/>
      <c r="E1279" s="1"/>
      <c r="F1279" s="1"/>
      <c r="G1279" s="1"/>
      <c r="H1279" s="1"/>
      <c r="I1279" s="1"/>
      <c r="J1279" s="1"/>
      <c r="K1279" s="1"/>
      <c r="L1279" s="1"/>
      <c r="M1279" s="1"/>
      <c r="N1279" s="1"/>
      <c r="O1279" s="1"/>
      <c r="P1279" s="1"/>
      <c r="Q1279" s="1"/>
    </row>
    <row r="1280" spans="1:17" x14ac:dyDescent="0.2">
      <c r="A1280" s="1"/>
      <c r="B1280" s="1"/>
      <c r="C1280" s="1"/>
      <c r="D1280" s="1"/>
      <c r="E1280" s="1"/>
      <c r="F1280" s="1"/>
      <c r="G1280" s="1"/>
      <c r="H1280" s="1"/>
      <c r="I1280" s="1"/>
      <c r="J1280" s="1"/>
      <c r="K1280" s="1"/>
      <c r="L1280" s="1"/>
      <c r="M1280" s="1"/>
      <c r="N1280" s="1"/>
      <c r="O1280" s="1"/>
      <c r="P1280" s="1"/>
      <c r="Q1280" s="1"/>
    </row>
    <row r="1281" spans="1:17" x14ac:dyDescent="0.2">
      <c r="A1281" s="1"/>
      <c r="B1281" s="1"/>
      <c r="C1281" s="1"/>
      <c r="D1281" s="1"/>
      <c r="E1281" s="1"/>
      <c r="F1281" s="1"/>
      <c r="G1281" s="1"/>
      <c r="H1281" s="1"/>
      <c r="I1281" s="1"/>
      <c r="J1281" s="1"/>
      <c r="K1281" s="1"/>
      <c r="L1281" s="1"/>
      <c r="M1281" s="1"/>
      <c r="N1281" s="1"/>
      <c r="O1281" s="1"/>
      <c r="P1281" s="1"/>
      <c r="Q1281" s="1"/>
    </row>
    <row r="1282" spans="1:17" x14ac:dyDescent="0.2">
      <c r="A1282" s="1"/>
      <c r="B1282" s="1"/>
      <c r="C1282" s="1"/>
      <c r="D1282" s="1"/>
      <c r="E1282" s="1"/>
      <c r="F1282" s="1"/>
      <c r="G1282" s="1"/>
      <c r="H1282" s="1"/>
      <c r="I1282" s="1"/>
      <c r="J1282" s="1"/>
      <c r="K1282" s="1"/>
      <c r="L1282" s="1"/>
      <c r="M1282" s="1"/>
      <c r="N1282" s="1"/>
      <c r="O1282" s="1"/>
      <c r="P1282" s="1"/>
      <c r="Q1282" s="1"/>
    </row>
    <row r="1283" spans="1:17" x14ac:dyDescent="0.2">
      <c r="A1283" s="1"/>
      <c r="B1283" s="1"/>
      <c r="C1283" s="1"/>
      <c r="D1283" s="1"/>
      <c r="E1283" s="1"/>
      <c r="F1283" s="1"/>
      <c r="G1283" s="1"/>
      <c r="H1283" s="1"/>
      <c r="I1283" s="1"/>
      <c r="J1283" s="1"/>
      <c r="K1283" s="1"/>
      <c r="L1283" s="1"/>
      <c r="M1283" s="1"/>
      <c r="N1283" s="1"/>
      <c r="O1283" s="1"/>
      <c r="P1283" s="1"/>
      <c r="Q1283" s="1"/>
    </row>
    <row r="1284" spans="1:17" x14ac:dyDescent="0.2">
      <c r="A1284" s="1"/>
      <c r="B1284" s="1"/>
      <c r="C1284" s="1"/>
      <c r="D1284" s="1"/>
      <c r="E1284" s="1"/>
      <c r="F1284" s="1"/>
      <c r="G1284" s="1"/>
      <c r="H1284" s="1"/>
      <c r="I1284" s="1"/>
      <c r="J1284" s="1"/>
      <c r="K1284" s="1"/>
      <c r="L1284" s="1"/>
      <c r="M1284" s="1"/>
      <c r="N1284" s="1"/>
      <c r="O1284" s="1"/>
      <c r="P1284" s="1"/>
      <c r="Q1284" s="1"/>
    </row>
    <row r="1285" spans="1:17" x14ac:dyDescent="0.2">
      <c r="A1285" s="1"/>
      <c r="B1285" s="1"/>
      <c r="C1285" s="1"/>
      <c r="D1285" s="1"/>
      <c r="E1285" s="1"/>
      <c r="F1285" s="1"/>
      <c r="G1285" s="1"/>
      <c r="H1285" s="1"/>
      <c r="I1285" s="1"/>
      <c r="J1285" s="1"/>
      <c r="K1285" s="1"/>
      <c r="L1285" s="1"/>
      <c r="M1285" s="1"/>
      <c r="N1285" s="1"/>
      <c r="O1285" s="1"/>
      <c r="P1285" s="1"/>
      <c r="Q1285" s="1"/>
    </row>
    <row r="1286" spans="1:17" x14ac:dyDescent="0.2">
      <c r="A1286" s="1"/>
      <c r="B1286" s="1"/>
      <c r="C1286" s="1"/>
      <c r="D1286" s="1"/>
      <c r="E1286" s="1"/>
      <c r="F1286" s="1"/>
      <c r="G1286" s="1"/>
      <c r="H1286" s="1"/>
      <c r="I1286" s="1"/>
      <c r="J1286" s="1"/>
      <c r="K1286" s="1"/>
      <c r="L1286" s="1"/>
      <c r="M1286" s="1"/>
      <c r="N1286" s="1"/>
      <c r="O1286" s="1"/>
      <c r="P1286" s="1"/>
      <c r="Q1286" s="1"/>
    </row>
    <row r="1287" spans="1:17" x14ac:dyDescent="0.2">
      <c r="A1287" s="1"/>
      <c r="B1287" s="1"/>
      <c r="C1287" s="1"/>
      <c r="D1287" s="1"/>
      <c r="E1287" s="1"/>
      <c r="F1287" s="1"/>
      <c r="G1287" s="1"/>
      <c r="H1287" s="1"/>
      <c r="I1287" s="1"/>
      <c r="J1287" s="1"/>
      <c r="K1287" s="1"/>
      <c r="L1287" s="1"/>
      <c r="M1287" s="1"/>
      <c r="N1287" s="1"/>
      <c r="O1287" s="1"/>
      <c r="P1287" s="1"/>
      <c r="Q1287" s="1"/>
    </row>
    <row r="1288" spans="1:17" x14ac:dyDescent="0.2">
      <c r="A1288" s="1"/>
      <c r="B1288" s="1"/>
      <c r="C1288" s="1"/>
      <c r="D1288" s="1"/>
      <c r="E1288" s="1"/>
      <c r="F1288" s="1"/>
      <c r="G1288" s="1"/>
      <c r="H1288" s="1"/>
      <c r="I1288" s="1"/>
      <c r="J1288" s="1"/>
      <c r="K1288" s="1"/>
      <c r="L1288" s="1"/>
      <c r="M1288" s="1"/>
      <c r="N1288" s="1"/>
      <c r="O1288" s="1"/>
      <c r="P1288" s="1"/>
      <c r="Q1288" s="1"/>
    </row>
    <row r="1289" spans="1:17" x14ac:dyDescent="0.2">
      <c r="A1289" s="1"/>
      <c r="B1289" s="1"/>
      <c r="C1289" s="1"/>
      <c r="D1289" s="1"/>
      <c r="E1289" s="1"/>
      <c r="F1289" s="1"/>
      <c r="G1289" s="1"/>
      <c r="H1289" s="1"/>
      <c r="I1289" s="1"/>
      <c r="J1289" s="1"/>
      <c r="K1289" s="1"/>
      <c r="L1289" s="1"/>
      <c r="M1289" s="1"/>
      <c r="N1289" s="1"/>
      <c r="O1289" s="1"/>
      <c r="P1289" s="1"/>
      <c r="Q1289" s="1"/>
    </row>
    <row r="1290" spans="1:17" x14ac:dyDescent="0.2">
      <c r="A1290" s="1"/>
      <c r="B1290" s="1"/>
      <c r="C1290" s="1"/>
      <c r="D1290" s="1"/>
      <c r="E1290" s="1"/>
      <c r="F1290" s="1"/>
      <c r="G1290" s="1"/>
      <c r="H1290" s="1"/>
      <c r="I1290" s="1"/>
      <c r="J1290" s="1"/>
      <c r="K1290" s="1"/>
      <c r="L1290" s="1"/>
      <c r="M1290" s="1"/>
      <c r="N1290" s="1"/>
      <c r="O1290" s="1"/>
      <c r="P1290" s="1"/>
      <c r="Q1290" s="1"/>
    </row>
    <row r="1291" spans="1:17" x14ac:dyDescent="0.2">
      <c r="A1291" s="1"/>
      <c r="B1291" s="1"/>
      <c r="C1291" s="1"/>
      <c r="D1291" s="1"/>
      <c r="E1291" s="1"/>
      <c r="F1291" s="1"/>
      <c r="G1291" s="1"/>
      <c r="H1291" s="1"/>
      <c r="I1291" s="1"/>
      <c r="J1291" s="1"/>
      <c r="K1291" s="1"/>
      <c r="L1291" s="1"/>
      <c r="M1291" s="1"/>
      <c r="N1291" s="1"/>
      <c r="O1291" s="1"/>
      <c r="P1291" s="1"/>
      <c r="Q1291" s="1"/>
    </row>
    <row r="1292" spans="1:17" x14ac:dyDescent="0.2">
      <c r="A1292" s="1"/>
      <c r="B1292" s="1"/>
      <c r="C1292" s="1"/>
      <c r="D1292" s="1"/>
      <c r="E1292" s="1"/>
      <c r="F1292" s="1"/>
      <c r="G1292" s="1"/>
      <c r="H1292" s="1"/>
      <c r="I1292" s="1"/>
      <c r="J1292" s="1"/>
      <c r="K1292" s="1"/>
      <c r="L1292" s="1"/>
      <c r="M1292" s="1"/>
      <c r="N1292" s="1"/>
      <c r="O1292" s="1"/>
      <c r="P1292" s="1"/>
      <c r="Q1292" s="1"/>
    </row>
    <row r="1293" spans="1:17" x14ac:dyDescent="0.2">
      <c r="A1293" s="1"/>
      <c r="B1293" s="1"/>
      <c r="C1293" s="1"/>
      <c r="D1293" s="1"/>
      <c r="E1293" s="1"/>
      <c r="F1293" s="1"/>
      <c r="G1293" s="1"/>
      <c r="H1293" s="1"/>
      <c r="I1293" s="1"/>
      <c r="J1293" s="1"/>
      <c r="K1293" s="1"/>
      <c r="L1293" s="1"/>
      <c r="M1293" s="1"/>
      <c r="N1293" s="1"/>
      <c r="O1293" s="1"/>
      <c r="P1293" s="1"/>
      <c r="Q1293" s="1"/>
    </row>
    <row r="1294" spans="1:17" x14ac:dyDescent="0.2">
      <c r="A1294" s="1"/>
      <c r="B1294" s="1"/>
      <c r="C1294" s="1"/>
      <c r="D1294" s="1"/>
      <c r="E1294" s="1"/>
      <c r="F1294" s="1"/>
      <c r="G1294" s="1"/>
      <c r="H1294" s="1"/>
      <c r="I1294" s="1"/>
      <c r="J1294" s="1"/>
      <c r="K1294" s="1"/>
      <c r="L1294" s="1"/>
      <c r="M1294" s="1"/>
      <c r="N1294" s="1"/>
      <c r="O1294" s="1"/>
      <c r="P1294" s="1"/>
      <c r="Q1294" s="1"/>
    </row>
    <row r="1295" spans="1:17" x14ac:dyDescent="0.2">
      <c r="A1295" s="1"/>
      <c r="B1295" s="1"/>
      <c r="C1295" s="1"/>
      <c r="D1295" s="1"/>
      <c r="E1295" s="1"/>
      <c r="F1295" s="1"/>
      <c r="G1295" s="1"/>
      <c r="H1295" s="1"/>
      <c r="I1295" s="1"/>
      <c r="J1295" s="1"/>
      <c r="K1295" s="1"/>
      <c r="L1295" s="1"/>
      <c r="M1295" s="1"/>
      <c r="N1295" s="1"/>
      <c r="O1295" s="1"/>
      <c r="P1295" s="1"/>
      <c r="Q1295" s="1"/>
    </row>
    <row r="1296" spans="1:17" x14ac:dyDescent="0.2">
      <c r="A1296" s="1"/>
      <c r="B1296" s="1"/>
      <c r="C1296" s="1"/>
      <c r="D1296" s="1"/>
      <c r="E1296" s="1"/>
      <c r="F1296" s="1"/>
      <c r="G1296" s="1"/>
      <c r="H1296" s="1"/>
      <c r="I1296" s="1"/>
      <c r="J1296" s="1"/>
      <c r="K1296" s="1"/>
      <c r="L1296" s="1"/>
      <c r="M1296" s="1"/>
      <c r="N1296" s="1"/>
      <c r="O1296" s="1"/>
      <c r="P1296" s="1"/>
      <c r="Q1296" s="1"/>
    </row>
    <row r="1297" spans="1:17" x14ac:dyDescent="0.2">
      <c r="A1297" s="1"/>
      <c r="B1297" s="1"/>
      <c r="C1297" s="1"/>
      <c r="D1297" s="1"/>
      <c r="E1297" s="1"/>
      <c r="F1297" s="1"/>
      <c r="G1297" s="1"/>
      <c r="H1297" s="1"/>
      <c r="I1297" s="1"/>
      <c r="J1297" s="1"/>
      <c r="K1297" s="1"/>
      <c r="L1297" s="1"/>
      <c r="M1297" s="1"/>
      <c r="N1297" s="1"/>
      <c r="O1297" s="1"/>
      <c r="P1297" s="1"/>
      <c r="Q1297" s="1"/>
    </row>
    <row r="1298" spans="1:17" x14ac:dyDescent="0.2">
      <c r="A1298" s="1"/>
      <c r="B1298" s="1"/>
      <c r="C1298" s="1"/>
      <c r="D1298" s="1"/>
      <c r="E1298" s="1"/>
      <c r="F1298" s="1"/>
      <c r="G1298" s="1"/>
      <c r="H1298" s="1"/>
      <c r="I1298" s="1"/>
      <c r="J1298" s="1"/>
      <c r="K1298" s="1"/>
      <c r="L1298" s="1"/>
      <c r="M1298" s="1"/>
      <c r="N1298" s="1"/>
      <c r="O1298" s="1"/>
      <c r="P1298" s="1"/>
      <c r="Q1298" s="1"/>
    </row>
    <row r="1299" spans="1:17" x14ac:dyDescent="0.2">
      <c r="A1299" s="1"/>
      <c r="B1299" s="1"/>
      <c r="C1299" s="1"/>
      <c r="D1299" s="1"/>
      <c r="E1299" s="1"/>
      <c r="F1299" s="1"/>
      <c r="G1299" s="1"/>
      <c r="H1299" s="1"/>
      <c r="I1299" s="1"/>
      <c r="J1299" s="1"/>
      <c r="K1299" s="1"/>
      <c r="L1299" s="1"/>
      <c r="M1299" s="1"/>
      <c r="N1299" s="1"/>
      <c r="O1299" s="1"/>
      <c r="P1299" s="1"/>
      <c r="Q1299" s="1"/>
    </row>
    <row r="1300" spans="1:17" x14ac:dyDescent="0.2">
      <c r="A1300" s="1"/>
      <c r="B1300" s="1"/>
      <c r="C1300" s="1"/>
      <c r="D1300" s="1"/>
      <c r="E1300" s="1"/>
      <c r="F1300" s="1"/>
      <c r="G1300" s="1"/>
      <c r="H1300" s="1"/>
      <c r="I1300" s="1"/>
      <c r="J1300" s="1"/>
      <c r="K1300" s="1"/>
      <c r="L1300" s="1"/>
      <c r="M1300" s="1"/>
      <c r="N1300" s="1"/>
      <c r="O1300" s="1"/>
      <c r="P1300" s="1"/>
      <c r="Q1300" s="1"/>
    </row>
    <row r="1301" spans="1:17" x14ac:dyDescent="0.2">
      <c r="A1301" s="1"/>
      <c r="B1301" s="1"/>
      <c r="C1301" s="1"/>
      <c r="D1301" s="1"/>
      <c r="E1301" s="1"/>
      <c r="F1301" s="1"/>
      <c r="G1301" s="1"/>
      <c r="H1301" s="1"/>
      <c r="I1301" s="1"/>
      <c r="J1301" s="1"/>
      <c r="K1301" s="1"/>
      <c r="L1301" s="1"/>
      <c r="M1301" s="1"/>
      <c r="N1301" s="1"/>
      <c r="O1301" s="1"/>
      <c r="P1301" s="1"/>
      <c r="Q1301" s="1"/>
    </row>
    <row r="1302" spans="1:17" x14ac:dyDescent="0.2">
      <c r="A1302" s="1"/>
      <c r="B1302" s="1"/>
      <c r="C1302" s="1"/>
      <c r="D1302" s="1"/>
      <c r="E1302" s="1"/>
      <c r="F1302" s="1"/>
      <c r="G1302" s="1"/>
      <c r="H1302" s="1"/>
      <c r="I1302" s="1"/>
      <c r="J1302" s="1"/>
      <c r="K1302" s="1"/>
      <c r="L1302" s="1"/>
      <c r="M1302" s="1"/>
      <c r="N1302" s="1"/>
      <c r="O1302" s="1"/>
      <c r="P1302" s="1"/>
      <c r="Q1302" s="1"/>
    </row>
    <row r="1303" spans="1:17" x14ac:dyDescent="0.2">
      <c r="A1303" s="1"/>
      <c r="B1303" s="1"/>
      <c r="C1303" s="1"/>
      <c r="D1303" s="1"/>
      <c r="E1303" s="1"/>
      <c r="F1303" s="1"/>
      <c r="G1303" s="1"/>
      <c r="H1303" s="1"/>
      <c r="I1303" s="1"/>
      <c r="J1303" s="1"/>
      <c r="K1303" s="1"/>
      <c r="L1303" s="1"/>
      <c r="M1303" s="1"/>
      <c r="N1303" s="1"/>
      <c r="O1303" s="1"/>
      <c r="P1303" s="1"/>
      <c r="Q1303" s="1"/>
    </row>
    <row r="1304" spans="1:17" x14ac:dyDescent="0.2">
      <c r="A1304" s="1"/>
      <c r="B1304" s="1"/>
      <c r="C1304" s="1"/>
      <c r="D1304" s="1"/>
      <c r="E1304" s="1"/>
      <c r="F1304" s="1"/>
      <c r="G1304" s="1"/>
      <c r="H1304" s="1"/>
      <c r="I1304" s="1"/>
      <c r="J1304" s="1"/>
      <c r="K1304" s="1"/>
      <c r="L1304" s="1"/>
      <c r="M1304" s="1"/>
      <c r="N1304" s="1"/>
      <c r="O1304" s="1"/>
      <c r="P1304" s="1"/>
      <c r="Q1304" s="1"/>
    </row>
    <row r="1305" spans="1:17" x14ac:dyDescent="0.2">
      <c r="A1305" s="1"/>
      <c r="B1305" s="1"/>
      <c r="C1305" s="1"/>
      <c r="D1305" s="1"/>
      <c r="E1305" s="1"/>
      <c r="F1305" s="1"/>
      <c r="G1305" s="1"/>
      <c r="H1305" s="1"/>
      <c r="I1305" s="1"/>
      <c r="J1305" s="1"/>
      <c r="K1305" s="1"/>
      <c r="L1305" s="1"/>
      <c r="M1305" s="1"/>
      <c r="N1305" s="1"/>
      <c r="O1305" s="1"/>
      <c r="P1305" s="1"/>
      <c r="Q1305" s="1"/>
    </row>
    <row r="1306" spans="1:17" x14ac:dyDescent="0.2">
      <c r="A1306" s="1"/>
      <c r="B1306" s="1"/>
      <c r="C1306" s="1"/>
      <c r="D1306" s="1"/>
      <c r="E1306" s="1"/>
      <c r="F1306" s="1"/>
      <c r="G1306" s="1"/>
      <c r="H1306" s="1"/>
      <c r="I1306" s="1"/>
      <c r="J1306" s="1"/>
      <c r="K1306" s="1"/>
      <c r="L1306" s="1"/>
      <c r="M1306" s="1"/>
      <c r="N1306" s="1"/>
      <c r="O1306" s="1"/>
      <c r="P1306" s="1"/>
      <c r="Q1306" s="1"/>
    </row>
    <row r="1307" spans="1:17" x14ac:dyDescent="0.2">
      <c r="A1307" s="1"/>
      <c r="B1307" s="1"/>
      <c r="C1307" s="1"/>
      <c r="D1307" s="1"/>
      <c r="E1307" s="1"/>
      <c r="F1307" s="1"/>
      <c r="G1307" s="1"/>
      <c r="H1307" s="1"/>
      <c r="I1307" s="1"/>
      <c r="J1307" s="1"/>
      <c r="K1307" s="1"/>
      <c r="L1307" s="1"/>
      <c r="M1307" s="1"/>
      <c r="N1307" s="1"/>
      <c r="O1307" s="1"/>
      <c r="P1307" s="1"/>
      <c r="Q1307" s="1"/>
    </row>
    <row r="1308" spans="1:17" x14ac:dyDescent="0.2">
      <c r="A1308" s="1"/>
      <c r="B1308" s="1"/>
      <c r="C1308" s="1"/>
      <c r="D1308" s="1"/>
      <c r="E1308" s="1"/>
      <c r="F1308" s="1"/>
      <c r="G1308" s="1"/>
      <c r="H1308" s="1"/>
      <c r="I1308" s="1"/>
      <c r="J1308" s="1"/>
      <c r="K1308" s="1"/>
      <c r="L1308" s="1"/>
      <c r="M1308" s="1"/>
      <c r="N1308" s="1"/>
      <c r="O1308" s="1"/>
      <c r="P1308" s="1"/>
      <c r="Q1308" s="1"/>
    </row>
    <row r="1309" spans="1:17" x14ac:dyDescent="0.2">
      <c r="A1309" s="1"/>
      <c r="B1309" s="1"/>
      <c r="C1309" s="1"/>
      <c r="D1309" s="1"/>
      <c r="E1309" s="1"/>
      <c r="F1309" s="1"/>
      <c r="G1309" s="1"/>
      <c r="H1309" s="1"/>
      <c r="I1309" s="1"/>
      <c r="J1309" s="1"/>
      <c r="K1309" s="1"/>
      <c r="L1309" s="1"/>
      <c r="M1309" s="1"/>
      <c r="N1309" s="1"/>
      <c r="O1309" s="1"/>
      <c r="P1309" s="1"/>
      <c r="Q1309" s="1"/>
    </row>
    <row r="1310" spans="1:17" x14ac:dyDescent="0.2">
      <c r="A1310" s="1"/>
      <c r="B1310" s="1"/>
      <c r="C1310" s="1"/>
      <c r="D1310" s="1"/>
      <c r="E1310" s="1"/>
      <c r="F1310" s="1"/>
      <c r="G1310" s="1"/>
      <c r="H1310" s="1"/>
      <c r="I1310" s="1"/>
      <c r="J1310" s="1"/>
      <c r="K1310" s="1"/>
      <c r="L1310" s="1"/>
      <c r="M1310" s="1"/>
      <c r="N1310" s="1"/>
      <c r="O1310" s="1"/>
      <c r="P1310" s="1"/>
      <c r="Q1310" s="1"/>
    </row>
    <row r="1311" spans="1:17" x14ac:dyDescent="0.2">
      <c r="A1311" s="1"/>
      <c r="B1311" s="1"/>
      <c r="C1311" s="1"/>
      <c r="D1311" s="1"/>
      <c r="E1311" s="1"/>
      <c r="F1311" s="1"/>
      <c r="G1311" s="1"/>
      <c r="H1311" s="1"/>
      <c r="I1311" s="1"/>
      <c r="J1311" s="1"/>
      <c r="K1311" s="1"/>
      <c r="L1311" s="1"/>
      <c r="M1311" s="1"/>
      <c r="N1311" s="1"/>
      <c r="O1311" s="1"/>
      <c r="P1311" s="1"/>
      <c r="Q1311" s="1"/>
    </row>
    <row r="1312" spans="1:17" x14ac:dyDescent="0.2">
      <c r="A1312" s="1"/>
      <c r="B1312" s="1"/>
      <c r="C1312" s="1"/>
      <c r="D1312" s="1"/>
      <c r="E1312" s="1"/>
      <c r="F1312" s="1"/>
      <c r="G1312" s="1"/>
      <c r="H1312" s="1"/>
      <c r="I1312" s="1"/>
      <c r="J1312" s="1"/>
      <c r="K1312" s="1"/>
      <c r="L1312" s="1"/>
      <c r="M1312" s="1"/>
      <c r="N1312" s="1"/>
      <c r="O1312" s="1"/>
      <c r="P1312" s="1"/>
      <c r="Q1312" s="1"/>
    </row>
    <row r="1313" spans="1:17" x14ac:dyDescent="0.2">
      <c r="A1313" s="1"/>
      <c r="B1313" s="1"/>
      <c r="C1313" s="1"/>
      <c r="D1313" s="1"/>
      <c r="E1313" s="1"/>
      <c r="F1313" s="1"/>
      <c r="G1313" s="1"/>
      <c r="H1313" s="1"/>
      <c r="I1313" s="1"/>
      <c r="J1313" s="1"/>
      <c r="K1313" s="1"/>
      <c r="L1313" s="1"/>
      <c r="M1313" s="1"/>
      <c r="N1313" s="1"/>
      <c r="O1313" s="1"/>
      <c r="P1313" s="1"/>
      <c r="Q1313" s="1"/>
    </row>
    <row r="1314" spans="1:17" x14ac:dyDescent="0.2">
      <c r="A1314" s="1"/>
      <c r="B1314" s="1"/>
      <c r="C1314" s="1"/>
      <c r="D1314" s="1"/>
      <c r="E1314" s="1"/>
      <c r="F1314" s="1"/>
      <c r="G1314" s="1"/>
      <c r="H1314" s="1"/>
      <c r="I1314" s="1"/>
      <c r="J1314" s="1"/>
      <c r="K1314" s="1"/>
      <c r="L1314" s="1"/>
      <c r="M1314" s="1"/>
      <c r="N1314" s="1"/>
      <c r="O1314" s="1"/>
      <c r="P1314" s="1"/>
      <c r="Q1314" s="1"/>
    </row>
    <row r="1315" spans="1:17" x14ac:dyDescent="0.2">
      <c r="A1315" s="1"/>
      <c r="B1315" s="1"/>
      <c r="C1315" s="1"/>
      <c r="D1315" s="1"/>
      <c r="E1315" s="1"/>
      <c r="F1315" s="1"/>
      <c r="G1315" s="1"/>
      <c r="H1315" s="1"/>
      <c r="I1315" s="1"/>
      <c r="J1315" s="1"/>
      <c r="K1315" s="1"/>
      <c r="L1315" s="1"/>
      <c r="M1315" s="1"/>
      <c r="N1315" s="1"/>
      <c r="O1315" s="1"/>
      <c r="P1315" s="1"/>
      <c r="Q1315" s="1"/>
    </row>
    <row r="1316" spans="1:17" x14ac:dyDescent="0.2">
      <c r="A1316" s="1"/>
      <c r="B1316" s="1"/>
      <c r="C1316" s="1"/>
      <c r="D1316" s="1"/>
      <c r="E1316" s="1"/>
      <c r="F1316" s="1"/>
      <c r="G1316" s="1"/>
      <c r="H1316" s="1"/>
      <c r="I1316" s="1"/>
      <c r="J1316" s="1"/>
      <c r="K1316" s="1"/>
      <c r="L1316" s="1"/>
      <c r="M1316" s="1"/>
      <c r="N1316" s="1"/>
      <c r="O1316" s="1"/>
      <c r="P1316" s="1"/>
      <c r="Q1316" s="1"/>
    </row>
    <row r="1317" spans="1:17" x14ac:dyDescent="0.2">
      <c r="A1317" s="1"/>
      <c r="B1317" s="1"/>
      <c r="C1317" s="1"/>
      <c r="D1317" s="1"/>
      <c r="E1317" s="1"/>
      <c r="F1317" s="1"/>
      <c r="G1317" s="1"/>
      <c r="H1317" s="1"/>
      <c r="I1317" s="1"/>
      <c r="J1317" s="1"/>
      <c r="K1317" s="1"/>
      <c r="L1317" s="1"/>
      <c r="M1317" s="1"/>
      <c r="N1317" s="1"/>
      <c r="O1317" s="1"/>
      <c r="P1317" s="1"/>
      <c r="Q1317" s="1"/>
    </row>
    <row r="1318" spans="1:17" x14ac:dyDescent="0.2">
      <c r="A1318" s="1"/>
      <c r="B1318" s="1"/>
      <c r="C1318" s="1"/>
      <c r="D1318" s="1"/>
      <c r="E1318" s="1"/>
      <c r="F1318" s="1"/>
      <c r="G1318" s="1"/>
      <c r="H1318" s="1"/>
      <c r="I1318" s="1"/>
      <c r="J1318" s="1"/>
      <c r="K1318" s="1"/>
      <c r="L1318" s="1"/>
      <c r="M1318" s="1"/>
      <c r="N1318" s="1"/>
      <c r="O1318" s="1"/>
      <c r="P1318" s="1"/>
      <c r="Q1318" s="1"/>
    </row>
    <row r="1319" spans="1:17" x14ac:dyDescent="0.2">
      <c r="A1319" s="1"/>
      <c r="B1319" s="1"/>
      <c r="C1319" s="1"/>
      <c r="D1319" s="1"/>
      <c r="E1319" s="1"/>
      <c r="F1319" s="1"/>
      <c r="G1319" s="1"/>
      <c r="H1319" s="1"/>
      <c r="I1319" s="1"/>
      <c r="J1319" s="1"/>
      <c r="K1319" s="1"/>
      <c r="L1319" s="1"/>
      <c r="M1319" s="1"/>
      <c r="N1319" s="1"/>
      <c r="O1319" s="1"/>
      <c r="P1319" s="1"/>
      <c r="Q1319" s="1"/>
    </row>
    <row r="1320" spans="1:17" x14ac:dyDescent="0.2">
      <c r="A1320" s="1"/>
      <c r="B1320" s="1"/>
      <c r="C1320" s="1"/>
      <c r="D1320" s="1"/>
      <c r="E1320" s="1"/>
      <c r="F1320" s="1"/>
      <c r="G1320" s="1"/>
      <c r="H1320" s="1"/>
      <c r="I1320" s="1"/>
      <c r="J1320" s="1"/>
      <c r="K1320" s="1"/>
      <c r="L1320" s="1"/>
      <c r="M1320" s="1"/>
      <c r="N1320" s="1"/>
      <c r="O1320" s="1"/>
      <c r="P1320" s="1"/>
      <c r="Q1320" s="1"/>
    </row>
    <row r="1321" spans="1:17" x14ac:dyDescent="0.2">
      <c r="A1321" s="1"/>
      <c r="B1321" s="1"/>
      <c r="C1321" s="1"/>
      <c r="D1321" s="1"/>
      <c r="E1321" s="1"/>
      <c r="F1321" s="1"/>
      <c r="G1321" s="1"/>
      <c r="H1321" s="1"/>
      <c r="I1321" s="1"/>
      <c r="J1321" s="1"/>
      <c r="K1321" s="1"/>
      <c r="L1321" s="1"/>
      <c r="M1321" s="1"/>
      <c r="N1321" s="1"/>
      <c r="O1321" s="1"/>
      <c r="P1321" s="1"/>
      <c r="Q1321" s="1"/>
    </row>
    <row r="1322" spans="1:17" x14ac:dyDescent="0.2">
      <c r="A1322" s="1"/>
      <c r="B1322" s="1"/>
      <c r="C1322" s="1"/>
      <c r="D1322" s="1"/>
      <c r="E1322" s="1"/>
      <c r="F1322" s="1"/>
      <c r="G1322" s="1"/>
      <c r="H1322" s="1"/>
      <c r="I1322" s="1"/>
      <c r="J1322" s="1"/>
      <c r="K1322" s="1"/>
      <c r="L1322" s="1"/>
      <c r="M1322" s="1"/>
      <c r="N1322" s="1"/>
      <c r="O1322" s="1"/>
      <c r="P1322" s="1"/>
      <c r="Q1322" s="1"/>
    </row>
    <row r="1323" spans="1:17" x14ac:dyDescent="0.2">
      <c r="A1323" s="1"/>
      <c r="B1323" s="1"/>
      <c r="C1323" s="1"/>
      <c r="D1323" s="1"/>
      <c r="E1323" s="1"/>
      <c r="F1323" s="1"/>
      <c r="G1323" s="1"/>
      <c r="H1323" s="1"/>
      <c r="I1323" s="1"/>
      <c r="J1323" s="1"/>
      <c r="K1323" s="1"/>
      <c r="L1323" s="1"/>
      <c r="M1323" s="1"/>
      <c r="N1323" s="1"/>
      <c r="O1323" s="1"/>
      <c r="P1323" s="1"/>
      <c r="Q1323" s="1"/>
    </row>
    <row r="1324" spans="1:17" x14ac:dyDescent="0.2">
      <c r="A1324" s="1"/>
      <c r="B1324" s="1"/>
      <c r="C1324" s="1"/>
      <c r="D1324" s="1"/>
      <c r="E1324" s="1"/>
      <c r="F1324" s="1"/>
      <c r="G1324" s="1"/>
      <c r="H1324" s="1"/>
      <c r="I1324" s="1"/>
      <c r="J1324" s="1"/>
      <c r="K1324" s="1"/>
      <c r="L1324" s="1"/>
      <c r="M1324" s="1"/>
      <c r="N1324" s="1"/>
      <c r="O1324" s="1"/>
      <c r="P1324" s="1"/>
      <c r="Q1324" s="1"/>
    </row>
    <row r="1325" spans="1:17" x14ac:dyDescent="0.2">
      <c r="A1325" s="1"/>
      <c r="B1325" s="1"/>
      <c r="C1325" s="1"/>
      <c r="D1325" s="1"/>
      <c r="E1325" s="1"/>
      <c r="F1325" s="1"/>
      <c r="G1325" s="1"/>
      <c r="H1325" s="1"/>
      <c r="I1325" s="1"/>
      <c r="J1325" s="1"/>
      <c r="K1325" s="1"/>
      <c r="L1325" s="1"/>
      <c r="M1325" s="1"/>
      <c r="N1325" s="1"/>
      <c r="O1325" s="1"/>
      <c r="P1325" s="1"/>
      <c r="Q1325" s="1"/>
    </row>
    <row r="1326" spans="1:17" x14ac:dyDescent="0.2">
      <c r="A1326" s="1"/>
      <c r="B1326" s="1"/>
      <c r="C1326" s="1"/>
      <c r="D1326" s="1"/>
      <c r="E1326" s="1"/>
      <c r="F1326" s="1"/>
      <c r="G1326" s="1"/>
      <c r="H1326" s="1"/>
      <c r="I1326" s="1"/>
      <c r="J1326" s="1"/>
      <c r="K1326" s="1"/>
      <c r="L1326" s="1"/>
      <c r="M1326" s="1"/>
      <c r="N1326" s="1"/>
      <c r="O1326" s="1"/>
      <c r="P1326" s="1"/>
      <c r="Q1326" s="1"/>
    </row>
    <row r="1327" spans="1:17" x14ac:dyDescent="0.2">
      <c r="A1327" s="1"/>
      <c r="B1327" s="1"/>
      <c r="C1327" s="1"/>
      <c r="D1327" s="1"/>
      <c r="E1327" s="1"/>
      <c r="F1327" s="1"/>
      <c r="G1327" s="1"/>
      <c r="H1327" s="1"/>
      <c r="I1327" s="1"/>
      <c r="J1327" s="1"/>
      <c r="K1327" s="1"/>
      <c r="L1327" s="1"/>
      <c r="M1327" s="1"/>
      <c r="N1327" s="1"/>
      <c r="O1327" s="1"/>
      <c r="P1327" s="1"/>
      <c r="Q1327" s="1"/>
    </row>
    <row r="1328" spans="1:17" x14ac:dyDescent="0.2">
      <c r="A1328" s="1"/>
      <c r="B1328" s="1"/>
      <c r="C1328" s="1"/>
      <c r="D1328" s="1"/>
      <c r="E1328" s="1"/>
      <c r="F1328" s="1"/>
      <c r="G1328" s="1"/>
      <c r="H1328" s="1"/>
      <c r="I1328" s="1"/>
      <c r="J1328" s="1"/>
      <c r="K1328" s="1"/>
      <c r="L1328" s="1"/>
      <c r="M1328" s="1"/>
      <c r="N1328" s="1"/>
      <c r="O1328" s="1"/>
      <c r="P1328" s="1"/>
      <c r="Q1328" s="1"/>
    </row>
    <row r="1329" spans="1:17" x14ac:dyDescent="0.2">
      <c r="A1329" s="1"/>
      <c r="B1329" s="1"/>
      <c r="C1329" s="1"/>
      <c r="D1329" s="1"/>
      <c r="E1329" s="1"/>
      <c r="F1329" s="1"/>
      <c r="G1329" s="1"/>
      <c r="H1329" s="1"/>
      <c r="I1329" s="1"/>
      <c r="J1329" s="1"/>
      <c r="K1329" s="1"/>
      <c r="L1329" s="1"/>
      <c r="M1329" s="1"/>
      <c r="N1329" s="1"/>
      <c r="O1329" s="1"/>
      <c r="P1329" s="1"/>
      <c r="Q1329" s="1"/>
    </row>
    <row r="1330" spans="1:17" x14ac:dyDescent="0.2">
      <c r="A1330" s="1"/>
      <c r="B1330" s="1"/>
      <c r="C1330" s="1"/>
      <c r="D1330" s="1"/>
      <c r="E1330" s="1"/>
      <c r="F1330" s="1"/>
      <c r="G1330" s="1"/>
      <c r="H1330" s="1"/>
      <c r="I1330" s="1"/>
      <c r="J1330" s="1"/>
      <c r="K1330" s="1"/>
      <c r="L1330" s="1"/>
      <c r="M1330" s="1"/>
      <c r="N1330" s="1"/>
      <c r="O1330" s="1"/>
      <c r="P1330" s="1"/>
      <c r="Q1330" s="1"/>
    </row>
    <row r="1331" spans="1:17" x14ac:dyDescent="0.2">
      <c r="A1331" s="1"/>
      <c r="B1331" s="1"/>
      <c r="C1331" s="1"/>
      <c r="D1331" s="1"/>
      <c r="E1331" s="1"/>
      <c r="F1331" s="1"/>
      <c r="G1331" s="1"/>
      <c r="H1331" s="1"/>
      <c r="I1331" s="1"/>
      <c r="J1331" s="1"/>
      <c r="K1331" s="1"/>
      <c r="L1331" s="1"/>
      <c r="M1331" s="1"/>
      <c r="N1331" s="1"/>
      <c r="O1331" s="1"/>
      <c r="P1331" s="1"/>
      <c r="Q1331" s="1"/>
    </row>
    <row r="1332" spans="1:17" x14ac:dyDescent="0.2">
      <c r="A1332" s="1"/>
      <c r="B1332" s="1"/>
      <c r="C1332" s="1"/>
      <c r="D1332" s="1"/>
      <c r="E1332" s="1"/>
      <c r="F1332" s="1"/>
      <c r="G1332" s="1"/>
      <c r="H1332" s="1"/>
      <c r="I1332" s="1"/>
      <c r="J1332" s="1"/>
      <c r="K1332" s="1"/>
      <c r="L1332" s="1"/>
      <c r="M1332" s="1"/>
      <c r="N1332" s="1"/>
      <c r="O1332" s="1"/>
      <c r="P1332" s="1"/>
      <c r="Q1332" s="1"/>
    </row>
    <row r="1333" spans="1:17" x14ac:dyDescent="0.2">
      <c r="A1333" s="1"/>
      <c r="B1333" s="1"/>
      <c r="C1333" s="1"/>
      <c r="D1333" s="1"/>
      <c r="E1333" s="1"/>
      <c r="F1333" s="1"/>
      <c r="G1333" s="1"/>
      <c r="H1333" s="1"/>
      <c r="I1333" s="1"/>
      <c r="J1333" s="1"/>
      <c r="K1333" s="1"/>
      <c r="L1333" s="1"/>
      <c r="M1333" s="1"/>
      <c r="N1333" s="1"/>
      <c r="O1333" s="1"/>
      <c r="P1333" s="1"/>
      <c r="Q1333" s="1"/>
    </row>
    <row r="1334" spans="1:17" x14ac:dyDescent="0.2">
      <c r="A1334" s="1"/>
      <c r="B1334" s="1"/>
      <c r="C1334" s="1"/>
      <c r="D1334" s="1"/>
      <c r="E1334" s="1"/>
      <c r="F1334" s="1"/>
      <c r="G1334" s="1"/>
      <c r="H1334" s="1"/>
      <c r="I1334" s="1"/>
      <c r="J1334" s="1"/>
      <c r="K1334" s="1"/>
      <c r="L1334" s="1"/>
      <c r="M1334" s="1"/>
      <c r="N1334" s="1"/>
      <c r="O1334" s="1"/>
      <c r="P1334" s="1"/>
      <c r="Q1334" s="1"/>
    </row>
    <row r="1335" spans="1:17" x14ac:dyDescent="0.2">
      <c r="A1335" s="1"/>
      <c r="B1335" s="1"/>
      <c r="C1335" s="1"/>
      <c r="D1335" s="1"/>
      <c r="E1335" s="1"/>
      <c r="F1335" s="1"/>
      <c r="G1335" s="1"/>
      <c r="H1335" s="1"/>
      <c r="I1335" s="1"/>
      <c r="J1335" s="1"/>
      <c r="K1335" s="1"/>
      <c r="L1335" s="1"/>
      <c r="M1335" s="1"/>
      <c r="N1335" s="1"/>
      <c r="O1335" s="1"/>
      <c r="P1335" s="1"/>
      <c r="Q1335" s="1"/>
    </row>
    <row r="1336" spans="1:17" x14ac:dyDescent="0.2">
      <c r="A1336" s="1"/>
      <c r="B1336" s="1"/>
      <c r="C1336" s="1"/>
      <c r="D1336" s="1"/>
      <c r="E1336" s="1"/>
      <c r="F1336" s="1"/>
      <c r="G1336" s="1"/>
      <c r="H1336" s="1"/>
      <c r="I1336" s="1"/>
      <c r="J1336" s="1"/>
      <c r="K1336" s="1"/>
      <c r="L1336" s="1"/>
      <c r="M1336" s="1"/>
      <c r="N1336" s="1"/>
      <c r="O1336" s="1"/>
      <c r="P1336" s="1"/>
      <c r="Q1336" s="1"/>
    </row>
    <row r="1337" spans="1:17" x14ac:dyDescent="0.2">
      <c r="A1337" s="1"/>
      <c r="B1337" s="1"/>
      <c r="C1337" s="1"/>
      <c r="D1337" s="1"/>
      <c r="E1337" s="1"/>
      <c r="F1337" s="1"/>
      <c r="G1337" s="1"/>
      <c r="H1337" s="1"/>
      <c r="I1337" s="1"/>
      <c r="J1337" s="1"/>
      <c r="K1337" s="1"/>
      <c r="L1337" s="1"/>
      <c r="M1337" s="1"/>
      <c r="N1337" s="1"/>
      <c r="O1337" s="1"/>
      <c r="P1337" s="1"/>
      <c r="Q1337" s="1"/>
    </row>
    <row r="1338" spans="1:17" x14ac:dyDescent="0.2">
      <c r="A1338" s="1"/>
      <c r="B1338" s="1"/>
      <c r="C1338" s="1"/>
      <c r="D1338" s="1"/>
      <c r="E1338" s="1"/>
      <c r="F1338" s="1"/>
      <c r="G1338" s="1"/>
      <c r="H1338" s="1"/>
      <c r="I1338" s="1"/>
      <c r="J1338" s="1"/>
      <c r="K1338" s="1"/>
      <c r="L1338" s="1"/>
      <c r="M1338" s="1"/>
      <c r="N1338" s="1"/>
      <c r="O1338" s="1"/>
      <c r="P1338" s="1"/>
      <c r="Q1338" s="1"/>
    </row>
    <row r="1339" spans="1:17" x14ac:dyDescent="0.2">
      <c r="A1339" s="1"/>
      <c r="B1339" s="1"/>
      <c r="C1339" s="1"/>
      <c r="D1339" s="1"/>
      <c r="E1339" s="1"/>
      <c r="F1339" s="1"/>
      <c r="G1339" s="1"/>
      <c r="H1339" s="1"/>
      <c r="I1339" s="1"/>
      <c r="J1339" s="1"/>
      <c r="K1339" s="1"/>
      <c r="L1339" s="1"/>
      <c r="M1339" s="1"/>
      <c r="N1339" s="1"/>
      <c r="O1339" s="1"/>
      <c r="P1339" s="1"/>
      <c r="Q1339" s="1"/>
    </row>
    <row r="1340" spans="1:17" x14ac:dyDescent="0.2">
      <c r="A1340" s="1"/>
      <c r="B1340" s="1"/>
      <c r="C1340" s="1"/>
      <c r="D1340" s="1"/>
      <c r="E1340" s="1"/>
      <c r="F1340" s="1"/>
      <c r="G1340" s="1"/>
      <c r="H1340" s="1"/>
      <c r="I1340" s="1"/>
      <c r="J1340" s="1"/>
      <c r="K1340" s="1"/>
      <c r="L1340" s="1"/>
      <c r="M1340" s="1"/>
      <c r="N1340" s="1"/>
      <c r="O1340" s="1"/>
      <c r="P1340" s="1"/>
      <c r="Q1340" s="1"/>
    </row>
    <row r="1341" spans="1:17" x14ac:dyDescent="0.2">
      <c r="A1341" s="1"/>
      <c r="B1341" s="1"/>
      <c r="C1341" s="1"/>
      <c r="D1341" s="1"/>
      <c r="E1341" s="1"/>
      <c r="F1341" s="1"/>
      <c r="G1341" s="1"/>
      <c r="H1341" s="1"/>
      <c r="I1341" s="1"/>
      <c r="J1341" s="1"/>
      <c r="K1341" s="1"/>
      <c r="L1341" s="1"/>
      <c r="M1341" s="1"/>
      <c r="N1341" s="1"/>
      <c r="O1341" s="1"/>
      <c r="P1341" s="1"/>
      <c r="Q1341" s="1"/>
    </row>
    <row r="1342" spans="1:17" x14ac:dyDescent="0.2">
      <c r="A1342" s="1"/>
      <c r="B1342" s="1"/>
      <c r="C1342" s="1"/>
      <c r="D1342" s="1"/>
      <c r="E1342" s="1"/>
      <c r="F1342" s="1"/>
      <c r="G1342" s="1"/>
      <c r="H1342" s="1"/>
      <c r="I1342" s="1"/>
      <c r="J1342" s="1"/>
      <c r="K1342" s="1"/>
      <c r="L1342" s="1"/>
      <c r="M1342" s="1"/>
      <c r="N1342" s="1"/>
      <c r="O1342" s="1"/>
      <c r="P1342" s="1"/>
      <c r="Q1342" s="1"/>
    </row>
    <row r="1343" spans="1:17" x14ac:dyDescent="0.2">
      <c r="A1343" s="1"/>
      <c r="B1343" s="1"/>
      <c r="C1343" s="1"/>
      <c r="D1343" s="1"/>
      <c r="E1343" s="1"/>
      <c r="F1343" s="1"/>
      <c r="G1343" s="1"/>
      <c r="H1343" s="1"/>
      <c r="I1343" s="1"/>
      <c r="J1343" s="1"/>
      <c r="K1343" s="1"/>
      <c r="L1343" s="1"/>
      <c r="M1343" s="1"/>
      <c r="N1343" s="1"/>
      <c r="O1343" s="1"/>
      <c r="P1343" s="1"/>
      <c r="Q1343" s="1"/>
    </row>
    <row r="1344" spans="1:17" x14ac:dyDescent="0.2">
      <c r="A1344" s="1"/>
      <c r="B1344" s="1"/>
      <c r="C1344" s="1"/>
      <c r="D1344" s="1"/>
      <c r="E1344" s="1"/>
      <c r="F1344" s="1"/>
      <c r="G1344" s="1"/>
      <c r="H1344" s="1"/>
      <c r="I1344" s="1"/>
      <c r="J1344" s="1"/>
      <c r="K1344" s="1"/>
      <c r="L1344" s="1"/>
      <c r="M1344" s="1"/>
      <c r="N1344" s="1"/>
      <c r="O1344" s="1"/>
      <c r="P1344" s="1"/>
      <c r="Q1344" s="1"/>
    </row>
    <row r="1345" spans="1:17" x14ac:dyDescent="0.2">
      <c r="A1345" s="1"/>
      <c r="B1345" s="1"/>
      <c r="C1345" s="1"/>
      <c r="D1345" s="1"/>
      <c r="E1345" s="1"/>
      <c r="F1345" s="1"/>
      <c r="G1345" s="1"/>
      <c r="H1345" s="1"/>
      <c r="I1345" s="1"/>
      <c r="J1345" s="1"/>
      <c r="K1345" s="1"/>
      <c r="L1345" s="1"/>
      <c r="M1345" s="1"/>
      <c r="N1345" s="1"/>
      <c r="O1345" s="1"/>
      <c r="P1345" s="1"/>
      <c r="Q1345" s="1"/>
    </row>
    <row r="1346" spans="1:17" x14ac:dyDescent="0.2">
      <c r="A1346" s="1"/>
      <c r="B1346" s="1"/>
      <c r="C1346" s="1"/>
      <c r="D1346" s="1"/>
      <c r="E1346" s="1"/>
      <c r="F1346" s="1"/>
      <c r="G1346" s="1"/>
      <c r="H1346" s="1"/>
      <c r="I1346" s="1"/>
      <c r="J1346" s="1"/>
      <c r="K1346" s="1"/>
      <c r="L1346" s="1"/>
      <c r="M1346" s="1"/>
      <c r="N1346" s="1"/>
      <c r="O1346" s="1"/>
      <c r="P1346" s="1"/>
      <c r="Q1346" s="1"/>
    </row>
    <row r="1347" spans="1:17" x14ac:dyDescent="0.2">
      <c r="A1347" s="1"/>
      <c r="B1347" s="1"/>
      <c r="C1347" s="1"/>
      <c r="D1347" s="1"/>
      <c r="E1347" s="1"/>
      <c r="F1347" s="1"/>
      <c r="G1347" s="1"/>
      <c r="H1347" s="1"/>
      <c r="I1347" s="1"/>
      <c r="J1347" s="1"/>
      <c r="K1347" s="1"/>
      <c r="L1347" s="1"/>
      <c r="M1347" s="1"/>
      <c r="N1347" s="1"/>
      <c r="O1347" s="1"/>
      <c r="P1347" s="1"/>
      <c r="Q1347" s="1"/>
    </row>
    <row r="1348" spans="1:17" x14ac:dyDescent="0.2">
      <c r="A1348" s="1"/>
      <c r="B1348" s="1"/>
      <c r="C1348" s="1"/>
      <c r="D1348" s="1"/>
      <c r="E1348" s="1"/>
      <c r="F1348" s="1"/>
      <c r="G1348" s="1"/>
      <c r="H1348" s="1"/>
      <c r="I1348" s="1"/>
      <c r="J1348" s="1"/>
      <c r="K1348" s="1"/>
      <c r="L1348" s="1"/>
      <c r="M1348" s="1"/>
      <c r="N1348" s="1"/>
      <c r="O1348" s="1"/>
      <c r="P1348" s="1"/>
      <c r="Q1348" s="1"/>
    </row>
    <row r="1349" spans="1:17" x14ac:dyDescent="0.2">
      <c r="A1349" s="1"/>
      <c r="B1349" s="1"/>
      <c r="C1349" s="1"/>
      <c r="D1349" s="1"/>
      <c r="E1349" s="1"/>
      <c r="F1349" s="1"/>
      <c r="G1349" s="1"/>
      <c r="H1349" s="1"/>
      <c r="I1349" s="1"/>
      <c r="J1349" s="1"/>
      <c r="K1349" s="1"/>
      <c r="L1349" s="1"/>
      <c r="M1349" s="1"/>
      <c r="N1349" s="1"/>
      <c r="O1349" s="1"/>
      <c r="P1349" s="1"/>
      <c r="Q1349" s="1"/>
    </row>
    <row r="1350" spans="1:17" x14ac:dyDescent="0.2">
      <c r="A1350" s="1"/>
      <c r="B1350" s="1"/>
      <c r="C1350" s="1"/>
      <c r="D1350" s="1"/>
      <c r="E1350" s="1"/>
      <c r="F1350" s="1"/>
      <c r="G1350" s="1"/>
      <c r="H1350" s="1"/>
      <c r="I1350" s="1"/>
      <c r="J1350" s="1"/>
      <c r="K1350" s="1"/>
      <c r="L1350" s="1"/>
      <c r="M1350" s="1"/>
      <c r="N1350" s="1"/>
      <c r="O1350" s="1"/>
      <c r="P1350" s="1"/>
      <c r="Q1350" s="1"/>
    </row>
    <row r="1351" spans="1:17" x14ac:dyDescent="0.2">
      <c r="A1351" s="1"/>
      <c r="B1351" s="1"/>
      <c r="C1351" s="1"/>
      <c r="D1351" s="1"/>
      <c r="E1351" s="1"/>
      <c r="F1351" s="1"/>
      <c r="G1351" s="1"/>
      <c r="H1351" s="1"/>
      <c r="I1351" s="1"/>
      <c r="J1351" s="1"/>
      <c r="K1351" s="1"/>
      <c r="L1351" s="1"/>
      <c r="M1351" s="1"/>
      <c r="N1351" s="1"/>
      <c r="O1351" s="1"/>
      <c r="P1351" s="1"/>
      <c r="Q1351" s="1"/>
    </row>
    <row r="1352" spans="1:17" x14ac:dyDescent="0.2">
      <c r="A1352" s="1"/>
      <c r="B1352" s="1"/>
      <c r="C1352" s="1"/>
      <c r="D1352" s="1"/>
      <c r="E1352" s="1"/>
      <c r="F1352" s="1"/>
      <c r="G1352" s="1"/>
      <c r="H1352" s="1"/>
      <c r="I1352" s="1"/>
      <c r="J1352" s="1"/>
      <c r="K1352" s="1"/>
      <c r="L1352" s="1"/>
      <c r="M1352" s="1"/>
      <c r="N1352" s="1"/>
      <c r="O1352" s="1"/>
      <c r="P1352" s="1"/>
      <c r="Q1352" s="1"/>
    </row>
    <row r="1353" spans="1:17" x14ac:dyDescent="0.2">
      <c r="A1353" s="1"/>
      <c r="B1353" s="1"/>
      <c r="C1353" s="1"/>
      <c r="D1353" s="1"/>
      <c r="E1353" s="1"/>
      <c r="F1353" s="1"/>
      <c r="G1353" s="1"/>
      <c r="H1353" s="1"/>
      <c r="I1353" s="1"/>
      <c r="J1353" s="1"/>
      <c r="K1353" s="1"/>
      <c r="L1353" s="1"/>
      <c r="M1353" s="1"/>
      <c r="N1353" s="1"/>
      <c r="O1353" s="1"/>
      <c r="P1353" s="1"/>
      <c r="Q1353" s="1"/>
    </row>
    <row r="1354" spans="1:17" x14ac:dyDescent="0.2">
      <c r="A1354" s="1"/>
      <c r="B1354" s="1"/>
      <c r="C1354" s="1"/>
      <c r="D1354" s="1"/>
      <c r="E1354" s="1"/>
      <c r="F1354" s="1"/>
      <c r="G1354" s="1"/>
      <c r="H1354" s="1"/>
      <c r="I1354" s="1"/>
      <c r="J1354" s="1"/>
      <c r="K1354" s="1"/>
      <c r="L1354" s="1"/>
      <c r="M1354" s="1"/>
      <c r="N1354" s="1"/>
      <c r="O1354" s="1"/>
      <c r="P1354" s="1"/>
      <c r="Q1354" s="1"/>
    </row>
    <row r="1355" spans="1:17" x14ac:dyDescent="0.2">
      <c r="A1355" s="1"/>
      <c r="B1355" s="1"/>
      <c r="C1355" s="1"/>
      <c r="D1355" s="1"/>
      <c r="E1355" s="1"/>
      <c r="F1355" s="1"/>
      <c r="G1355" s="1"/>
      <c r="H1355" s="1"/>
      <c r="I1355" s="1"/>
      <c r="J1355" s="1"/>
      <c r="K1355" s="1"/>
      <c r="L1355" s="1"/>
      <c r="M1355" s="1"/>
      <c r="N1355" s="1"/>
      <c r="O1355" s="1"/>
      <c r="P1355" s="1"/>
      <c r="Q1355" s="1"/>
    </row>
    <row r="1356" spans="1:17" x14ac:dyDescent="0.2">
      <c r="A1356" s="1"/>
      <c r="B1356" s="1"/>
      <c r="C1356" s="1"/>
      <c r="D1356" s="1"/>
      <c r="E1356" s="1"/>
      <c r="F1356" s="1"/>
      <c r="G1356" s="1"/>
      <c r="H1356" s="1"/>
      <c r="I1356" s="1"/>
      <c r="J1356" s="1"/>
      <c r="K1356" s="1"/>
      <c r="L1356" s="1"/>
      <c r="M1356" s="1"/>
      <c r="N1356" s="1"/>
      <c r="O1356" s="1"/>
      <c r="P1356" s="1"/>
      <c r="Q1356" s="1"/>
    </row>
    <row r="1357" spans="1:17" x14ac:dyDescent="0.2">
      <c r="A1357" s="1"/>
      <c r="B1357" s="1"/>
      <c r="C1357" s="1"/>
      <c r="D1357" s="1"/>
      <c r="E1357" s="1"/>
      <c r="F1357" s="1"/>
      <c r="G1357" s="1"/>
      <c r="H1357" s="1"/>
      <c r="I1357" s="1"/>
      <c r="J1357" s="1"/>
      <c r="K1357" s="1"/>
      <c r="L1357" s="1"/>
      <c r="M1357" s="1"/>
      <c r="N1357" s="1"/>
      <c r="O1357" s="1"/>
      <c r="P1357" s="1"/>
      <c r="Q1357" s="1"/>
    </row>
    <row r="1358" spans="1:17" x14ac:dyDescent="0.2">
      <c r="A1358" s="1"/>
      <c r="B1358" s="1"/>
      <c r="C1358" s="1"/>
      <c r="D1358" s="1"/>
      <c r="E1358" s="1"/>
      <c r="F1358" s="1"/>
      <c r="G1358" s="1"/>
      <c r="H1358" s="1"/>
      <c r="I1358" s="1"/>
      <c r="J1358" s="1"/>
      <c r="K1358" s="1"/>
      <c r="L1358" s="1"/>
      <c r="M1358" s="1"/>
      <c r="N1358" s="1"/>
      <c r="O1358" s="1"/>
      <c r="P1358" s="1"/>
      <c r="Q1358" s="1"/>
    </row>
    <row r="1359" spans="1:17" x14ac:dyDescent="0.2">
      <c r="A1359" s="1"/>
      <c r="B1359" s="1"/>
      <c r="C1359" s="1"/>
      <c r="D1359" s="1"/>
      <c r="E1359" s="1"/>
      <c r="F1359" s="1"/>
      <c r="G1359" s="1"/>
      <c r="H1359" s="1"/>
      <c r="I1359" s="1"/>
      <c r="J1359" s="1"/>
      <c r="K1359" s="1"/>
      <c r="L1359" s="1"/>
      <c r="M1359" s="1"/>
      <c r="N1359" s="1"/>
      <c r="O1359" s="1"/>
      <c r="P1359" s="1"/>
      <c r="Q1359" s="1"/>
    </row>
    <row r="1360" spans="1:17" x14ac:dyDescent="0.2">
      <c r="A1360" s="1"/>
      <c r="B1360" s="1"/>
      <c r="C1360" s="1"/>
      <c r="D1360" s="1"/>
      <c r="E1360" s="1"/>
      <c r="F1360" s="1"/>
      <c r="G1360" s="1"/>
      <c r="H1360" s="1"/>
      <c r="I1360" s="1"/>
      <c r="J1360" s="1"/>
      <c r="K1360" s="1"/>
      <c r="L1360" s="1"/>
      <c r="M1360" s="1"/>
      <c r="N1360" s="1"/>
      <c r="O1360" s="1"/>
      <c r="P1360" s="1"/>
      <c r="Q1360" s="1"/>
    </row>
    <row r="1361" spans="1:17" x14ac:dyDescent="0.2">
      <c r="A1361" s="1"/>
      <c r="B1361" s="1"/>
      <c r="C1361" s="1"/>
      <c r="D1361" s="1"/>
      <c r="E1361" s="1"/>
      <c r="F1361" s="1"/>
      <c r="G1361" s="1"/>
      <c r="H1361" s="1"/>
      <c r="I1361" s="1"/>
      <c r="J1361" s="1"/>
      <c r="K1361" s="1"/>
      <c r="L1361" s="1"/>
      <c r="M1361" s="1"/>
      <c r="N1361" s="1"/>
      <c r="O1361" s="1"/>
      <c r="P1361" s="1"/>
      <c r="Q1361" s="1"/>
    </row>
    <row r="1362" spans="1:17" x14ac:dyDescent="0.2">
      <c r="A1362" s="1"/>
      <c r="B1362" s="1"/>
      <c r="C1362" s="1"/>
      <c r="D1362" s="1"/>
      <c r="E1362" s="1"/>
      <c r="F1362" s="1"/>
      <c r="G1362" s="1"/>
      <c r="H1362" s="1"/>
      <c r="I1362" s="1"/>
      <c r="J1362" s="1"/>
      <c r="K1362" s="1"/>
      <c r="L1362" s="1"/>
      <c r="M1362" s="1"/>
      <c r="N1362" s="1"/>
      <c r="O1362" s="1"/>
      <c r="P1362" s="1"/>
      <c r="Q1362" s="1"/>
    </row>
    <row r="1363" spans="1:17" x14ac:dyDescent="0.2">
      <c r="A1363" s="1"/>
      <c r="B1363" s="1"/>
      <c r="C1363" s="1"/>
      <c r="D1363" s="1"/>
      <c r="E1363" s="1"/>
      <c r="F1363" s="1"/>
      <c r="G1363" s="1"/>
      <c r="H1363" s="1"/>
      <c r="I1363" s="1"/>
      <c r="J1363" s="1"/>
      <c r="K1363" s="1"/>
      <c r="L1363" s="1"/>
      <c r="M1363" s="1"/>
      <c r="N1363" s="1"/>
      <c r="O1363" s="1"/>
      <c r="P1363" s="1"/>
      <c r="Q1363" s="1"/>
    </row>
    <row r="1364" spans="1:17" x14ac:dyDescent="0.2">
      <c r="A1364" s="1"/>
      <c r="B1364" s="1"/>
      <c r="C1364" s="1"/>
      <c r="D1364" s="1"/>
      <c r="E1364" s="1"/>
      <c r="F1364" s="1"/>
      <c r="G1364" s="1"/>
      <c r="H1364" s="1"/>
      <c r="I1364" s="1"/>
      <c r="J1364" s="1"/>
      <c r="K1364" s="1"/>
      <c r="L1364" s="1"/>
      <c r="M1364" s="1"/>
      <c r="N1364" s="1"/>
      <c r="O1364" s="1"/>
      <c r="P1364" s="1"/>
      <c r="Q1364" s="1"/>
    </row>
    <row r="1365" spans="1:17" x14ac:dyDescent="0.2">
      <c r="A1365" s="1"/>
      <c r="B1365" s="1"/>
      <c r="C1365" s="1"/>
      <c r="D1365" s="1"/>
      <c r="E1365" s="1"/>
      <c r="F1365" s="1"/>
      <c r="G1365" s="1"/>
      <c r="H1365" s="1"/>
      <c r="I1365" s="1"/>
      <c r="J1365" s="1"/>
      <c r="K1365" s="1"/>
      <c r="L1365" s="1"/>
      <c r="M1365" s="1"/>
      <c r="N1365" s="1"/>
      <c r="O1365" s="1"/>
      <c r="P1365" s="1"/>
      <c r="Q1365" s="1"/>
    </row>
    <row r="1366" spans="1:17" x14ac:dyDescent="0.2">
      <c r="A1366" s="1"/>
      <c r="B1366" s="1"/>
      <c r="C1366" s="1"/>
      <c r="D1366" s="1"/>
      <c r="E1366" s="1"/>
      <c r="F1366" s="1"/>
      <c r="G1366" s="1"/>
      <c r="H1366" s="1"/>
      <c r="I1366" s="1"/>
      <c r="J1366" s="1"/>
      <c r="K1366" s="1"/>
      <c r="L1366" s="1"/>
      <c r="M1366" s="1"/>
      <c r="N1366" s="1"/>
      <c r="O1366" s="1"/>
      <c r="P1366" s="1"/>
      <c r="Q1366" s="1"/>
    </row>
    <row r="1367" spans="1:17" x14ac:dyDescent="0.2">
      <c r="A1367" s="1"/>
      <c r="B1367" s="1"/>
      <c r="C1367" s="1"/>
      <c r="D1367" s="1"/>
      <c r="E1367" s="1"/>
      <c r="F1367" s="1"/>
      <c r="G1367" s="1"/>
      <c r="H1367" s="1"/>
      <c r="I1367" s="1"/>
      <c r="J1367" s="1"/>
      <c r="K1367" s="1"/>
      <c r="L1367" s="1"/>
      <c r="M1367" s="1"/>
      <c r="N1367" s="1"/>
      <c r="O1367" s="1"/>
      <c r="P1367" s="1"/>
      <c r="Q1367" s="1"/>
    </row>
    <row r="1368" spans="1:17" x14ac:dyDescent="0.2">
      <c r="A1368" s="1"/>
      <c r="B1368" s="1"/>
      <c r="C1368" s="1"/>
      <c r="D1368" s="1"/>
      <c r="E1368" s="1"/>
      <c r="F1368" s="1"/>
      <c r="G1368" s="1"/>
      <c r="H1368" s="1"/>
      <c r="I1368" s="1"/>
      <c r="J1368" s="1"/>
      <c r="K1368" s="1"/>
      <c r="L1368" s="1"/>
      <c r="M1368" s="1"/>
      <c r="N1368" s="1"/>
      <c r="O1368" s="1"/>
      <c r="P1368" s="1"/>
      <c r="Q1368" s="1"/>
    </row>
    <row r="1369" spans="1:17" x14ac:dyDescent="0.2">
      <c r="A1369" s="1"/>
      <c r="B1369" s="1"/>
      <c r="C1369" s="1"/>
      <c r="D1369" s="1"/>
      <c r="E1369" s="1"/>
      <c r="F1369" s="1"/>
      <c r="G1369" s="1"/>
      <c r="H1369" s="1"/>
      <c r="I1369" s="1"/>
      <c r="J1369" s="1"/>
      <c r="K1369" s="1"/>
      <c r="L1369" s="1"/>
      <c r="M1369" s="1"/>
      <c r="N1369" s="1"/>
      <c r="O1369" s="1"/>
      <c r="P1369" s="1"/>
      <c r="Q1369" s="1"/>
    </row>
    <row r="1370" spans="1:17" x14ac:dyDescent="0.2">
      <c r="A1370" s="1"/>
      <c r="B1370" s="1"/>
      <c r="C1370" s="1"/>
      <c r="D1370" s="1"/>
      <c r="E1370" s="1"/>
      <c r="F1370" s="1"/>
      <c r="G1370" s="1"/>
      <c r="H1370" s="1"/>
      <c r="I1370" s="1"/>
      <c r="J1370" s="1"/>
      <c r="K1370" s="1"/>
      <c r="L1370" s="1"/>
      <c r="M1370" s="1"/>
      <c r="N1370" s="1"/>
      <c r="O1370" s="1"/>
      <c r="P1370" s="1"/>
      <c r="Q1370" s="1"/>
    </row>
    <row r="1371" spans="1:17" x14ac:dyDescent="0.2">
      <c r="A1371" s="1"/>
      <c r="B1371" s="1"/>
      <c r="C1371" s="1"/>
      <c r="D1371" s="1"/>
      <c r="E1371" s="1"/>
      <c r="F1371" s="1"/>
      <c r="G1371" s="1"/>
      <c r="H1371" s="1"/>
      <c r="I1371" s="1"/>
      <c r="J1371" s="1"/>
      <c r="K1371" s="1"/>
      <c r="L1371" s="1"/>
      <c r="M1371" s="1"/>
      <c r="N1371" s="1"/>
      <c r="O1371" s="1"/>
      <c r="P1371" s="1"/>
      <c r="Q1371" s="1"/>
    </row>
    <row r="1372" spans="1:17" x14ac:dyDescent="0.2">
      <c r="A1372" s="1"/>
      <c r="B1372" s="1"/>
      <c r="C1372" s="1"/>
      <c r="D1372" s="1"/>
      <c r="E1372" s="1"/>
      <c r="F1372" s="1"/>
      <c r="G1372" s="1"/>
      <c r="H1372" s="1"/>
      <c r="I1372" s="1"/>
      <c r="J1372" s="1"/>
      <c r="K1372" s="1"/>
      <c r="L1372" s="1"/>
      <c r="M1372" s="1"/>
      <c r="N1372" s="1"/>
      <c r="O1372" s="1"/>
      <c r="P1372" s="1"/>
      <c r="Q1372" s="1"/>
    </row>
    <row r="1373" spans="1:17" x14ac:dyDescent="0.2">
      <c r="A1373" s="1"/>
      <c r="B1373" s="1"/>
      <c r="C1373" s="1"/>
      <c r="D1373" s="1"/>
      <c r="E1373" s="1"/>
      <c r="F1373" s="1"/>
      <c r="G1373" s="1"/>
      <c r="H1373" s="1"/>
      <c r="I1373" s="1"/>
      <c r="J1373" s="1"/>
      <c r="K1373" s="1"/>
      <c r="L1373" s="1"/>
      <c r="M1373" s="1"/>
      <c r="N1373" s="1"/>
      <c r="O1373" s="1"/>
      <c r="P1373" s="1"/>
      <c r="Q1373" s="1"/>
    </row>
    <row r="1374" spans="1:17" x14ac:dyDescent="0.2">
      <c r="A1374" s="1"/>
      <c r="B1374" s="1"/>
      <c r="C1374" s="1"/>
      <c r="D1374" s="1"/>
      <c r="E1374" s="1"/>
      <c r="F1374" s="1"/>
      <c r="G1374" s="1"/>
      <c r="H1374" s="1"/>
      <c r="I1374" s="1"/>
      <c r="J1374" s="1"/>
      <c r="K1374" s="1"/>
      <c r="L1374" s="1"/>
      <c r="M1374" s="1"/>
      <c r="N1374" s="1"/>
      <c r="O1374" s="1"/>
      <c r="P1374" s="1"/>
      <c r="Q1374" s="1"/>
    </row>
    <row r="1375" spans="1:17" x14ac:dyDescent="0.2">
      <c r="A1375" s="1"/>
      <c r="B1375" s="1"/>
      <c r="C1375" s="1"/>
      <c r="D1375" s="1"/>
      <c r="E1375" s="1"/>
      <c r="F1375" s="1"/>
      <c r="G1375" s="1"/>
      <c r="H1375" s="1"/>
      <c r="I1375" s="1"/>
      <c r="J1375" s="1"/>
      <c r="K1375" s="1"/>
      <c r="L1375" s="1"/>
      <c r="M1375" s="1"/>
      <c r="N1375" s="1"/>
      <c r="O1375" s="1"/>
      <c r="P1375" s="1"/>
      <c r="Q1375" s="1"/>
    </row>
    <row r="1376" spans="1:17" x14ac:dyDescent="0.2">
      <c r="A1376" s="1"/>
      <c r="B1376" s="1"/>
      <c r="C1376" s="1"/>
      <c r="D1376" s="1"/>
      <c r="E1376" s="1"/>
      <c r="F1376" s="1"/>
      <c r="G1376" s="1"/>
      <c r="H1376" s="1"/>
      <c r="I1376" s="1"/>
      <c r="J1376" s="1"/>
      <c r="K1376" s="1"/>
      <c r="L1376" s="1"/>
      <c r="M1376" s="1"/>
      <c r="N1376" s="1"/>
      <c r="O1376" s="1"/>
      <c r="P1376" s="1"/>
      <c r="Q1376" s="1"/>
    </row>
    <row r="1377" spans="1:17" x14ac:dyDescent="0.2">
      <c r="A1377" s="1"/>
      <c r="B1377" s="1"/>
      <c r="C1377" s="1"/>
      <c r="D1377" s="1"/>
      <c r="E1377" s="1"/>
      <c r="F1377" s="1"/>
      <c r="G1377" s="1"/>
      <c r="H1377" s="1"/>
      <c r="I1377" s="1"/>
      <c r="J1377" s="1"/>
      <c r="K1377" s="1"/>
      <c r="L1377" s="1"/>
      <c r="M1377" s="1"/>
      <c r="N1377" s="1"/>
      <c r="O1377" s="1"/>
      <c r="P1377" s="1"/>
      <c r="Q1377" s="1"/>
    </row>
    <row r="1378" spans="1:17" x14ac:dyDescent="0.2">
      <c r="A1378" s="1"/>
      <c r="B1378" s="1"/>
      <c r="C1378" s="1"/>
      <c r="D1378" s="1"/>
      <c r="E1378" s="1"/>
      <c r="F1378" s="1"/>
      <c r="G1378" s="1"/>
      <c r="H1378" s="1"/>
      <c r="I1378" s="1"/>
      <c r="J1378" s="1"/>
      <c r="K1378" s="1"/>
      <c r="L1378" s="1"/>
      <c r="M1378" s="1"/>
      <c r="N1378" s="1"/>
      <c r="O1378" s="1"/>
      <c r="P1378" s="1"/>
      <c r="Q1378" s="1"/>
    </row>
    <row r="1379" spans="1:17" x14ac:dyDescent="0.2">
      <c r="A1379" s="1"/>
      <c r="B1379" s="1"/>
      <c r="C1379" s="1"/>
      <c r="D1379" s="1"/>
      <c r="E1379" s="1"/>
      <c r="F1379" s="1"/>
      <c r="G1379" s="1"/>
      <c r="H1379" s="1"/>
      <c r="I1379" s="1"/>
      <c r="J1379" s="1"/>
      <c r="K1379" s="1"/>
      <c r="L1379" s="1"/>
      <c r="M1379" s="1"/>
      <c r="N1379" s="1"/>
      <c r="O1379" s="1"/>
      <c r="P1379" s="1"/>
      <c r="Q1379" s="1"/>
    </row>
    <row r="1380" spans="1:17" x14ac:dyDescent="0.2">
      <c r="A1380" s="1"/>
      <c r="B1380" s="1"/>
      <c r="C1380" s="1"/>
      <c r="D1380" s="1"/>
      <c r="E1380" s="1"/>
      <c r="F1380" s="1"/>
      <c r="G1380" s="1"/>
      <c r="H1380" s="1"/>
      <c r="I1380" s="1"/>
      <c r="J1380" s="1"/>
      <c r="K1380" s="1"/>
      <c r="L1380" s="1"/>
      <c r="M1380" s="1"/>
      <c r="N1380" s="1"/>
      <c r="O1380" s="1"/>
      <c r="P1380" s="1"/>
      <c r="Q1380" s="1"/>
    </row>
    <row r="1381" spans="1:17" x14ac:dyDescent="0.2">
      <c r="A1381" s="1"/>
      <c r="B1381" s="1"/>
      <c r="C1381" s="1"/>
      <c r="D1381" s="1"/>
      <c r="E1381" s="1"/>
      <c r="F1381" s="1"/>
      <c r="G1381" s="1"/>
      <c r="H1381" s="1"/>
      <c r="I1381" s="1"/>
      <c r="J1381" s="1"/>
      <c r="K1381" s="1"/>
      <c r="L1381" s="1"/>
      <c r="M1381" s="1"/>
      <c r="N1381" s="1"/>
      <c r="O1381" s="1"/>
      <c r="P1381" s="1"/>
      <c r="Q1381" s="1"/>
    </row>
    <row r="1382" spans="1:17" x14ac:dyDescent="0.2">
      <c r="A1382" s="1"/>
      <c r="B1382" s="1"/>
      <c r="C1382" s="1"/>
      <c r="D1382" s="1"/>
      <c r="E1382" s="1"/>
      <c r="F1382" s="1"/>
      <c r="G1382" s="1"/>
      <c r="H1382" s="1"/>
      <c r="I1382" s="1"/>
      <c r="J1382" s="1"/>
      <c r="K1382" s="1"/>
      <c r="L1382" s="1"/>
      <c r="M1382" s="1"/>
      <c r="N1382" s="1"/>
      <c r="O1382" s="1"/>
      <c r="P1382" s="1"/>
      <c r="Q1382" s="1"/>
    </row>
    <row r="1383" spans="1:17" x14ac:dyDescent="0.2">
      <c r="A1383" s="1"/>
      <c r="B1383" s="1"/>
      <c r="C1383" s="1"/>
      <c r="D1383" s="1"/>
      <c r="E1383" s="1"/>
      <c r="F1383" s="1"/>
      <c r="G1383" s="1"/>
      <c r="H1383" s="1"/>
      <c r="I1383" s="1"/>
      <c r="J1383" s="1"/>
      <c r="K1383" s="1"/>
      <c r="L1383" s="1"/>
      <c r="M1383" s="1"/>
      <c r="N1383" s="1"/>
      <c r="O1383" s="1"/>
      <c r="P1383" s="1"/>
      <c r="Q1383" s="1"/>
    </row>
    <row r="1384" spans="1:17" x14ac:dyDescent="0.2">
      <c r="A1384" s="1"/>
      <c r="B1384" s="1"/>
      <c r="C1384" s="1"/>
      <c r="D1384" s="1"/>
      <c r="E1384" s="1"/>
      <c r="F1384" s="1"/>
      <c r="G1384" s="1"/>
      <c r="H1384" s="1"/>
      <c r="I1384" s="1"/>
      <c r="J1384" s="1"/>
      <c r="K1384" s="1"/>
      <c r="L1384" s="1"/>
      <c r="M1384" s="1"/>
      <c r="N1384" s="1"/>
      <c r="O1384" s="1"/>
      <c r="P1384" s="1"/>
      <c r="Q1384" s="1"/>
    </row>
    <row r="1385" spans="1:17" x14ac:dyDescent="0.2">
      <c r="A1385" s="1"/>
      <c r="B1385" s="1"/>
      <c r="C1385" s="1"/>
      <c r="D1385" s="1"/>
      <c r="E1385" s="1"/>
      <c r="F1385" s="1"/>
      <c r="G1385" s="1"/>
      <c r="H1385" s="1"/>
      <c r="I1385" s="1"/>
      <c r="J1385" s="1"/>
      <c r="K1385" s="1"/>
      <c r="L1385" s="1"/>
      <c r="M1385" s="1"/>
      <c r="N1385" s="1"/>
      <c r="O1385" s="1"/>
      <c r="P1385" s="1"/>
      <c r="Q1385" s="1"/>
    </row>
    <row r="1386" spans="1:17" x14ac:dyDescent="0.2">
      <c r="A1386" s="1"/>
      <c r="B1386" s="1"/>
      <c r="C1386" s="1"/>
      <c r="D1386" s="1"/>
      <c r="E1386" s="1"/>
      <c r="F1386" s="1"/>
      <c r="G1386" s="1"/>
      <c r="H1386" s="1"/>
      <c r="I1386" s="1"/>
      <c r="J1386" s="1"/>
      <c r="K1386" s="1"/>
      <c r="L1386" s="1"/>
      <c r="M1386" s="1"/>
      <c r="N1386" s="1"/>
      <c r="O1386" s="1"/>
      <c r="P1386" s="1"/>
      <c r="Q1386" s="1"/>
    </row>
    <row r="1387" spans="1:17" x14ac:dyDescent="0.2">
      <c r="A1387" s="1"/>
      <c r="B1387" s="1"/>
      <c r="C1387" s="1"/>
      <c r="D1387" s="1"/>
      <c r="E1387" s="1"/>
      <c r="F1387" s="1"/>
      <c r="G1387" s="1"/>
      <c r="H1387" s="1"/>
      <c r="I1387" s="1"/>
      <c r="J1387" s="1"/>
      <c r="K1387" s="1"/>
      <c r="L1387" s="1"/>
      <c r="M1387" s="1"/>
      <c r="N1387" s="1"/>
      <c r="O1387" s="1"/>
      <c r="P1387" s="1"/>
      <c r="Q1387" s="1"/>
    </row>
    <row r="1388" spans="1:17" x14ac:dyDescent="0.2">
      <c r="A1388" s="1"/>
      <c r="B1388" s="1"/>
      <c r="C1388" s="1"/>
      <c r="D1388" s="1"/>
      <c r="E1388" s="1"/>
      <c r="F1388" s="1"/>
      <c r="G1388" s="1"/>
      <c r="H1388" s="1"/>
      <c r="I1388" s="1"/>
      <c r="J1388" s="1"/>
      <c r="K1388" s="1"/>
      <c r="L1388" s="1"/>
      <c r="M1388" s="1"/>
      <c r="N1388" s="1"/>
      <c r="O1388" s="1"/>
      <c r="P1388" s="1"/>
      <c r="Q1388" s="1"/>
    </row>
    <row r="1389" spans="1:17" x14ac:dyDescent="0.2">
      <c r="A1389" s="1"/>
      <c r="B1389" s="1"/>
      <c r="C1389" s="1"/>
      <c r="D1389" s="1"/>
      <c r="E1389" s="1"/>
      <c r="F1389" s="1"/>
      <c r="G1389" s="1"/>
      <c r="H1389" s="1"/>
      <c r="I1389" s="1"/>
      <c r="J1389" s="1"/>
      <c r="K1389" s="1"/>
      <c r="L1389" s="1"/>
      <c r="M1389" s="1"/>
      <c r="N1389" s="1"/>
      <c r="O1389" s="1"/>
      <c r="P1389" s="1"/>
      <c r="Q1389" s="1"/>
    </row>
    <row r="1390" spans="1:17" x14ac:dyDescent="0.2">
      <c r="A1390" s="1"/>
      <c r="B1390" s="1"/>
      <c r="C1390" s="1"/>
      <c r="D1390" s="1"/>
      <c r="E1390" s="1"/>
      <c r="F1390" s="1"/>
      <c r="G1390" s="1"/>
      <c r="H1390" s="1"/>
      <c r="I1390" s="1"/>
      <c r="J1390" s="1"/>
      <c r="K1390" s="1"/>
      <c r="L1390" s="1"/>
      <c r="M1390" s="1"/>
      <c r="N1390" s="1"/>
      <c r="O1390" s="1"/>
      <c r="P1390" s="1"/>
      <c r="Q1390" s="1"/>
    </row>
    <row r="1391" spans="1:17" x14ac:dyDescent="0.2">
      <c r="A1391" s="1"/>
      <c r="B1391" s="1"/>
      <c r="C1391" s="1"/>
      <c r="D1391" s="1"/>
      <c r="E1391" s="1"/>
      <c r="F1391" s="1"/>
      <c r="G1391" s="1"/>
      <c r="H1391" s="1"/>
      <c r="I1391" s="1"/>
      <c r="J1391" s="1"/>
      <c r="K1391" s="1"/>
      <c r="L1391" s="1"/>
      <c r="M1391" s="1"/>
      <c r="N1391" s="1"/>
      <c r="O1391" s="1"/>
      <c r="P1391" s="1"/>
      <c r="Q1391" s="1"/>
    </row>
    <row r="1392" spans="1:17" x14ac:dyDescent="0.2">
      <c r="A1392" s="1"/>
      <c r="B1392" s="1"/>
      <c r="C1392" s="1"/>
      <c r="D1392" s="1"/>
      <c r="E1392" s="1"/>
      <c r="F1392" s="1"/>
      <c r="G1392" s="1"/>
      <c r="H1392" s="1"/>
      <c r="I1392" s="1"/>
      <c r="J1392" s="1"/>
      <c r="K1392" s="1"/>
      <c r="L1392" s="1"/>
      <c r="M1392" s="1"/>
      <c r="N1392" s="1"/>
      <c r="O1392" s="1"/>
      <c r="P1392" s="1"/>
      <c r="Q1392" s="1"/>
    </row>
    <row r="1393" spans="1:17" x14ac:dyDescent="0.2">
      <c r="A1393" s="1"/>
      <c r="B1393" s="1"/>
      <c r="C1393" s="1"/>
      <c r="D1393" s="1"/>
      <c r="E1393" s="1"/>
      <c r="F1393" s="1"/>
      <c r="G1393" s="1"/>
      <c r="H1393" s="1"/>
      <c r="I1393" s="1"/>
      <c r="J1393" s="1"/>
      <c r="K1393" s="1"/>
      <c r="L1393" s="1"/>
      <c r="M1393" s="1"/>
      <c r="N1393" s="1"/>
      <c r="O1393" s="1"/>
      <c r="P1393" s="1"/>
      <c r="Q1393" s="1"/>
    </row>
    <row r="1394" spans="1:17" x14ac:dyDescent="0.2">
      <c r="A1394" s="1"/>
      <c r="B1394" s="1"/>
      <c r="C1394" s="1"/>
      <c r="D1394" s="1"/>
      <c r="E1394" s="1"/>
      <c r="F1394" s="1"/>
      <c r="G1394" s="1"/>
      <c r="H1394" s="1"/>
      <c r="I1394" s="1"/>
      <c r="J1394" s="1"/>
      <c r="K1394" s="1"/>
      <c r="L1394" s="1"/>
      <c r="M1394" s="1"/>
      <c r="N1394" s="1"/>
      <c r="O1394" s="1"/>
      <c r="P1394" s="1"/>
      <c r="Q1394" s="1"/>
    </row>
    <row r="1395" spans="1:17" x14ac:dyDescent="0.2">
      <c r="A1395" s="1"/>
      <c r="B1395" s="1"/>
      <c r="C1395" s="1"/>
      <c r="D1395" s="1"/>
      <c r="E1395" s="1"/>
      <c r="F1395" s="1"/>
      <c r="G1395" s="1"/>
      <c r="H1395" s="1"/>
      <c r="I1395" s="1"/>
      <c r="J1395" s="1"/>
      <c r="K1395" s="1"/>
      <c r="L1395" s="1"/>
      <c r="M1395" s="1"/>
      <c r="N1395" s="1"/>
      <c r="O1395" s="1"/>
      <c r="P1395" s="1"/>
      <c r="Q1395" s="1"/>
    </row>
    <row r="1396" spans="1:17" x14ac:dyDescent="0.2">
      <c r="A1396" s="1"/>
      <c r="B1396" s="1"/>
      <c r="C1396" s="1"/>
      <c r="D1396" s="1"/>
      <c r="E1396" s="1"/>
      <c r="F1396" s="1"/>
      <c r="G1396" s="1"/>
      <c r="H1396" s="1"/>
      <c r="I1396" s="1"/>
      <c r="J1396" s="1"/>
      <c r="K1396" s="1"/>
      <c r="L1396" s="1"/>
      <c r="M1396" s="1"/>
      <c r="N1396" s="1"/>
      <c r="O1396" s="1"/>
      <c r="P1396" s="1"/>
      <c r="Q1396" s="1"/>
    </row>
    <row r="1397" spans="1:17" x14ac:dyDescent="0.2">
      <c r="A1397" s="1"/>
      <c r="B1397" s="1"/>
      <c r="C1397" s="1"/>
      <c r="D1397" s="1"/>
      <c r="E1397" s="1"/>
      <c r="F1397" s="1"/>
      <c r="G1397" s="1"/>
      <c r="H1397" s="1"/>
      <c r="I1397" s="1"/>
      <c r="J1397" s="1"/>
      <c r="K1397" s="1"/>
      <c r="L1397" s="1"/>
      <c r="M1397" s="1"/>
      <c r="N1397" s="1"/>
      <c r="O1397" s="1"/>
      <c r="P1397" s="1"/>
      <c r="Q1397" s="1"/>
    </row>
    <row r="1398" spans="1:17" x14ac:dyDescent="0.2">
      <c r="A1398" s="1"/>
      <c r="B1398" s="1"/>
      <c r="C1398" s="1"/>
      <c r="D1398" s="1"/>
      <c r="E1398" s="1"/>
      <c r="F1398" s="1"/>
      <c r="G1398" s="1"/>
      <c r="H1398" s="1"/>
      <c r="I1398" s="1"/>
      <c r="J1398" s="1"/>
      <c r="K1398" s="1"/>
      <c r="L1398" s="1"/>
      <c r="M1398" s="1"/>
      <c r="N1398" s="1"/>
      <c r="O1398" s="1"/>
      <c r="P1398" s="1"/>
      <c r="Q1398" s="1"/>
    </row>
    <row r="1399" spans="1:17" x14ac:dyDescent="0.2">
      <c r="A1399" s="1"/>
      <c r="B1399" s="1"/>
      <c r="C1399" s="1"/>
      <c r="D1399" s="1"/>
      <c r="E1399" s="1"/>
      <c r="F1399" s="1"/>
      <c r="G1399" s="1"/>
      <c r="H1399" s="1"/>
      <c r="I1399" s="1"/>
      <c r="J1399" s="1"/>
      <c r="K1399" s="1"/>
      <c r="L1399" s="1"/>
      <c r="M1399" s="1"/>
      <c r="N1399" s="1"/>
      <c r="O1399" s="1"/>
      <c r="P1399" s="1"/>
      <c r="Q1399" s="1"/>
    </row>
    <row r="1400" spans="1:17" x14ac:dyDescent="0.2">
      <c r="A1400" s="1"/>
      <c r="B1400" s="1"/>
      <c r="C1400" s="1"/>
      <c r="D1400" s="1"/>
      <c r="E1400" s="1"/>
      <c r="F1400" s="1"/>
      <c r="G1400" s="1"/>
      <c r="H1400" s="1"/>
      <c r="I1400" s="1"/>
      <c r="J1400" s="1"/>
      <c r="K1400" s="1"/>
      <c r="L1400" s="1"/>
      <c r="M1400" s="1"/>
      <c r="N1400" s="1"/>
      <c r="O1400" s="1"/>
      <c r="P1400" s="1"/>
      <c r="Q1400" s="1"/>
    </row>
    <row r="1401" spans="1:17" x14ac:dyDescent="0.2">
      <c r="A1401" s="1"/>
      <c r="B1401" s="1"/>
      <c r="C1401" s="1"/>
      <c r="D1401" s="1"/>
      <c r="E1401" s="1"/>
      <c r="F1401" s="1"/>
      <c r="G1401" s="1"/>
      <c r="H1401" s="1"/>
      <c r="I1401" s="1"/>
      <c r="J1401" s="1"/>
      <c r="K1401" s="1"/>
      <c r="L1401" s="1"/>
      <c r="M1401" s="1"/>
      <c r="N1401" s="1"/>
      <c r="O1401" s="1"/>
      <c r="P1401" s="1"/>
      <c r="Q1401" s="1"/>
    </row>
    <row r="1402" spans="1:17" x14ac:dyDescent="0.2">
      <c r="A1402" s="1"/>
      <c r="B1402" s="1"/>
      <c r="C1402" s="1"/>
      <c r="D1402" s="1"/>
      <c r="E1402" s="1"/>
      <c r="F1402" s="1"/>
      <c r="G1402" s="1"/>
      <c r="H1402" s="1"/>
      <c r="I1402" s="1"/>
      <c r="J1402" s="1"/>
      <c r="K1402" s="1"/>
      <c r="L1402" s="1"/>
      <c r="M1402" s="1"/>
      <c r="N1402" s="1"/>
      <c r="O1402" s="1"/>
      <c r="P1402" s="1"/>
      <c r="Q1402" s="1"/>
    </row>
    <row r="1403" spans="1:17" x14ac:dyDescent="0.2">
      <c r="A1403" s="1"/>
      <c r="B1403" s="1"/>
      <c r="C1403" s="1"/>
      <c r="D1403" s="1"/>
      <c r="E1403" s="1"/>
      <c r="F1403" s="1"/>
      <c r="G1403" s="1"/>
      <c r="H1403" s="1"/>
      <c r="I1403" s="1"/>
      <c r="J1403" s="1"/>
      <c r="K1403" s="1"/>
      <c r="L1403" s="1"/>
      <c r="M1403" s="1"/>
      <c r="N1403" s="1"/>
      <c r="O1403" s="1"/>
      <c r="P1403" s="1"/>
      <c r="Q1403" s="1"/>
    </row>
    <row r="1404" spans="1:17" x14ac:dyDescent="0.2">
      <c r="A1404" s="1"/>
      <c r="B1404" s="1"/>
      <c r="C1404" s="1"/>
      <c r="D1404" s="1"/>
      <c r="E1404" s="1"/>
      <c r="F1404" s="1"/>
      <c r="G1404" s="1"/>
      <c r="H1404" s="1"/>
      <c r="I1404" s="1"/>
      <c r="J1404" s="1"/>
      <c r="K1404" s="1"/>
      <c r="L1404" s="1"/>
      <c r="M1404" s="1"/>
      <c r="N1404" s="1"/>
      <c r="O1404" s="1"/>
      <c r="P1404" s="1"/>
      <c r="Q1404" s="1"/>
    </row>
    <row r="1405" spans="1:17" x14ac:dyDescent="0.2">
      <c r="A1405" s="1"/>
      <c r="B1405" s="1"/>
      <c r="C1405" s="1"/>
      <c r="D1405" s="1"/>
      <c r="E1405" s="1"/>
      <c r="F1405" s="1"/>
      <c r="G1405" s="1"/>
      <c r="H1405" s="1"/>
      <c r="I1405" s="1"/>
      <c r="J1405" s="1"/>
      <c r="K1405" s="1"/>
      <c r="L1405" s="1"/>
      <c r="M1405" s="1"/>
      <c r="N1405" s="1"/>
      <c r="O1405" s="1"/>
      <c r="P1405" s="1"/>
      <c r="Q1405" s="1"/>
    </row>
    <row r="1406" spans="1:17" x14ac:dyDescent="0.2">
      <c r="A1406" s="1"/>
      <c r="B1406" s="1"/>
      <c r="C1406" s="1"/>
      <c r="D1406" s="1"/>
      <c r="E1406" s="1"/>
      <c r="F1406" s="1"/>
      <c r="G1406" s="1"/>
      <c r="H1406" s="1"/>
      <c r="I1406" s="1"/>
      <c r="J1406" s="1"/>
      <c r="K1406" s="1"/>
      <c r="L1406" s="1"/>
      <c r="M1406" s="1"/>
      <c r="N1406" s="1"/>
      <c r="O1406" s="1"/>
      <c r="P1406" s="1"/>
      <c r="Q1406" s="1"/>
    </row>
    <row r="1407" spans="1:17" x14ac:dyDescent="0.2">
      <c r="A1407" s="1"/>
      <c r="B1407" s="1"/>
      <c r="C1407" s="1"/>
      <c r="D1407" s="1"/>
      <c r="E1407" s="1"/>
      <c r="F1407" s="1"/>
      <c r="G1407" s="1"/>
      <c r="H1407" s="1"/>
      <c r="I1407" s="1"/>
      <c r="J1407" s="1"/>
      <c r="K1407" s="1"/>
      <c r="L1407" s="1"/>
      <c r="M1407" s="1"/>
      <c r="N1407" s="1"/>
      <c r="O1407" s="1"/>
      <c r="P1407" s="1"/>
      <c r="Q1407" s="1"/>
    </row>
    <row r="1408" spans="1:17" x14ac:dyDescent="0.2">
      <c r="A1408" s="1"/>
      <c r="B1408" s="1"/>
      <c r="C1408" s="1"/>
      <c r="D1408" s="1"/>
      <c r="E1408" s="1"/>
      <c r="F1408" s="1"/>
      <c r="G1408" s="1"/>
      <c r="H1408" s="1"/>
      <c r="I1408" s="1"/>
      <c r="J1408" s="1"/>
      <c r="K1408" s="1"/>
      <c r="L1408" s="1"/>
      <c r="M1408" s="1"/>
      <c r="N1408" s="1"/>
      <c r="O1408" s="1"/>
      <c r="P1408" s="1"/>
      <c r="Q1408" s="1"/>
    </row>
  </sheetData>
  <sortState xmlns:xlrd2="http://schemas.microsoft.com/office/spreadsheetml/2017/richdata2" ref="A2:R1408">
    <sortCondition descending="1" ref="R2:R1408"/>
  </sortState>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F927E-C04D-4C9B-8D8F-36C29007DA1F}">
  <dimension ref="A1:R505"/>
  <sheetViews>
    <sheetView topLeftCell="A7" workbookViewId="0">
      <selection activeCell="G23" sqref="G23"/>
    </sheetView>
  </sheetViews>
  <sheetFormatPr baseColWidth="10" defaultColWidth="8.83203125" defaultRowHeight="16" x14ac:dyDescent="0.2"/>
  <cols>
    <col min="1" max="1" width="8.5" customWidth="1"/>
  </cols>
  <sheetData>
    <row r="1" spans="1:18" ht="17" thickBot="1" x14ac:dyDescent="0.25">
      <c r="A1" s="50" t="s">
        <v>1479</v>
      </c>
      <c r="B1" s="51"/>
      <c r="C1" s="52"/>
    </row>
    <row r="2" spans="1:18" ht="17" thickBot="1" x14ac:dyDescent="0.25"/>
    <row r="3" spans="1:18" ht="17" thickBot="1" x14ac:dyDescent="0.25">
      <c r="A3" s="53" t="s">
        <v>5</v>
      </c>
      <c r="B3" s="54"/>
      <c r="G3" s="53" t="s">
        <v>9</v>
      </c>
      <c r="H3" s="54"/>
    </row>
    <row r="5" spans="1:18" x14ac:dyDescent="0.2">
      <c r="A5" s="42" t="s">
        <v>1480</v>
      </c>
      <c r="B5" s="37"/>
      <c r="C5" s="37"/>
      <c r="D5" s="37"/>
      <c r="E5" s="37"/>
      <c r="G5" s="43" t="s">
        <v>1481</v>
      </c>
      <c r="H5" s="44"/>
      <c r="I5" s="44"/>
      <c r="J5" s="44"/>
      <c r="K5" s="45"/>
      <c r="L5" s="1"/>
      <c r="M5" s="1"/>
      <c r="N5" s="1"/>
      <c r="O5" s="1"/>
      <c r="P5" s="1"/>
      <c r="Q5" s="1"/>
      <c r="R5" s="1"/>
    </row>
    <row r="6" spans="1:18" x14ac:dyDescent="0.2">
      <c r="A6" s="42"/>
      <c r="B6" s="37"/>
      <c r="C6" s="37"/>
      <c r="D6" s="37"/>
      <c r="E6" s="37"/>
      <c r="G6" s="47"/>
      <c r="H6" s="48"/>
      <c r="I6" s="48"/>
      <c r="J6" s="48"/>
      <c r="K6" s="49"/>
      <c r="L6" s="1"/>
      <c r="M6" s="1"/>
      <c r="N6" s="1"/>
      <c r="O6" s="1"/>
      <c r="P6" s="1"/>
      <c r="Q6" s="1"/>
    </row>
    <row r="7" spans="1:18" ht="17" thickBot="1" x14ac:dyDescent="0.25">
      <c r="L7" s="1"/>
      <c r="M7" s="1"/>
      <c r="N7" s="1"/>
      <c r="O7" s="1"/>
      <c r="P7" s="1"/>
      <c r="Q7" s="1"/>
    </row>
    <row r="8" spans="1:18" ht="17" thickBot="1" x14ac:dyDescent="0.25">
      <c r="A8" s="55" t="s">
        <v>1482</v>
      </c>
      <c r="B8" s="56"/>
      <c r="G8" s="57" t="s">
        <v>1483</v>
      </c>
      <c r="H8" s="58"/>
      <c r="L8" s="1"/>
      <c r="M8" s="1"/>
      <c r="N8" s="1"/>
      <c r="O8" s="1"/>
      <c r="P8" s="1"/>
      <c r="Q8" s="1"/>
    </row>
    <row r="9" spans="1:18" x14ac:dyDescent="0.2">
      <c r="A9" s="3" t="s">
        <v>1484</v>
      </c>
      <c r="B9" s="4">
        <v>32000</v>
      </c>
      <c r="C9" s="5"/>
      <c r="G9" s="3" t="s">
        <v>1485</v>
      </c>
      <c r="H9" s="4">
        <v>55000</v>
      </c>
      <c r="I9" s="5"/>
      <c r="L9" s="1"/>
      <c r="M9" s="1"/>
      <c r="N9" s="1"/>
      <c r="O9" s="1"/>
      <c r="P9" s="1"/>
      <c r="Q9" s="1"/>
    </row>
    <row r="10" spans="1:18" x14ac:dyDescent="0.2">
      <c r="A10" s="6" t="s">
        <v>1486</v>
      </c>
      <c r="B10">
        <v>32000</v>
      </c>
      <c r="C10" s="7"/>
      <c r="G10" s="6" t="s">
        <v>1487</v>
      </c>
      <c r="H10">
        <v>55000</v>
      </c>
      <c r="I10" s="7"/>
      <c r="L10" s="1"/>
      <c r="M10" s="1"/>
      <c r="N10" s="1"/>
      <c r="O10" s="1"/>
      <c r="P10" s="1"/>
      <c r="Q10" s="1"/>
    </row>
    <row r="11" spans="1:18" x14ac:dyDescent="0.2">
      <c r="A11" s="6"/>
      <c r="C11" s="7"/>
      <c r="G11" s="6"/>
      <c r="I11" s="7"/>
      <c r="L11" s="1"/>
      <c r="M11" s="1"/>
      <c r="N11" s="1"/>
      <c r="O11" s="1"/>
      <c r="P11" s="1"/>
      <c r="Q11" s="1"/>
    </row>
    <row r="12" spans="1:18" x14ac:dyDescent="0.2">
      <c r="A12" s="6" t="s">
        <v>1488</v>
      </c>
      <c r="B12">
        <f>AVERAGE('Sample Data'!F4:F503)</f>
        <v>35248.584000000003</v>
      </c>
      <c r="C12" s="7"/>
      <c r="G12" s="6" t="s">
        <v>1488</v>
      </c>
      <c r="H12">
        <f>AVERAGE('Sample Data'!J4:J503)</f>
        <v>58873.993999999999</v>
      </c>
      <c r="I12" s="7"/>
      <c r="L12" s="1"/>
      <c r="M12" s="1"/>
      <c r="N12" s="1"/>
      <c r="O12" s="1"/>
      <c r="P12" s="1"/>
      <c r="Q12" s="1"/>
    </row>
    <row r="13" spans="1:18" x14ac:dyDescent="0.2">
      <c r="A13" s="6" t="s">
        <v>1489</v>
      </c>
      <c r="B13">
        <f>_xlfn.STDEV.S('Sample Data'!F4:F503)</f>
        <v>15890.644051380657</v>
      </c>
      <c r="C13" s="7"/>
      <c r="G13" s="6" t="s">
        <v>1489</v>
      </c>
      <c r="H13">
        <f>_xlfn.STDEV.S('Sample Data'!F4:F503)</f>
        <v>15890.644051380657</v>
      </c>
      <c r="I13" s="7"/>
      <c r="L13" s="1"/>
      <c r="M13" s="1"/>
      <c r="N13" s="1"/>
      <c r="O13" s="1"/>
      <c r="P13" s="1"/>
      <c r="Q13" s="1"/>
    </row>
    <row r="14" spans="1:18" x14ac:dyDescent="0.2">
      <c r="A14" s="6" t="s">
        <v>1490</v>
      </c>
      <c r="B14">
        <v>500</v>
      </c>
      <c r="C14" s="7"/>
      <c r="G14" s="6" t="s">
        <v>1490</v>
      </c>
      <c r="H14">
        <v>500</v>
      </c>
      <c r="I14" s="7"/>
      <c r="L14" s="1"/>
      <c r="M14" s="1"/>
      <c r="N14" s="1"/>
      <c r="O14" s="1"/>
      <c r="P14" s="1"/>
      <c r="Q14" s="1"/>
    </row>
    <row r="15" spans="1:18" x14ac:dyDescent="0.2">
      <c r="A15" s="6" t="s">
        <v>1491</v>
      </c>
      <c r="B15">
        <v>0.05</v>
      </c>
      <c r="C15" s="7"/>
      <c r="G15" s="6" t="s">
        <v>1491</v>
      </c>
      <c r="H15">
        <v>0.05</v>
      </c>
      <c r="I15" s="7"/>
      <c r="L15" s="1"/>
      <c r="M15" s="1"/>
      <c r="N15" s="1"/>
      <c r="O15" s="1"/>
      <c r="P15" s="1"/>
      <c r="Q15" s="1"/>
    </row>
    <row r="16" spans="1:18" x14ac:dyDescent="0.2">
      <c r="A16" s="6"/>
      <c r="C16" s="7"/>
      <c r="G16" s="6"/>
      <c r="I16" s="7"/>
      <c r="L16" s="1"/>
      <c r="M16" s="1"/>
      <c r="N16" s="1"/>
      <c r="O16" s="1"/>
      <c r="P16" s="1"/>
      <c r="Q16" s="1"/>
    </row>
    <row r="17" spans="1:17" x14ac:dyDescent="0.2">
      <c r="A17" s="6" t="s">
        <v>1492</v>
      </c>
      <c r="B17">
        <f>STANDARDIZE(B12,B9,B13/SQRT(B14))</f>
        <v>4.5712776846115597</v>
      </c>
      <c r="C17" s="7"/>
      <c r="G17" s="6" t="s">
        <v>1492</v>
      </c>
      <c r="H17">
        <f>STANDARDIZE(H9,H12,H13/SQRT(H14))</f>
        <v>-5.4513296631760344</v>
      </c>
      <c r="I17" s="7"/>
      <c r="L17" s="1"/>
      <c r="M17" s="1"/>
      <c r="N17" s="1"/>
      <c r="O17" s="1"/>
      <c r="P17" s="1"/>
      <c r="Q17" s="1"/>
    </row>
    <row r="18" spans="1:17" ht="17" thickBot="1" x14ac:dyDescent="0.25">
      <c r="A18" s="8" t="s">
        <v>1493</v>
      </c>
      <c r="B18" s="9">
        <f>1 - _xlfn.T.DIST(B17,B14-1,TRUE)</f>
        <v>3.059758157397674E-6</v>
      </c>
      <c r="C18" s="10" t="s">
        <v>1494</v>
      </c>
      <c r="G18" s="8" t="s">
        <v>1493</v>
      </c>
      <c r="H18" s="9">
        <f>2 * MIN(_xlfn.T.DIST(H17,H14-1,TRUE), 1-_xlfn.T.DIST(H17,H14-1,TRUE))</f>
        <v>7.8733018860529723E-8</v>
      </c>
      <c r="I18" s="10" t="s">
        <v>1495</v>
      </c>
      <c r="L18" s="1"/>
      <c r="M18" s="1"/>
      <c r="N18" s="1"/>
      <c r="O18" s="1"/>
      <c r="P18" s="1"/>
      <c r="Q18" s="1"/>
    </row>
    <row r="19" spans="1:17" x14ac:dyDescent="0.2">
      <c r="L19" s="1"/>
      <c r="M19" s="1"/>
      <c r="N19" s="1"/>
      <c r="O19" s="1"/>
      <c r="P19" s="1"/>
      <c r="Q19" s="1"/>
    </row>
    <row r="20" spans="1:17" x14ac:dyDescent="0.2">
      <c r="A20" s="43" t="s">
        <v>1496</v>
      </c>
      <c r="B20" s="44"/>
      <c r="C20" s="44"/>
      <c r="D20" s="44"/>
      <c r="E20" s="45"/>
      <c r="G20" s="41" t="s">
        <v>1497</v>
      </c>
      <c r="H20" s="41"/>
      <c r="I20" s="41"/>
      <c r="J20" s="41"/>
      <c r="K20" s="41"/>
      <c r="L20" s="1"/>
      <c r="M20" s="1"/>
      <c r="N20" s="1"/>
      <c r="O20" s="1"/>
      <c r="P20" s="1"/>
      <c r="Q20" s="1"/>
    </row>
    <row r="21" spans="1:17" x14ac:dyDescent="0.2">
      <c r="A21" s="42"/>
      <c r="B21" s="37"/>
      <c r="C21" s="37"/>
      <c r="D21" s="37"/>
      <c r="E21" s="46"/>
      <c r="G21" s="41"/>
      <c r="H21" s="41"/>
      <c r="I21" s="41"/>
      <c r="J21" s="41"/>
      <c r="K21" s="41"/>
      <c r="L21" s="1"/>
      <c r="M21" s="1"/>
      <c r="N21" s="1"/>
      <c r="O21" s="1"/>
      <c r="P21" s="1"/>
      <c r="Q21" s="1"/>
    </row>
    <row r="22" spans="1:17" x14ac:dyDescent="0.2">
      <c r="A22" s="47"/>
      <c r="B22" s="48"/>
      <c r="C22" s="48"/>
      <c r="D22" s="48"/>
      <c r="E22" s="49"/>
      <c r="G22" s="41"/>
      <c r="H22" s="41"/>
      <c r="I22" s="41"/>
      <c r="J22" s="41"/>
      <c r="K22" s="41"/>
      <c r="L22" s="1"/>
      <c r="M22" s="1"/>
      <c r="N22" s="1"/>
      <c r="O22" s="1"/>
      <c r="P22" s="1"/>
      <c r="Q22" s="1"/>
    </row>
    <row r="23" spans="1:17" x14ac:dyDescent="0.2">
      <c r="K23" s="1"/>
      <c r="L23" s="1"/>
      <c r="M23" s="1"/>
      <c r="N23" s="1"/>
      <c r="O23" s="1"/>
      <c r="P23" s="1"/>
      <c r="Q23" s="1"/>
    </row>
    <row r="24" spans="1:17" x14ac:dyDescent="0.2">
      <c r="A24" s="1"/>
      <c r="B24" s="1"/>
      <c r="C24" s="1"/>
      <c r="D24" s="1"/>
      <c r="E24" s="1"/>
      <c r="F24" s="1"/>
      <c r="G24" s="1"/>
      <c r="H24" s="1"/>
      <c r="I24" s="1"/>
      <c r="J24" s="1"/>
      <c r="K24" s="1"/>
      <c r="L24" s="1"/>
      <c r="M24" s="1"/>
      <c r="N24" s="1"/>
      <c r="O24" s="1"/>
      <c r="P24" s="1"/>
      <c r="Q24" s="1"/>
    </row>
    <row r="25" spans="1:17" x14ac:dyDescent="0.2">
      <c r="A25" s="1"/>
      <c r="B25" s="1"/>
      <c r="C25" s="1"/>
      <c r="D25" s="1"/>
      <c r="E25" s="1"/>
      <c r="F25" s="1"/>
      <c r="G25" s="1"/>
      <c r="H25" s="1"/>
      <c r="I25" s="1"/>
      <c r="J25" s="1"/>
      <c r="K25" s="1"/>
      <c r="L25" s="1"/>
      <c r="M25" s="1"/>
      <c r="N25" s="1"/>
      <c r="O25" s="1"/>
      <c r="P25" s="1"/>
      <c r="Q25" s="1"/>
    </row>
    <row r="26" spans="1:17" x14ac:dyDescent="0.2">
      <c r="A26" s="1"/>
      <c r="B26" s="1"/>
      <c r="C26" s="1"/>
      <c r="D26" s="1"/>
      <c r="E26" s="1"/>
      <c r="F26" s="1"/>
      <c r="G26" s="1"/>
      <c r="H26" s="1"/>
      <c r="I26" s="1"/>
      <c r="J26" s="1"/>
      <c r="K26" s="1"/>
      <c r="L26" s="1"/>
      <c r="M26" s="1"/>
      <c r="N26" s="1"/>
      <c r="O26" s="1"/>
      <c r="P26" s="1"/>
      <c r="Q26" s="1"/>
    </row>
    <row r="27" spans="1:17" x14ac:dyDescent="0.2">
      <c r="A27" s="1"/>
      <c r="B27" s="1"/>
      <c r="C27" s="1"/>
      <c r="D27" s="1"/>
      <c r="E27" s="1"/>
      <c r="F27" s="1"/>
      <c r="G27" s="1"/>
      <c r="H27" s="1"/>
      <c r="I27" s="1"/>
      <c r="J27" s="1"/>
      <c r="K27" s="1"/>
      <c r="L27" s="1"/>
      <c r="M27" s="1"/>
      <c r="N27" s="1"/>
      <c r="O27" s="1"/>
      <c r="P27" s="1"/>
      <c r="Q27" s="1"/>
    </row>
    <row r="28" spans="1:17" x14ac:dyDescent="0.2">
      <c r="A28" s="1"/>
      <c r="B28" s="1"/>
      <c r="C28" s="1"/>
      <c r="D28" s="1"/>
      <c r="E28" s="1"/>
      <c r="F28" s="1"/>
      <c r="G28" s="1"/>
      <c r="H28" s="1"/>
      <c r="I28" s="1"/>
      <c r="J28" s="1"/>
      <c r="K28" s="1"/>
      <c r="L28" s="1"/>
      <c r="M28" s="1"/>
      <c r="N28" s="1"/>
      <c r="O28" s="1"/>
      <c r="P28" s="1"/>
      <c r="Q28" s="1"/>
    </row>
    <row r="29" spans="1:17" x14ac:dyDescent="0.2">
      <c r="A29" s="1"/>
      <c r="B29" s="1"/>
      <c r="C29" s="1"/>
      <c r="D29" s="1"/>
      <c r="E29" s="1"/>
      <c r="F29" s="1"/>
      <c r="G29" s="1"/>
      <c r="H29" s="1"/>
      <c r="I29" s="1"/>
      <c r="J29" s="1"/>
      <c r="K29" s="1"/>
      <c r="L29" s="1"/>
      <c r="M29" s="1"/>
      <c r="N29" s="1"/>
      <c r="O29" s="1"/>
      <c r="P29" s="1"/>
      <c r="Q29" s="1"/>
    </row>
    <row r="30" spans="1:17" x14ac:dyDescent="0.2">
      <c r="A30" s="1"/>
      <c r="B30" s="1"/>
      <c r="C30" s="1"/>
      <c r="D30" s="1"/>
      <c r="E30" s="1"/>
      <c r="F30" s="1"/>
      <c r="G30" s="1"/>
      <c r="H30" s="1"/>
      <c r="I30" s="1"/>
      <c r="J30" s="1"/>
      <c r="K30" s="1"/>
      <c r="L30" s="1"/>
      <c r="M30" s="1"/>
      <c r="N30" s="1"/>
      <c r="O30" s="1"/>
      <c r="P30" s="1"/>
      <c r="Q30" s="1"/>
    </row>
    <row r="31" spans="1:17" x14ac:dyDescent="0.2">
      <c r="A31" s="1"/>
      <c r="B31" s="1"/>
      <c r="C31" s="1"/>
      <c r="D31" s="1"/>
      <c r="E31" s="1"/>
      <c r="F31" s="1"/>
      <c r="G31" s="1"/>
      <c r="H31" s="1"/>
      <c r="I31" s="1"/>
      <c r="J31" s="1"/>
      <c r="K31" s="1"/>
      <c r="L31" s="1"/>
      <c r="M31" s="1"/>
      <c r="N31" s="1"/>
      <c r="O31" s="1"/>
      <c r="P31" s="1"/>
      <c r="Q31" s="1"/>
    </row>
    <row r="32" spans="1:17" x14ac:dyDescent="0.2">
      <c r="A32" s="1"/>
      <c r="B32" s="1"/>
      <c r="C32" s="1"/>
      <c r="D32" s="1"/>
      <c r="E32" s="1"/>
      <c r="F32" s="1"/>
      <c r="G32" s="1"/>
      <c r="H32" s="1"/>
      <c r="I32" s="1"/>
      <c r="J32" s="1"/>
      <c r="K32" s="1"/>
      <c r="L32" s="1"/>
      <c r="M32" s="1"/>
      <c r="N32" s="1"/>
      <c r="O32" s="1"/>
      <c r="P32" s="1"/>
      <c r="Q32" s="1"/>
    </row>
    <row r="33" spans="1:17" x14ac:dyDescent="0.2">
      <c r="A33" s="1"/>
      <c r="B33" s="1"/>
      <c r="C33" s="1"/>
      <c r="D33" s="1"/>
      <c r="E33" s="1"/>
      <c r="F33" s="1"/>
      <c r="G33" s="1"/>
      <c r="H33" s="1"/>
      <c r="I33" s="1"/>
      <c r="J33" s="1"/>
      <c r="K33" s="1"/>
      <c r="L33" s="1"/>
      <c r="M33" s="1"/>
      <c r="N33" s="1"/>
      <c r="O33" s="1"/>
      <c r="P33" s="1"/>
      <c r="Q33" s="1"/>
    </row>
    <row r="34" spans="1:17" x14ac:dyDescent="0.2">
      <c r="A34" s="1"/>
      <c r="B34" s="1"/>
      <c r="C34" s="1"/>
      <c r="D34" s="1"/>
      <c r="E34" s="1"/>
      <c r="F34" s="1"/>
      <c r="G34" s="1"/>
      <c r="H34" s="1"/>
      <c r="I34" s="1"/>
      <c r="J34" s="1"/>
      <c r="K34" s="1"/>
      <c r="L34" s="1"/>
      <c r="M34" s="1"/>
      <c r="N34" s="1"/>
      <c r="O34" s="1"/>
      <c r="P34" s="1"/>
      <c r="Q34" s="1"/>
    </row>
    <row r="35" spans="1:17" x14ac:dyDescent="0.2">
      <c r="A35" s="1"/>
      <c r="B35" s="1"/>
      <c r="C35" s="1"/>
      <c r="D35" s="1"/>
      <c r="E35" s="1"/>
      <c r="F35" s="1"/>
      <c r="G35" s="1"/>
      <c r="H35" s="1"/>
      <c r="I35" s="1"/>
      <c r="J35" s="1"/>
      <c r="K35" s="1"/>
      <c r="L35" s="1"/>
      <c r="M35" s="1"/>
      <c r="N35" s="1"/>
      <c r="O35" s="1"/>
      <c r="P35" s="1"/>
      <c r="Q35" s="1"/>
    </row>
    <row r="36" spans="1:17" x14ac:dyDescent="0.2">
      <c r="A36" s="1"/>
      <c r="B36" s="1"/>
      <c r="C36" s="1"/>
      <c r="D36" s="1"/>
      <c r="E36" s="1"/>
      <c r="F36" s="1"/>
      <c r="G36" s="1"/>
      <c r="H36" s="1"/>
      <c r="I36" s="1"/>
      <c r="J36" s="1"/>
      <c r="K36" s="1"/>
      <c r="L36" s="1"/>
      <c r="M36" s="1"/>
      <c r="N36" s="1"/>
      <c r="O36" s="1"/>
      <c r="P36" s="1"/>
      <c r="Q36" s="1"/>
    </row>
    <row r="37" spans="1:17" x14ac:dyDescent="0.2">
      <c r="A37" s="1"/>
      <c r="B37" s="1"/>
      <c r="C37" s="1"/>
      <c r="D37" s="1"/>
      <c r="E37" s="1"/>
      <c r="F37" s="1"/>
      <c r="G37" s="1"/>
      <c r="H37" s="1"/>
      <c r="I37" s="1"/>
      <c r="J37" s="1"/>
      <c r="K37" s="1"/>
      <c r="L37" s="1"/>
      <c r="M37" s="1"/>
      <c r="N37" s="1"/>
      <c r="O37" s="1"/>
      <c r="P37" s="1"/>
      <c r="Q37" s="1"/>
    </row>
    <row r="38" spans="1:17" x14ac:dyDescent="0.2">
      <c r="A38" s="1"/>
      <c r="B38" s="1"/>
      <c r="C38" s="1"/>
      <c r="D38" s="1"/>
      <c r="E38" s="1"/>
      <c r="F38" s="1"/>
      <c r="G38" s="1"/>
      <c r="H38" s="1"/>
      <c r="I38" s="1"/>
      <c r="J38" s="1"/>
      <c r="K38" s="1"/>
      <c r="L38" s="1"/>
      <c r="M38" s="1"/>
      <c r="N38" s="1"/>
      <c r="O38" s="1"/>
      <c r="P38" s="1"/>
      <c r="Q38" s="1"/>
    </row>
    <row r="39" spans="1:17" x14ac:dyDescent="0.2">
      <c r="A39" s="1"/>
      <c r="B39" s="1"/>
      <c r="C39" s="1"/>
      <c r="D39" s="1"/>
      <c r="E39" s="1"/>
      <c r="F39" s="1"/>
      <c r="G39" s="1"/>
      <c r="H39" s="1"/>
      <c r="I39" s="1"/>
      <c r="J39" s="1"/>
      <c r="K39" s="1"/>
      <c r="L39" s="1"/>
      <c r="M39" s="1"/>
      <c r="N39" s="1"/>
      <c r="O39" s="1"/>
      <c r="P39" s="1"/>
      <c r="Q39" s="1"/>
    </row>
    <row r="40" spans="1:17" x14ac:dyDescent="0.2">
      <c r="A40" s="1"/>
      <c r="B40" s="1"/>
      <c r="C40" s="1"/>
      <c r="D40" s="1"/>
      <c r="E40" s="1"/>
      <c r="F40" s="1"/>
      <c r="G40" s="1"/>
      <c r="H40" s="1"/>
      <c r="I40" s="1"/>
      <c r="J40" s="1"/>
      <c r="K40" s="1"/>
      <c r="L40" s="1"/>
      <c r="M40" s="1"/>
      <c r="N40" s="1"/>
      <c r="O40" s="1"/>
      <c r="P40" s="1"/>
      <c r="Q40" s="1"/>
    </row>
    <row r="41" spans="1:17" x14ac:dyDescent="0.2">
      <c r="A41" s="1"/>
      <c r="B41" s="1"/>
      <c r="C41" s="1"/>
      <c r="D41" s="1"/>
      <c r="E41" s="1"/>
      <c r="F41" s="1"/>
      <c r="G41" s="1"/>
      <c r="H41" s="1"/>
      <c r="I41" s="1"/>
      <c r="J41" s="1"/>
      <c r="K41" s="1"/>
      <c r="L41" s="1"/>
      <c r="M41" s="1"/>
      <c r="N41" s="1"/>
      <c r="O41" s="1"/>
      <c r="P41" s="1"/>
      <c r="Q41" s="1"/>
    </row>
    <row r="42" spans="1:17" x14ac:dyDescent="0.2">
      <c r="A42" s="1"/>
      <c r="B42" s="1"/>
      <c r="C42" s="1"/>
      <c r="D42" s="1"/>
      <c r="E42" s="1"/>
      <c r="F42" s="1"/>
      <c r="G42" s="1"/>
      <c r="H42" s="1"/>
      <c r="I42" s="1"/>
      <c r="J42" s="1"/>
      <c r="K42" s="1"/>
      <c r="L42" s="1"/>
      <c r="M42" s="1"/>
      <c r="N42" s="1"/>
      <c r="O42" s="1"/>
      <c r="P42" s="1"/>
      <c r="Q42" s="1"/>
    </row>
    <row r="43" spans="1:17" x14ac:dyDescent="0.2">
      <c r="A43" s="1"/>
      <c r="B43" s="1"/>
      <c r="C43" s="1"/>
      <c r="D43" s="1"/>
      <c r="E43" s="1"/>
      <c r="F43" s="1"/>
      <c r="G43" s="1"/>
      <c r="H43" s="1"/>
      <c r="I43" s="1"/>
      <c r="J43" s="1"/>
      <c r="K43" s="1"/>
      <c r="L43" s="1"/>
      <c r="M43" s="1"/>
      <c r="N43" s="1"/>
      <c r="O43" s="1"/>
      <c r="P43" s="1"/>
      <c r="Q43" s="1"/>
    </row>
    <row r="44" spans="1:17" x14ac:dyDescent="0.2">
      <c r="A44" s="1"/>
      <c r="B44" s="1"/>
      <c r="C44" s="1"/>
      <c r="D44" s="1"/>
      <c r="E44" s="1"/>
      <c r="F44" s="1"/>
      <c r="G44" s="1"/>
      <c r="H44" s="1"/>
      <c r="I44" s="1"/>
      <c r="J44" s="1"/>
      <c r="K44" s="1"/>
      <c r="L44" s="1"/>
      <c r="M44" s="1"/>
      <c r="N44" s="1"/>
      <c r="O44" s="1"/>
      <c r="P44" s="1"/>
      <c r="Q44" s="1"/>
    </row>
    <row r="45" spans="1:17" x14ac:dyDescent="0.2">
      <c r="A45" s="1"/>
      <c r="B45" s="1"/>
      <c r="C45" s="1"/>
      <c r="D45" s="1"/>
      <c r="E45" s="1"/>
      <c r="F45" s="1"/>
      <c r="G45" s="1"/>
      <c r="H45" s="1"/>
      <c r="I45" s="1"/>
      <c r="J45" s="1"/>
      <c r="K45" s="1"/>
      <c r="L45" s="1"/>
      <c r="M45" s="1"/>
      <c r="N45" s="1"/>
      <c r="O45" s="1"/>
      <c r="P45" s="1"/>
      <c r="Q45" s="1"/>
    </row>
    <row r="46" spans="1:17" x14ac:dyDescent="0.2">
      <c r="A46" s="1"/>
      <c r="B46" s="1"/>
      <c r="C46" s="1"/>
      <c r="D46" s="1"/>
      <c r="E46" s="1"/>
      <c r="F46" s="1"/>
      <c r="G46" s="1"/>
      <c r="H46" s="1"/>
      <c r="I46" s="1"/>
      <c r="J46" s="1"/>
      <c r="K46" s="1"/>
      <c r="L46" s="1"/>
      <c r="M46" s="1"/>
      <c r="N46" s="1"/>
      <c r="O46" s="1"/>
      <c r="P46" s="1"/>
      <c r="Q46" s="1"/>
    </row>
    <row r="47" spans="1:17" x14ac:dyDescent="0.2">
      <c r="A47" s="1"/>
      <c r="B47" s="1"/>
      <c r="C47" s="1"/>
      <c r="D47" s="1"/>
      <c r="E47" s="1"/>
      <c r="F47" s="1"/>
      <c r="G47" s="1"/>
      <c r="H47" s="1"/>
      <c r="I47" s="1"/>
      <c r="J47" s="1"/>
      <c r="K47" s="1"/>
      <c r="L47" s="1"/>
      <c r="M47" s="1"/>
      <c r="N47" s="1"/>
      <c r="O47" s="1"/>
      <c r="P47" s="1"/>
      <c r="Q47" s="1"/>
    </row>
    <row r="48" spans="1:17" x14ac:dyDescent="0.2">
      <c r="A48" s="1"/>
      <c r="B48" s="1"/>
      <c r="C48" s="1"/>
      <c r="D48" s="1"/>
      <c r="E48" s="1"/>
      <c r="F48" s="1"/>
      <c r="G48" s="1"/>
      <c r="H48" s="1"/>
      <c r="I48" s="1"/>
      <c r="J48" s="1"/>
      <c r="K48" s="1"/>
      <c r="L48" s="1"/>
      <c r="M48" s="1"/>
      <c r="N48" s="1"/>
      <c r="O48" s="1"/>
      <c r="P48" s="1"/>
      <c r="Q48" s="1"/>
    </row>
    <row r="49" spans="1:17" x14ac:dyDescent="0.2">
      <c r="A49" s="1"/>
      <c r="B49" s="1"/>
      <c r="C49" s="1"/>
      <c r="D49" s="1"/>
      <c r="E49" s="1"/>
      <c r="F49" s="1"/>
      <c r="G49" s="1"/>
      <c r="H49" s="1"/>
      <c r="I49" s="1"/>
      <c r="J49" s="1"/>
      <c r="K49" s="1"/>
      <c r="L49" s="1"/>
      <c r="M49" s="1"/>
      <c r="N49" s="1"/>
      <c r="O49" s="1"/>
      <c r="P49" s="1"/>
      <c r="Q49" s="1"/>
    </row>
    <row r="50" spans="1:17" x14ac:dyDescent="0.2">
      <c r="A50" s="1"/>
      <c r="B50" s="1"/>
      <c r="C50" s="1"/>
      <c r="D50" s="1"/>
      <c r="E50" s="1"/>
      <c r="F50" s="1"/>
      <c r="G50" s="1"/>
      <c r="H50" s="1"/>
      <c r="I50" s="1"/>
      <c r="J50" s="1"/>
      <c r="K50" s="1"/>
      <c r="L50" s="1"/>
      <c r="M50" s="1"/>
      <c r="N50" s="1"/>
      <c r="O50" s="1"/>
      <c r="P50" s="1"/>
      <c r="Q50" s="1"/>
    </row>
    <row r="51" spans="1:17" x14ac:dyDescent="0.2">
      <c r="A51" s="1"/>
      <c r="B51" s="1"/>
      <c r="C51" s="1"/>
      <c r="D51" s="1"/>
      <c r="E51" s="1"/>
      <c r="F51" s="1"/>
      <c r="G51" s="1"/>
      <c r="H51" s="1"/>
      <c r="I51" s="1"/>
      <c r="J51" s="1"/>
      <c r="K51" s="1"/>
      <c r="L51" s="1"/>
      <c r="M51" s="1"/>
      <c r="N51" s="1"/>
      <c r="O51" s="1"/>
      <c r="P51" s="1"/>
      <c r="Q51" s="1"/>
    </row>
    <row r="52" spans="1:17" x14ac:dyDescent="0.2">
      <c r="A52" s="1"/>
      <c r="B52" s="1"/>
      <c r="C52" s="1"/>
      <c r="D52" s="1"/>
      <c r="E52" s="1"/>
      <c r="F52" s="1"/>
      <c r="G52" s="1"/>
      <c r="H52" s="1"/>
      <c r="I52" s="1"/>
      <c r="J52" s="1"/>
      <c r="K52" s="1"/>
      <c r="L52" s="1"/>
      <c r="M52" s="1"/>
      <c r="N52" s="1"/>
      <c r="O52" s="1"/>
      <c r="P52" s="1"/>
      <c r="Q52" s="1"/>
    </row>
    <row r="53" spans="1:17" x14ac:dyDescent="0.2">
      <c r="A53" s="1"/>
      <c r="B53" s="1"/>
      <c r="C53" s="1"/>
      <c r="D53" s="1"/>
      <c r="E53" s="1"/>
      <c r="F53" s="1"/>
      <c r="G53" s="1"/>
      <c r="H53" s="1"/>
      <c r="I53" s="1"/>
      <c r="J53" s="1"/>
      <c r="K53" s="1"/>
      <c r="L53" s="1"/>
      <c r="M53" s="1"/>
      <c r="N53" s="1"/>
      <c r="O53" s="1"/>
      <c r="P53" s="1"/>
      <c r="Q53" s="1"/>
    </row>
    <row r="54" spans="1:17" x14ac:dyDescent="0.2">
      <c r="A54" s="1"/>
      <c r="B54" s="1"/>
      <c r="C54" s="1"/>
      <c r="D54" s="1"/>
      <c r="E54" s="1"/>
      <c r="F54" s="1"/>
      <c r="G54" s="1"/>
      <c r="H54" s="1"/>
      <c r="I54" s="1"/>
      <c r="J54" s="1"/>
      <c r="K54" s="1"/>
      <c r="L54" s="1"/>
      <c r="M54" s="1"/>
      <c r="N54" s="1"/>
      <c r="O54" s="1"/>
      <c r="P54" s="1"/>
      <c r="Q54" s="1"/>
    </row>
    <row r="55" spans="1:17" x14ac:dyDescent="0.2">
      <c r="A55" s="1"/>
      <c r="B55" s="1"/>
      <c r="C55" s="1"/>
      <c r="D55" s="1"/>
      <c r="E55" s="1"/>
      <c r="F55" s="1"/>
      <c r="G55" s="1"/>
      <c r="H55" s="1"/>
      <c r="I55" s="1"/>
      <c r="J55" s="1"/>
      <c r="K55" s="1"/>
      <c r="L55" s="1"/>
      <c r="M55" s="1"/>
      <c r="N55" s="1"/>
      <c r="O55" s="1"/>
      <c r="P55" s="1"/>
      <c r="Q55" s="1"/>
    </row>
    <row r="56" spans="1:17" x14ac:dyDescent="0.2">
      <c r="A56" s="1"/>
      <c r="B56" s="1"/>
      <c r="C56" s="1"/>
      <c r="D56" s="1"/>
      <c r="E56" s="1"/>
      <c r="F56" s="1"/>
      <c r="G56" s="1"/>
      <c r="H56" s="1"/>
      <c r="I56" s="1"/>
      <c r="J56" s="1"/>
      <c r="K56" s="1"/>
      <c r="L56" s="1"/>
      <c r="M56" s="1"/>
      <c r="N56" s="1"/>
      <c r="O56" s="1"/>
      <c r="P56" s="1"/>
      <c r="Q56" s="1"/>
    </row>
    <row r="57" spans="1:17" x14ac:dyDescent="0.2">
      <c r="A57" s="1"/>
      <c r="B57" s="1"/>
      <c r="C57" s="1"/>
      <c r="D57" s="1"/>
      <c r="E57" s="1"/>
      <c r="F57" s="1"/>
      <c r="G57" s="1"/>
      <c r="H57" s="1"/>
      <c r="I57" s="1"/>
      <c r="J57" s="1"/>
      <c r="K57" s="1"/>
      <c r="L57" s="1"/>
      <c r="M57" s="1"/>
      <c r="N57" s="1"/>
      <c r="O57" s="1"/>
      <c r="P57" s="1"/>
      <c r="Q57" s="1"/>
    </row>
    <row r="58" spans="1:17" x14ac:dyDescent="0.2">
      <c r="A58" s="1"/>
      <c r="B58" s="1"/>
      <c r="C58" s="1"/>
      <c r="D58" s="1"/>
      <c r="E58" s="1"/>
      <c r="F58" s="1"/>
      <c r="G58" s="1"/>
      <c r="H58" s="1"/>
      <c r="I58" s="1"/>
      <c r="J58" s="1"/>
      <c r="K58" s="1"/>
      <c r="L58" s="1"/>
      <c r="M58" s="1"/>
      <c r="N58" s="1"/>
      <c r="O58" s="1"/>
      <c r="P58" s="1"/>
      <c r="Q58" s="1"/>
    </row>
    <row r="59" spans="1:17" x14ac:dyDescent="0.2">
      <c r="A59" s="1"/>
      <c r="B59" s="1"/>
      <c r="C59" s="1"/>
      <c r="D59" s="1"/>
      <c r="E59" s="1"/>
      <c r="F59" s="1"/>
      <c r="G59" s="1"/>
      <c r="H59" s="1"/>
      <c r="I59" s="1"/>
      <c r="J59" s="1"/>
      <c r="K59" s="1"/>
      <c r="L59" s="1"/>
      <c r="M59" s="1"/>
      <c r="N59" s="1"/>
      <c r="O59" s="1"/>
      <c r="P59" s="1"/>
      <c r="Q59" s="1"/>
    </row>
    <row r="60" spans="1:17" x14ac:dyDescent="0.2">
      <c r="A60" s="1"/>
      <c r="B60" s="1"/>
      <c r="C60" s="1"/>
      <c r="D60" s="1"/>
      <c r="E60" s="1"/>
      <c r="F60" s="1"/>
      <c r="G60" s="1"/>
      <c r="H60" s="1"/>
      <c r="I60" s="1"/>
      <c r="J60" s="1"/>
      <c r="K60" s="1"/>
      <c r="L60" s="1"/>
      <c r="M60" s="1"/>
      <c r="N60" s="1"/>
      <c r="O60" s="1"/>
      <c r="P60" s="1"/>
      <c r="Q60" s="1"/>
    </row>
    <row r="61" spans="1:17" x14ac:dyDescent="0.2">
      <c r="A61" s="1"/>
      <c r="B61" s="1"/>
      <c r="C61" s="1"/>
      <c r="D61" s="1"/>
      <c r="E61" s="1"/>
      <c r="F61" s="1"/>
      <c r="G61" s="1"/>
      <c r="H61" s="1"/>
      <c r="I61" s="1"/>
      <c r="J61" s="1"/>
      <c r="K61" s="1"/>
      <c r="L61" s="1"/>
      <c r="M61" s="1"/>
      <c r="N61" s="1"/>
      <c r="O61" s="1"/>
      <c r="P61" s="1"/>
      <c r="Q61" s="1"/>
    </row>
    <row r="62" spans="1:17" x14ac:dyDescent="0.2">
      <c r="A62" s="1"/>
      <c r="B62" s="1"/>
      <c r="C62" s="1"/>
      <c r="D62" s="1"/>
      <c r="E62" s="1"/>
      <c r="F62" s="1"/>
      <c r="G62" s="1"/>
      <c r="H62" s="1"/>
      <c r="I62" s="1"/>
      <c r="J62" s="1"/>
      <c r="K62" s="1"/>
      <c r="L62" s="1"/>
      <c r="M62" s="1"/>
      <c r="N62" s="1"/>
      <c r="O62" s="1"/>
      <c r="P62" s="1"/>
      <c r="Q62" s="1"/>
    </row>
    <row r="63" spans="1:17" x14ac:dyDescent="0.2">
      <c r="A63" s="1"/>
      <c r="B63" s="1"/>
      <c r="C63" s="1"/>
      <c r="D63" s="1"/>
      <c r="E63" s="1"/>
      <c r="F63" s="1"/>
      <c r="G63" s="1"/>
      <c r="H63" s="1"/>
      <c r="I63" s="1"/>
      <c r="J63" s="1"/>
      <c r="K63" s="1"/>
      <c r="L63" s="1"/>
      <c r="M63" s="1"/>
      <c r="N63" s="1"/>
      <c r="O63" s="1"/>
      <c r="P63" s="1"/>
      <c r="Q63" s="1"/>
    </row>
    <row r="64" spans="1:17" x14ac:dyDescent="0.2">
      <c r="A64" s="1"/>
      <c r="B64" s="1"/>
      <c r="C64" s="1"/>
      <c r="D64" s="1"/>
      <c r="E64" s="1"/>
      <c r="F64" s="1"/>
      <c r="G64" s="1"/>
      <c r="H64" s="1"/>
      <c r="I64" s="1"/>
      <c r="J64" s="1"/>
      <c r="K64" s="1"/>
      <c r="L64" s="1"/>
      <c r="M64" s="1"/>
      <c r="N64" s="1"/>
      <c r="O64" s="1"/>
      <c r="P64" s="1"/>
      <c r="Q64" s="1"/>
    </row>
    <row r="65" spans="1:17" x14ac:dyDescent="0.2">
      <c r="A65" s="1"/>
      <c r="B65" s="1"/>
      <c r="C65" s="1"/>
      <c r="D65" s="1"/>
      <c r="E65" s="1"/>
      <c r="F65" s="1"/>
      <c r="G65" s="1"/>
      <c r="H65" s="1"/>
      <c r="I65" s="1"/>
      <c r="J65" s="1"/>
      <c r="K65" s="1"/>
      <c r="L65" s="1"/>
      <c r="M65" s="1"/>
      <c r="N65" s="1"/>
      <c r="O65" s="1"/>
      <c r="P65" s="1"/>
      <c r="Q65" s="1"/>
    </row>
    <row r="66" spans="1:17" x14ac:dyDescent="0.2">
      <c r="A66" s="1"/>
      <c r="B66" s="1"/>
      <c r="C66" s="1"/>
      <c r="D66" s="1"/>
      <c r="E66" s="1"/>
      <c r="F66" s="1"/>
      <c r="G66" s="1"/>
      <c r="H66" s="1"/>
      <c r="I66" s="1"/>
      <c r="J66" s="1"/>
      <c r="K66" s="1"/>
      <c r="L66" s="1"/>
      <c r="M66" s="1"/>
      <c r="N66" s="1"/>
      <c r="O66" s="1"/>
      <c r="P66" s="1"/>
      <c r="Q66" s="1"/>
    </row>
    <row r="67" spans="1:17" x14ac:dyDescent="0.2">
      <c r="A67" s="1"/>
      <c r="B67" s="1"/>
      <c r="C67" s="1"/>
      <c r="D67" s="1"/>
      <c r="E67" s="1"/>
      <c r="F67" s="1"/>
      <c r="G67" s="1"/>
      <c r="H67" s="1"/>
      <c r="I67" s="1"/>
      <c r="J67" s="1"/>
      <c r="K67" s="1"/>
      <c r="L67" s="1"/>
      <c r="M67" s="1"/>
      <c r="N67" s="1"/>
      <c r="O67" s="1"/>
      <c r="P67" s="1"/>
      <c r="Q67" s="1"/>
    </row>
    <row r="68" spans="1:17" x14ac:dyDescent="0.2">
      <c r="A68" s="1"/>
      <c r="B68" s="1"/>
      <c r="C68" s="1"/>
      <c r="D68" s="1"/>
      <c r="E68" s="1"/>
      <c r="F68" s="1"/>
      <c r="G68" s="1"/>
      <c r="H68" s="1"/>
      <c r="I68" s="1"/>
      <c r="J68" s="1"/>
      <c r="K68" s="1"/>
      <c r="L68" s="1"/>
      <c r="M68" s="1"/>
      <c r="N68" s="1"/>
      <c r="O68" s="1"/>
      <c r="P68" s="1"/>
      <c r="Q68" s="1"/>
    </row>
    <row r="69" spans="1:17" x14ac:dyDescent="0.2">
      <c r="A69" s="1"/>
      <c r="B69" s="1"/>
      <c r="C69" s="1"/>
      <c r="D69" s="1"/>
      <c r="E69" s="1"/>
      <c r="F69" s="1"/>
      <c r="G69" s="1"/>
      <c r="H69" s="1"/>
      <c r="I69" s="1"/>
      <c r="J69" s="1"/>
      <c r="K69" s="1"/>
      <c r="L69" s="1"/>
      <c r="M69" s="1"/>
      <c r="N69" s="1"/>
      <c r="O69" s="1"/>
      <c r="P69" s="1"/>
      <c r="Q69" s="1"/>
    </row>
    <row r="70" spans="1:17" x14ac:dyDescent="0.2">
      <c r="A70" s="1"/>
      <c r="B70" s="1"/>
      <c r="C70" s="1"/>
      <c r="D70" s="1"/>
      <c r="E70" s="1"/>
      <c r="F70" s="1"/>
      <c r="G70" s="1"/>
      <c r="H70" s="1"/>
      <c r="I70" s="1"/>
      <c r="J70" s="1"/>
      <c r="K70" s="1"/>
      <c r="L70" s="1"/>
      <c r="M70" s="1"/>
      <c r="N70" s="1"/>
      <c r="O70" s="1"/>
      <c r="P70" s="1"/>
      <c r="Q70" s="1"/>
    </row>
    <row r="71" spans="1:17" x14ac:dyDescent="0.2">
      <c r="A71" s="1"/>
      <c r="B71" s="1"/>
      <c r="C71" s="1"/>
      <c r="D71" s="1"/>
      <c r="E71" s="1"/>
      <c r="F71" s="1"/>
      <c r="G71" s="1"/>
      <c r="H71" s="1"/>
      <c r="I71" s="1"/>
      <c r="J71" s="1"/>
      <c r="K71" s="1"/>
      <c r="L71" s="1"/>
      <c r="M71" s="1"/>
      <c r="N71" s="1"/>
      <c r="O71" s="1"/>
      <c r="P71" s="1"/>
      <c r="Q71" s="1"/>
    </row>
    <row r="72" spans="1:17" x14ac:dyDescent="0.2">
      <c r="A72" s="1"/>
      <c r="B72" s="1"/>
      <c r="C72" s="1"/>
      <c r="D72" s="1"/>
      <c r="E72" s="1"/>
      <c r="F72" s="1"/>
      <c r="G72" s="1"/>
      <c r="H72" s="1"/>
      <c r="I72" s="1"/>
      <c r="J72" s="1"/>
      <c r="K72" s="1"/>
      <c r="L72" s="1"/>
      <c r="M72" s="1"/>
      <c r="N72" s="1"/>
      <c r="O72" s="1"/>
      <c r="P72" s="1"/>
      <c r="Q72" s="1"/>
    </row>
    <row r="73" spans="1:17" x14ac:dyDescent="0.2">
      <c r="A73" s="1"/>
      <c r="B73" s="1"/>
      <c r="C73" s="1"/>
      <c r="D73" s="1"/>
      <c r="E73" s="1"/>
      <c r="F73" s="1"/>
      <c r="G73" s="1"/>
      <c r="H73" s="1"/>
      <c r="I73" s="1"/>
      <c r="J73" s="1"/>
      <c r="K73" s="1"/>
      <c r="L73" s="1"/>
      <c r="M73" s="1"/>
      <c r="N73" s="1"/>
      <c r="O73" s="1"/>
      <c r="P73" s="1"/>
      <c r="Q73" s="1"/>
    </row>
    <row r="74" spans="1:17" x14ac:dyDescent="0.2">
      <c r="A74" s="1"/>
      <c r="B74" s="1"/>
      <c r="C74" s="1"/>
      <c r="D74" s="1"/>
      <c r="E74" s="1"/>
      <c r="F74" s="1"/>
      <c r="G74" s="1"/>
      <c r="H74" s="1"/>
      <c r="I74" s="1"/>
      <c r="J74" s="1"/>
      <c r="K74" s="1"/>
      <c r="L74" s="1"/>
      <c r="M74" s="1"/>
      <c r="N74" s="1"/>
      <c r="O74" s="1"/>
      <c r="P74" s="1"/>
      <c r="Q74" s="1"/>
    </row>
    <row r="75" spans="1:17" x14ac:dyDescent="0.2">
      <c r="A75" s="1"/>
      <c r="B75" s="1"/>
      <c r="C75" s="1"/>
      <c r="D75" s="1"/>
      <c r="E75" s="1"/>
      <c r="F75" s="1"/>
      <c r="G75" s="1"/>
      <c r="H75" s="1"/>
      <c r="I75" s="1"/>
      <c r="J75" s="1"/>
      <c r="K75" s="1"/>
      <c r="L75" s="1"/>
      <c r="M75" s="1"/>
      <c r="N75" s="1"/>
      <c r="O75" s="1"/>
      <c r="P75" s="1"/>
      <c r="Q75" s="1"/>
    </row>
    <row r="76" spans="1:17" x14ac:dyDescent="0.2">
      <c r="A76" s="1"/>
      <c r="B76" s="1"/>
      <c r="C76" s="1"/>
      <c r="D76" s="1"/>
      <c r="E76" s="1"/>
      <c r="F76" s="1"/>
      <c r="G76" s="1"/>
      <c r="H76" s="1"/>
      <c r="I76" s="1"/>
      <c r="J76" s="1"/>
      <c r="K76" s="1"/>
      <c r="L76" s="1"/>
      <c r="M76" s="1"/>
      <c r="N76" s="1"/>
      <c r="O76" s="1"/>
      <c r="P76" s="1"/>
      <c r="Q76" s="1"/>
    </row>
    <row r="77" spans="1:17" x14ac:dyDescent="0.2">
      <c r="A77" s="1"/>
      <c r="B77" s="1"/>
      <c r="C77" s="1"/>
      <c r="D77" s="1"/>
      <c r="E77" s="1"/>
      <c r="F77" s="1"/>
      <c r="G77" s="1"/>
      <c r="H77" s="1"/>
      <c r="I77" s="1"/>
      <c r="J77" s="1"/>
      <c r="K77" s="1"/>
      <c r="L77" s="1"/>
      <c r="M77" s="1"/>
      <c r="N77" s="1"/>
      <c r="O77" s="1"/>
      <c r="P77" s="1"/>
      <c r="Q77" s="1"/>
    </row>
    <row r="78" spans="1:17" x14ac:dyDescent="0.2">
      <c r="A78" s="1"/>
      <c r="B78" s="1"/>
      <c r="C78" s="1"/>
      <c r="D78" s="1"/>
      <c r="E78" s="1"/>
      <c r="F78" s="1"/>
      <c r="G78" s="1"/>
      <c r="H78" s="1"/>
      <c r="I78" s="1"/>
      <c r="J78" s="1"/>
      <c r="K78" s="1"/>
      <c r="L78" s="1"/>
      <c r="M78" s="1"/>
      <c r="N78" s="1"/>
      <c r="O78" s="1"/>
      <c r="P78" s="1"/>
      <c r="Q78" s="1"/>
    </row>
    <row r="79" spans="1:17" x14ac:dyDescent="0.2">
      <c r="A79" s="1"/>
      <c r="B79" s="1"/>
      <c r="C79" s="1"/>
      <c r="D79" s="1"/>
      <c r="E79" s="1"/>
      <c r="F79" s="1"/>
      <c r="G79" s="1"/>
      <c r="H79" s="1"/>
      <c r="I79" s="1"/>
      <c r="J79" s="1"/>
      <c r="K79" s="1"/>
      <c r="L79" s="1"/>
      <c r="M79" s="1"/>
      <c r="N79" s="1"/>
      <c r="O79" s="1"/>
      <c r="P79" s="1"/>
      <c r="Q79" s="1"/>
    </row>
    <row r="80" spans="1:17" x14ac:dyDescent="0.2">
      <c r="A80" s="1"/>
      <c r="B80" s="1"/>
      <c r="C80" s="1"/>
      <c r="D80" s="1"/>
      <c r="E80" s="1"/>
      <c r="F80" s="1"/>
      <c r="G80" s="1"/>
      <c r="H80" s="1"/>
      <c r="I80" s="1"/>
      <c r="J80" s="1"/>
      <c r="K80" s="1"/>
      <c r="L80" s="1"/>
      <c r="M80" s="1"/>
      <c r="N80" s="1"/>
      <c r="O80" s="1"/>
      <c r="P80" s="1"/>
      <c r="Q80" s="1"/>
    </row>
    <row r="81" spans="1:17" x14ac:dyDescent="0.2">
      <c r="A81" s="1"/>
      <c r="B81" s="1"/>
      <c r="C81" s="1"/>
      <c r="D81" s="1"/>
      <c r="E81" s="1"/>
      <c r="F81" s="1"/>
      <c r="G81" s="1"/>
      <c r="H81" s="1"/>
      <c r="I81" s="1"/>
      <c r="J81" s="1"/>
      <c r="K81" s="1"/>
      <c r="L81" s="1"/>
      <c r="M81" s="1"/>
      <c r="N81" s="1"/>
      <c r="O81" s="1"/>
      <c r="P81" s="1"/>
      <c r="Q81" s="1"/>
    </row>
    <row r="82" spans="1:17" x14ac:dyDescent="0.2">
      <c r="A82" s="1"/>
      <c r="B82" s="1"/>
      <c r="C82" s="1"/>
      <c r="D82" s="1"/>
      <c r="E82" s="1"/>
      <c r="F82" s="1"/>
      <c r="G82" s="1"/>
      <c r="H82" s="1"/>
      <c r="I82" s="1"/>
      <c r="J82" s="1"/>
      <c r="K82" s="1"/>
      <c r="L82" s="1"/>
      <c r="M82" s="1"/>
      <c r="N82" s="1"/>
      <c r="O82" s="1"/>
      <c r="P82" s="1"/>
      <c r="Q82" s="1"/>
    </row>
    <row r="83" spans="1:17" x14ac:dyDescent="0.2">
      <c r="A83" s="1"/>
      <c r="B83" s="1"/>
      <c r="C83" s="1"/>
      <c r="D83" s="1"/>
      <c r="E83" s="1"/>
      <c r="F83" s="1"/>
      <c r="G83" s="1"/>
      <c r="H83" s="1"/>
      <c r="I83" s="1"/>
      <c r="J83" s="1"/>
      <c r="K83" s="1"/>
      <c r="L83" s="1"/>
      <c r="M83" s="1"/>
      <c r="N83" s="1"/>
      <c r="O83" s="1"/>
      <c r="P83" s="1"/>
      <c r="Q83" s="1"/>
    </row>
    <row r="84" spans="1:17" x14ac:dyDescent="0.2">
      <c r="A84" s="1"/>
      <c r="B84" s="1"/>
      <c r="C84" s="1"/>
      <c r="D84" s="1"/>
      <c r="E84" s="1"/>
      <c r="F84" s="1"/>
      <c r="G84" s="1"/>
      <c r="H84" s="1"/>
      <c r="I84" s="1"/>
      <c r="J84" s="1"/>
      <c r="K84" s="1"/>
      <c r="L84" s="1"/>
      <c r="M84" s="1"/>
      <c r="N84" s="1"/>
      <c r="O84" s="1"/>
      <c r="P84" s="1"/>
      <c r="Q84" s="1"/>
    </row>
    <row r="85" spans="1:17" x14ac:dyDescent="0.2">
      <c r="A85" s="1"/>
      <c r="B85" s="1"/>
      <c r="C85" s="1"/>
      <c r="D85" s="1"/>
      <c r="E85" s="1"/>
      <c r="F85" s="1"/>
      <c r="G85" s="1"/>
      <c r="H85" s="1"/>
      <c r="I85" s="1"/>
      <c r="J85" s="1"/>
      <c r="K85" s="1"/>
      <c r="L85" s="1"/>
      <c r="M85" s="1"/>
      <c r="N85" s="1"/>
      <c r="O85" s="1"/>
      <c r="P85" s="1"/>
      <c r="Q85" s="1"/>
    </row>
    <row r="86" spans="1:17" x14ac:dyDescent="0.2">
      <c r="A86" s="1"/>
      <c r="B86" s="1"/>
      <c r="C86" s="1"/>
      <c r="D86" s="1"/>
      <c r="E86" s="1"/>
      <c r="F86" s="1"/>
      <c r="G86" s="1"/>
      <c r="H86" s="1"/>
      <c r="I86" s="1"/>
      <c r="J86" s="1"/>
      <c r="K86" s="1"/>
      <c r="L86" s="1"/>
      <c r="M86" s="1"/>
      <c r="N86" s="1"/>
      <c r="O86" s="1"/>
      <c r="P86" s="1"/>
      <c r="Q86" s="1"/>
    </row>
    <row r="87" spans="1:17" x14ac:dyDescent="0.2">
      <c r="A87" s="1"/>
      <c r="B87" s="1"/>
      <c r="C87" s="1"/>
      <c r="D87" s="1"/>
      <c r="E87" s="1"/>
      <c r="F87" s="1"/>
      <c r="G87" s="1"/>
      <c r="H87" s="1"/>
      <c r="I87" s="1"/>
      <c r="J87" s="1"/>
      <c r="K87" s="1"/>
      <c r="L87" s="1"/>
      <c r="M87" s="1"/>
      <c r="N87" s="1"/>
      <c r="O87" s="1"/>
      <c r="P87" s="1"/>
      <c r="Q87" s="1"/>
    </row>
    <row r="88" spans="1:17" x14ac:dyDescent="0.2">
      <c r="A88" s="1"/>
      <c r="B88" s="1"/>
      <c r="C88" s="1"/>
      <c r="D88" s="1"/>
      <c r="E88" s="1"/>
      <c r="F88" s="1"/>
      <c r="G88" s="1"/>
      <c r="H88" s="1"/>
      <c r="I88" s="1"/>
      <c r="J88" s="1"/>
      <c r="K88" s="1"/>
      <c r="L88" s="1"/>
      <c r="M88" s="1"/>
      <c r="N88" s="1"/>
      <c r="O88" s="1"/>
      <c r="P88" s="1"/>
      <c r="Q88" s="1"/>
    </row>
    <row r="89" spans="1:17" x14ac:dyDescent="0.2">
      <c r="A89" s="1"/>
      <c r="B89" s="1"/>
      <c r="C89" s="1"/>
      <c r="D89" s="1"/>
      <c r="E89" s="1"/>
      <c r="F89" s="1"/>
      <c r="G89" s="1"/>
      <c r="H89" s="1"/>
      <c r="I89" s="1"/>
      <c r="J89" s="1"/>
      <c r="K89" s="1"/>
      <c r="L89" s="1"/>
      <c r="M89" s="1"/>
      <c r="N89" s="1"/>
      <c r="O89" s="1"/>
      <c r="P89" s="1"/>
      <c r="Q89" s="1"/>
    </row>
    <row r="90" spans="1:17" x14ac:dyDescent="0.2">
      <c r="A90" s="1"/>
      <c r="B90" s="1"/>
      <c r="C90" s="1"/>
      <c r="D90" s="1"/>
      <c r="E90" s="1"/>
      <c r="F90" s="1"/>
      <c r="G90" s="1"/>
      <c r="H90" s="1"/>
      <c r="I90" s="1"/>
      <c r="J90" s="1"/>
      <c r="K90" s="1"/>
      <c r="L90" s="1"/>
      <c r="M90" s="1"/>
      <c r="N90" s="1"/>
      <c r="O90" s="1"/>
      <c r="P90" s="1"/>
      <c r="Q90" s="1"/>
    </row>
    <row r="91" spans="1:17" x14ac:dyDescent="0.2">
      <c r="A91" s="1"/>
      <c r="B91" s="1"/>
      <c r="C91" s="1"/>
      <c r="D91" s="1"/>
      <c r="E91" s="1"/>
      <c r="F91" s="1"/>
      <c r="G91" s="1"/>
      <c r="H91" s="1"/>
      <c r="I91" s="1"/>
      <c r="J91" s="1"/>
      <c r="K91" s="1"/>
      <c r="L91" s="1"/>
      <c r="M91" s="1"/>
      <c r="N91" s="1"/>
      <c r="O91" s="1"/>
      <c r="P91" s="1"/>
      <c r="Q91" s="1"/>
    </row>
    <row r="92" spans="1:17" x14ac:dyDescent="0.2">
      <c r="A92" s="1"/>
      <c r="B92" s="1"/>
      <c r="C92" s="1"/>
      <c r="D92" s="1"/>
      <c r="E92" s="1"/>
      <c r="F92" s="1"/>
      <c r="G92" s="1"/>
      <c r="H92" s="1"/>
      <c r="I92" s="1"/>
      <c r="J92" s="1"/>
      <c r="K92" s="1"/>
      <c r="L92" s="1"/>
      <c r="M92" s="1"/>
      <c r="N92" s="1"/>
      <c r="O92" s="1"/>
      <c r="P92" s="1"/>
      <c r="Q92" s="1"/>
    </row>
    <row r="93" spans="1:17" x14ac:dyDescent="0.2">
      <c r="A93" s="1"/>
      <c r="B93" s="1"/>
      <c r="C93" s="1"/>
      <c r="D93" s="1"/>
      <c r="E93" s="1"/>
      <c r="F93" s="1"/>
      <c r="G93" s="1"/>
      <c r="H93" s="1"/>
      <c r="I93" s="1"/>
      <c r="J93" s="1"/>
      <c r="K93" s="1"/>
      <c r="L93" s="1"/>
      <c r="M93" s="1"/>
      <c r="N93" s="1"/>
      <c r="O93" s="1"/>
      <c r="P93" s="1"/>
      <c r="Q93" s="1"/>
    </row>
    <row r="94" spans="1:17" x14ac:dyDescent="0.2">
      <c r="A94" s="1"/>
      <c r="B94" s="1"/>
      <c r="C94" s="1"/>
      <c r="D94" s="1"/>
      <c r="E94" s="1"/>
      <c r="F94" s="1"/>
      <c r="G94" s="1"/>
      <c r="H94" s="1"/>
      <c r="I94" s="1"/>
      <c r="J94" s="1"/>
      <c r="K94" s="1"/>
      <c r="L94" s="1"/>
      <c r="M94" s="1"/>
      <c r="N94" s="1"/>
      <c r="O94" s="1"/>
      <c r="P94" s="1"/>
      <c r="Q94" s="1"/>
    </row>
    <row r="95" spans="1:17" x14ac:dyDescent="0.2">
      <c r="A95" s="1"/>
      <c r="B95" s="1"/>
      <c r="C95" s="1"/>
      <c r="D95" s="1"/>
      <c r="E95" s="1"/>
      <c r="F95" s="1"/>
      <c r="G95" s="1"/>
      <c r="H95" s="1"/>
      <c r="I95" s="1"/>
      <c r="J95" s="1"/>
      <c r="K95" s="1"/>
      <c r="L95" s="1"/>
      <c r="M95" s="1"/>
      <c r="N95" s="1"/>
      <c r="O95" s="1"/>
      <c r="P95" s="1"/>
      <c r="Q95" s="1"/>
    </row>
    <row r="96" spans="1:17" x14ac:dyDescent="0.2">
      <c r="A96" s="1"/>
      <c r="B96" s="1"/>
      <c r="C96" s="1"/>
      <c r="D96" s="1"/>
      <c r="E96" s="1"/>
      <c r="F96" s="1"/>
      <c r="G96" s="1"/>
      <c r="H96" s="1"/>
      <c r="I96" s="1"/>
      <c r="J96" s="1"/>
      <c r="K96" s="1"/>
      <c r="L96" s="1"/>
      <c r="M96" s="1"/>
      <c r="N96" s="1"/>
      <c r="O96" s="1"/>
      <c r="P96" s="1"/>
      <c r="Q96" s="1"/>
    </row>
    <row r="97" spans="1:17" x14ac:dyDescent="0.2">
      <c r="A97" s="1"/>
      <c r="B97" s="1"/>
      <c r="C97" s="1"/>
      <c r="D97" s="1"/>
      <c r="E97" s="1"/>
      <c r="F97" s="1"/>
      <c r="G97" s="1"/>
      <c r="H97" s="1"/>
      <c r="I97" s="1"/>
      <c r="J97" s="1"/>
      <c r="K97" s="1"/>
      <c r="L97" s="1"/>
      <c r="M97" s="1"/>
      <c r="N97" s="1"/>
      <c r="O97" s="1"/>
      <c r="P97" s="1"/>
      <c r="Q97" s="1"/>
    </row>
    <row r="98" spans="1:17" x14ac:dyDescent="0.2">
      <c r="A98" s="1"/>
      <c r="B98" s="1"/>
      <c r="C98" s="1"/>
      <c r="D98" s="1"/>
      <c r="E98" s="1"/>
      <c r="F98" s="1"/>
      <c r="G98" s="1"/>
      <c r="H98" s="1"/>
      <c r="I98" s="1"/>
      <c r="J98" s="1"/>
      <c r="K98" s="1"/>
      <c r="L98" s="1"/>
      <c r="M98" s="1"/>
      <c r="N98" s="1"/>
      <c r="O98" s="1"/>
      <c r="P98" s="1"/>
      <c r="Q98" s="1"/>
    </row>
    <row r="99" spans="1:17" x14ac:dyDescent="0.2">
      <c r="A99" s="1"/>
      <c r="B99" s="1"/>
      <c r="C99" s="1"/>
      <c r="D99" s="1"/>
      <c r="E99" s="1"/>
      <c r="F99" s="1"/>
      <c r="G99" s="1"/>
      <c r="H99" s="1"/>
      <c r="I99" s="1"/>
      <c r="J99" s="1"/>
      <c r="K99" s="1"/>
      <c r="L99" s="1"/>
      <c r="M99" s="1"/>
      <c r="N99" s="1"/>
      <c r="O99" s="1"/>
      <c r="P99" s="1"/>
      <c r="Q99" s="1"/>
    </row>
    <row r="100" spans="1:17" x14ac:dyDescent="0.2">
      <c r="A100" s="1"/>
      <c r="B100" s="1"/>
      <c r="C100" s="1"/>
      <c r="D100" s="1"/>
      <c r="E100" s="1"/>
      <c r="F100" s="1"/>
      <c r="G100" s="1"/>
      <c r="H100" s="1"/>
      <c r="I100" s="1"/>
      <c r="J100" s="1"/>
      <c r="K100" s="1"/>
      <c r="L100" s="1"/>
      <c r="M100" s="1"/>
      <c r="N100" s="1"/>
      <c r="O100" s="1"/>
      <c r="P100" s="1"/>
      <c r="Q100" s="1"/>
    </row>
    <row r="101" spans="1:17" x14ac:dyDescent="0.2">
      <c r="A101" s="1"/>
      <c r="B101" s="1"/>
      <c r="C101" s="1"/>
      <c r="D101" s="1"/>
      <c r="E101" s="1"/>
      <c r="F101" s="1"/>
      <c r="G101" s="1"/>
      <c r="H101" s="1"/>
      <c r="I101" s="1"/>
      <c r="J101" s="1"/>
      <c r="K101" s="1"/>
      <c r="L101" s="1"/>
      <c r="M101" s="1"/>
      <c r="N101" s="1"/>
      <c r="O101" s="1"/>
      <c r="P101" s="1"/>
      <c r="Q101" s="1"/>
    </row>
    <row r="102" spans="1:17" x14ac:dyDescent="0.2">
      <c r="A102" s="1"/>
      <c r="B102" s="1"/>
      <c r="C102" s="1"/>
      <c r="D102" s="1"/>
      <c r="E102" s="1"/>
      <c r="F102" s="1"/>
      <c r="G102" s="1"/>
      <c r="H102" s="1"/>
      <c r="I102" s="1"/>
      <c r="J102" s="1"/>
      <c r="K102" s="1"/>
      <c r="L102" s="1"/>
      <c r="M102" s="1"/>
      <c r="N102" s="1"/>
      <c r="O102" s="1"/>
      <c r="P102" s="1"/>
      <c r="Q102" s="1"/>
    </row>
    <row r="103" spans="1:17" x14ac:dyDescent="0.2">
      <c r="A103" s="1"/>
      <c r="B103" s="1"/>
      <c r="C103" s="1"/>
      <c r="D103" s="1"/>
      <c r="E103" s="1"/>
      <c r="F103" s="1"/>
      <c r="G103" s="1"/>
      <c r="H103" s="1"/>
      <c r="I103" s="1"/>
      <c r="J103" s="1"/>
      <c r="K103" s="1"/>
      <c r="L103" s="1"/>
      <c r="M103" s="1"/>
      <c r="N103" s="1"/>
      <c r="O103" s="1"/>
      <c r="P103" s="1"/>
      <c r="Q103" s="1"/>
    </row>
    <row r="104" spans="1:17" x14ac:dyDescent="0.2">
      <c r="A104" s="1"/>
      <c r="B104" s="1"/>
      <c r="C104" s="1"/>
      <c r="D104" s="1"/>
      <c r="E104" s="1"/>
      <c r="F104" s="1"/>
      <c r="G104" s="1"/>
      <c r="H104" s="1"/>
      <c r="I104" s="1"/>
      <c r="J104" s="1"/>
      <c r="K104" s="1"/>
      <c r="L104" s="1"/>
      <c r="M104" s="1"/>
      <c r="N104" s="1"/>
      <c r="O104" s="1"/>
      <c r="P104" s="1"/>
      <c r="Q104" s="1"/>
    </row>
    <row r="105" spans="1:17" x14ac:dyDescent="0.2">
      <c r="A105" s="1"/>
      <c r="B105" s="1"/>
      <c r="C105" s="1"/>
      <c r="D105" s="1"/>
      <c r="E105" s="1"/>
      <c r="F105" s="1"/>
      <c r="G105" s="1"/>
      <c r="H105" s="1"/>
      <c r="I105" s="1"/>
      <c r="J105" s="1"/>
      <c r="K105" s="1"/>
      <c r="L105" s="1"/>
      <c r="M105" s="1"/>
      <c r="N105" s="1"/>
      <c r="O105" s="1"/>
      <c r="P105" s="1"/>
      <c r="Q105" s="1"/>
    </row>
    <row r="106" spans="1:17" x14ac:dyDescent="0.2">
      <c r="A106" s="1"/>
      <c r="B106" s="1"/>
      <c r="C106" s="1"/>
      <c r="D106" s="1"/>
      <c r="E106" s="1"/>
      <c r="F106" s="1"/>
      <c r="G106" s="1"/>
      <c r="H106" s="1"/>
      <c r="I106" s="1"/>
      <c r="J106" s="1"/>
      <c r="K106" s="1"/>
      <c r="L106" s="1"/>
      <c r="M106" s="1"/>
      <c r="N106" s="1"/>
      <c r="O106" s="1"/>
      <c r="P106" s="1"/>
      <c r="Q106" s="1"/>
    </row>
    <row r="107" spans="1:17" x14ac:dyDescent="0.2">
      <c r="A107" s="1"/>
      <c r="B107" s="1"/>
      <c r="C107" s="1"/>
      <c r="D107" s="1"/>
      <c r="E107" s="1"/>
      <c r="F107" s="1"/>
      <c r="G107" s="1"/>
      <c r="H107" s="1"/>
      <c r="I107" s="1"/>
      <c r="J107" s="1"/>
      <c r="K107" s="1"/>
      <c r="L107" s="1"/>
      <c r="M107" s="1"/>
      <c r="N107" s="1"/>
      <c r="O107" s="1"/>
      <c r="P107" s="1"/>
      <c r="Q107" s="1"/>
    </row>
    <row r="108" spans="1:17" x14ac:dyDescent="0.2">
      <c r="A108" s="1"/>
      <c r="B108" s="1"/>
      <c r="C108" s="1"/>
      <c r="D108" s="1"/>
      <c r="E108" s="1"/>
      <c r="F108" s="1"/>
      <c r="G108" s="1"/>
      <c r="H108" s="1"/>
      <c r="I108" s="1"/>
      <c r="J108" s="1"/>
      <c r="K108" s="1"/>
      <c r="L108" s="1"/>
      <c r="M108" s="1"/>
      <c r="N108" s="1"/>
      <c r="O108" s="1"/>
      <c r="P108" s="1"/>
      <c r="Q108" s="1"/>
    </row>
    <row r="109" spans="1:17" x14ac:dyDescent="0.2">
      <c r="A109" s="1"/>
      <c r="B109" s="1"/>
      <c r="C109" s="1"/>
      <c r="D109" s="1"/>
      <c r="E109" s="1"/>
      <c r="F109" s="1"/>
      <c r="G109" s="1"/>
      <c r="H109" s="1"/>
      <c r="I109" s="1"/>
      <c r="J109" s="1"/>
      <c r="K109" s="1"/>
      <c r="L109" s="1"/>
      <c r="M109" s="1"/>
      <c r="N109" s="1"/>
      <c r="O109" s="1"/>
      <c r="P109" s="1"/>
      <c r="Q109" s="1"/>
    </row>
    <row r="110" spans="1:17" x14ac:dyDescent="0.2">
      <c r="A110" s="1"/>
      <c r="B110" s="1"/>
      <c r="C110" s="1"/>
      <c r="D110" s="1"/>
      <c r="E110" s="1"/>
      <c r="F110" s="1"/>
      <c r="G110" s="1"/>
      <c r="H110" s="1"/>
      <c r="I110" s="1"/>
      <c r="J110" s="1"/>
      <c r="K110" s="1"/>
      <c r="L110" s="1"/>
      <c r="M110" s="1"/>
      <c r="N110" s="1"/>
      <c r="O110" s="1"/>
      <c r="P110" s="1"/>
      <c r="Q110" s="1"/>
    </row>
    <row r="111" spans="1:17" x14ac:dyDescent="0.2">
      <c r="A111" s="1"/>
      <c r="B111" s="1"/>
      <c r="C111" s="1"/>
      <c r="D111" s="1"/>
      <c r="E111" s="1"/>
      <c r="F111" s="1"/>
      <c r="G111" s="1"/>
      <c r="H111" s="1"/>
      <c r="I111" s="1"/>
      <c r="J111" s="1"/>
      <c r="K111" s="1"/>
      <c r="L111" s="1"/>
      <c r="M111" s="1"/>
      <c r="N111" s="1"/>
      <c r="O111" s="1"/>
      <c r="P111" s="1"/>
      <c r="Q111" s="1"/>
    </row>
    <row r="112" spans="1:17" x14ac:dyDescent="0.2">
      <c r="A112" s="1"/>
      <c r="B112" s="1"/>
      <c r="C112" s="1"/>
      <c r="D112" s="1"/>
      <c r="E112" s="1"/>
      <c r="F112" s="1"/>
      <c r="G112" s="1"/>
      <c r="H112" s="1"/>
      <c r="I112" s="1"/>
      <c r="J112" s="1"/>
      <c r="K112" s="1"/>
      <c r="L112" s="1"/>
      <c r="M112" s="1"/>
      <c r="N112" s="1"/>
      <c r="O112" s="1"/>
      <c r="P112" s="1"/>
      <c r="Q112" s="1"/>
    </row>
    <row r="113" spans="1:17" x14ac:dyDescent="0.2">
      <c r="A113" s="1"/>
      <c r="B113" s="1"/>
      <c r="C113" s="1"/>
      <c r="D113" s="1"/>
      <c r="E113" s="1"/>
      <c r="F113" s="1"/>
      <c r="G113" s="1"/>
      <c r="H113" s="1"/>
      <c r="I113" s="1"/>
      <c r="J113" s="1"/>
      <c r="K113" s="1"/>
      <c r="L113" s="1"/>
      <c r="M113" s="1"/>
      <c r="N113" s="1"/>
      <c r="O113" s="1"/>
      <c r="P113" s="1"/>
      <c r="Q113" s="1"/>
    </row>
    <row r="114" spans="1:17" x14ac:dyDescent="0.2">
      <c r="A114" s="1"/>
      <c r="B114" s="1"/>
      <c r="C114" s="1"/>
      <c r="D114" s="1"/>
      <c r="E114" s="1"/>
      <c r="F114" s="1"/>
      <c r="G114" s="1"/>
      <c r="H114" s="1"/>
      <c r="I114" s="1"/>
      <c r="J114" s="1"/>
      <c r="K114" s="1"/>
      <c r="L114" s="1"/>
      <c r="M114" s="1"/>
      <c r="N114" s="1"/>
      <c r="O114" s="1"/>
      <c r="P114" s="1"/>
      <c r="Q114" s="1"/>
    </row>
    <row r="115" spans="1:17" x14ac:dyDescent="0.2">
      <c r="A115" s="1"/>
      <c r="B115" s="1"/>
      <c r="C115" s="1"/>
      <c r="D115" s="1"/>
      <c r="E115" s="1"/>
      <c r="F115" s="1"/>
      <c r="G115" s="1"/>
      <c r="H115" s="1"/>
      <c r="I115" s="1"/>
      <c r="J115" s="1"/>
      <c r="K115" s="1"/>
      <c r="L115" s="1"/>
      <c r="M115" s="1"/>
      <c r="N115" s="1"/>
      <c r="O115" s="1"/>
      <c r="P115" s="1"/>
      <c r="Q115" s="1"/>
    </row>
    <row r="116" spans="1:17" x14ac:dyDescent="0.2">
      <c r="A116" s="1"/>
      <c r="B116" s="1"/>
      <c r="C116" s="1"/>
      <c r="D116" s="1"/>
      <c r="E116" s="1"/>
      <c r="F116" s="1"/>
      <c r="G116" s="1"/>
      <c r="H116" s="1"/>
      <c r="I116" s="1"/>
      <c r="J116" s="1"/>
      <c r="K116" s="1"/>
      <c r="L116" s="1"/>
      <c r="M116" s="1"/>
      <c r="N116" s="1"/>
      <c r="O116" s="1"/>
      <c r="P116" s="1"/>
      <c r="Q116" s="1"/>
    </row>
    <row r="117" spans="1:17" x14ac:dyDescent="0.2">
      <c r="A117" s="1"/>
      <c r="B117" s="1"/>
      <c r="C117" s="1"/>
      <c r="D117" s="1"/>
      <c r="E117" s="1"/>
      <c r="F117" s="1"/>
      <c r="G117" s="1"/>
      <c r="H117" s="1"/>
      <c r="I117" s="1"/>
      <c r="J117" s="1"/>
      <c r="K117" s="1"/>
      <c r="L117" s="1"/>
      <c r="M117" s="1"/>
      <c r="N117" s="1"/>
      <c r="O117" s="1"/>
      <c r="P117" s="1"/>
      <c r="Q117" s="1"/>
    </row>
    <row r="118" spans="1:17" x14ac:dyDescent="0.2">
      <c r="A118" s="1"/>
      <c r="B118" s="1"/>
      <c r="C118" s="1"/>
      <c r="D118" s="1"/>
      <c r="E118" s="1"/>
      <c r="F118" s="1"/>
      <c r="G118" s="1"/>
      <c r="H118" s="1"/>
      <c r="I118" s="1"/>
      <c r="J118" s="1"/>
      <c r="K118" s="1"/>
      <c r="L118" s="1"/>
      <c r="M118" s="1"/>
      <c r="N118" s="1"/>
      <c r="O118" s="1"/>
      <c r="P118" s="1"/>
      <c r="Q118" s="1"/>
    </row>
    <row r="119" spans="1:17" x14ac:dyDescent="0.2">
      <c r="A119" s="1"/>
      <c r="B119" s="1"/>
      <c r="C119" s="1"/>
      <c r="D119" s="1"/>
      <c r="E119" s="1"/>
      <c r="F119" s="1"/>
      <c r="G119" s="1"/>
      <c r="H119" s="1"/>
      <c r="I119" s="1"/>
      <c r="J119" s="1"/>
      <c r="K119" s="1"/>
      <c r="L119" s="1"/>
      <c r="M119" s="1"/>
      <c r="N119" s="1"/>
      <c r="O119" s="1"/>
      <c r="P119" s="1"/>
      <c r="Q119" s="1"/>
    </row>
    <row r="120" spans="1:17" x14ac:dyDescent="0.2">
      <c r="A120" s="1"/>
      <c r="B120" s="1"/>
      <c r="C120" s="1"/>
      <c r="D120" s="1"/>
      <c r="E120" s="1"/>
      <c r="F120" s="1"/>
      <c r="G120" s="1"/>
      <c r="H120" s="1"/>
      <c r="I120" s="1"/>
      <c r="J120" s="1"/>
      <c r="K120" s="1"/>
      <c r="L120" s="1"/>
      <c r="M120" s="1"/>
      <c r="N120" s="1"/>
      <c r="O120" s="1"/>
      <c r="P120" s="1"/>
      <c r="Q120" s="1"/>
    </row>
    <row r="121" spans="1:17" x14ac:dyDescent="0.2">
      <c r="A121" s="1"/>
      <c r="B121" s="1"/>
      <c r="C121" s="1"/>
      <c r="D121" s="1"/>
      <c r="E121" s="1"/>
      <c r="F121" s="1"/>
      <c r="G121" s="1"/>
      <c r="H121" s="1"/>
      <c r="I121" s="1"/>
      <c r="J121" s="1"/>
      <c r="K121" s="1"/>
      <c r="L121" s="1"/>
      <c r="M121" s="1"/>
      <c r="N121" s="1"/>
      <c r="O121" s="1"/>
      <c r="P121" s="1"/>
      <c r="Q121" s="1"/>
    </row>
    <row r="122" spans="1:17" x14ac:dyDescent="0.2">
      <c r="A122" s="1"/>
      <c r="B122" s="1"/>
      <c r="C122" s="1"/>
      <c r="D122" s="1"/>
      <c r="E122" s="1"/>
      <c r="F122" s="1"/>
      <c r="G122" s="1"/>
      <c r="H122" s="1"/>
      <c r="I122" s="1"/>
      <c r="J122" s="1"/>
      <c r="K122" s="1"/>
      <c r="L122" s="1"/>
      <c r="M122" s="1"/>
      <c r="N122" s="1"/>
      <c r="O122" s="1"/>
      <c r="P122" s="1"/>
      <c r="Q122" s="1"/>
    </row>
    <row r="123" spans="1:17" x14ac:dyDescent="0.2">
      <c r="A123" s="1"/>
      <c r="B123" s="1"/>
      <c r="C123" s="1"/>
      <c r="D123" s="1"/>
      <c r="E123" s="1"/>
      <c r="F123" s="1"/>
      <c r="G123" s="1"/>
      <c r="H123" s="1"/>
      <c r="I123" s="1"/>
      <c r="J123" s="1"/>
      <c r="K123" s="1"/>
      <c r="L123" s="1"/>
      <c r="M123" s="1"/>
      <c r="N123" s="1"/>
      <c r="O123" s="1"/>
      <c r="P123" s="1"/>
      <c r="Q123" s="1"/>
    </row>
    <row r="124" spans="1:17" x14ac:dyDescent="0.2">
      <c r="A124" s="1"/>
      <c r="B124" s="1"/>
      <c r="C124" s="1"/>
      <c r="D124" s="1"/>
      <c r="E124" s="1"/>
      <c r="F124" s="1"/>
      <c r="G124" s="1"/>
      <c r="H124" s="1"/>
      <c r="I124" s="1"/>
      <c r="J124" s="1"/>
      <c r="K124" s="1"/>
      <c r="L124" s="1"/>
      <c r="M124" s="1"/>
      <c r="N124" s="1"/>
      <c r="O124" s="1"/>
      <c r="P124" s="1"/>
      <c r="Q124" s="1"/>
    </row>
    <row r="125" spans="1:17" x14ac:dyDescent="0.2">
      <c r="A125" s="1"/>
      <c r="B125" s="1"/>
      <c r="C125" s="1"/>
      <c r="D125" s="1"/>
      <c r="E125" s="1"/>
      <c r="F125" s="1"/>
      <c r="G125" s="1"/>
      <c r="H125" s="1"/>
      <c r="I125" s="1"/>
      <c r="J125" s="1"/>
      <c r="K125" s="1"/>
      <c r="L125" s="1"/>
      <c r="M125" s="1"/>
      <c r="N125" s="1"/>
      <c r="O125" s="1"/>
      <c r="P125" s="1"/>
      <c r="Q125" s="1"/>
    </row>
    <row r="126" spans="1:17" x14ac:dyDescent="0.2">
      <c r="A126" s="1"/>
      <c r="B126" s="1"/>
      <c r="C126" s="1"/>
      <c r="D126" s="1"/>
      <c r="E126" s="1"/>
      <c r="F126" s="1"/>
      <c r="G126" s="1"/>
      <c r="H126" s="1"/>
      <c r="I126" s="1"/>
      <c r="J126" s="1"/>
      <c r="K126" s="1"/>
      <c r="L126" s="1"/>
      <c r="M126" s="1"/>
      <c r="N126" s="1"/>
      <c r="O126" s="1"/>
      <c r="P126" s="1"/>
      <c r="Q126" s="1"/>
    </row>
    <row r="127" spans="1:17" x14ac:dyDescent="0.2">
      <c r="A127" s="1"/>
      <c r="B127" s="1"/>
      <c r="C127" s="1"/>
      <c r="D127" s="1"/>
      <c r="E127" s="1"/>
      <c r="F127" s="1"/>
      <c r="G127" s="1"/>
      <c r="H127" s="1"/>
      <c r="I127" s="1"/>
      <c r="J127" s="1"/>
      <c r="K127" s="1"/>
      <c r="L127" s="1"/>
      <c r="M127" s="1"/>
      <c r="N127" s="1"/>
      <c r="O127" s="1"/>
      <c r="P127" s="1"/>
      <c r="Q127" s="1"/>
    </row>
    <row r="128" spans="1:17" x14ac:dyDescent="0.2">
      <c r="A128" s="1"/>
      <c r="B128" s="1"/>
      <c r="C128" s="1"/>
      <c r="D128" s="1"/>
      <c r="E128" s="1"/>
      <c r="F128" s="1"/>
      <c r="G128" s="1"/>
      <c r="H128" s="1"/>
      <c r="I128" s="1"/>
      <c r="J128" s="1"/>
      <c r="K128" s="1"/>
      <c r="L128" s="1"/>
      <c r="M128" s="1"/>
      <c r="N128" s="1"/>
      <c r="O128" s="1"/>
      <c r="P128" s="1"/>
      <c r="Q128" s="1"/>
    </row>
    <row r="129" spans="1:17" x14ac:dyDescent="0.2">
      <c r="A129" s="1"/>
      <c r="B129" s="1"/>
      <c r="C129" s="1"/>
      <c r="D129" s="1"/>
      <c r="E129" s="1"/>
      <c r="F129" s="1"/>
      <c r="G129" s="1"/>
      <c r="H129" s="1"/>
      <c r="I129" s="1"/>
      <c r="J129" s="1"/>
      <c r="K129" s="1"/>
      <c r="L129" s="1"/>
      <c r="M129" s="1"/>
      <c r="N129" s="1"/>
      <c r="O129" s="1"/>
      <c r="P129" s="1"/>
      <c r="Q129" s="1"/>
    </row>
    <row r="130" spans="1:17" x14ac:dyDescent="0.2">
      <c r="A130" s="1"/>
      <c r="B130" s="1"/>
      <c r="C130" s="1"/>
      <c r="D130" s="1"/>
      <c r="E130" s="1"/>
      <c r="F130" s="1"/>
      <c r="G130" s="1"/>
      <c r="H130" s="1"/>
      <c r="I130" s="1"/>
      <c r="J130" s="1"/>
      <c r="K130" s="1"/>
      <c r="L130" s="1"/>
      <c r="M130" s="1"/>
      <c r="N130" s="1"/>
      <c r="O130" s="1"/>
      <c r="P130" s="1"/>
      <c r="Q130" s="1"/>
    </row>
    <row r="131" spans="1:17" x14ac:dyDescent="0.2">
      <c r="A131" s="1"/>
      <c r="B131" s="1"/>
      <c r="C131" s="1"/>
      <c r="D131" s="1"/>
      <c r="E131" s="1"/>
      <c r="F131" s="1"/>
      <c r="G131" s="1"/>
      <c r="H131" s="1"/>
      <c r="I131" s="1"/>
      <c r="J131" s="1"/>
      <c r="K131" s="1"/>
      <c r="L131" s="1"/>
      <c r="M131" s="1"/>
      <c r="N131" s="1"/>
      <c r="O131" s="1"/>
      <c r="P131" s="1"/>
      <c r="Q131" s="1"/>
    </row>
    <row r="132" spans="1:17" x14ac:dyDescent="0.2">
      <c r="A132" s="1"/>
      <c r="B132" s="1"/>
      <c r="C132" s="1"/>
      <c r="D132" s="1"/>
      <c r="E132" s="1"/>
      <c r="F132" s="1"/>
      <c r="G132" s="1"/>
      <c r="H132" s="1"/>
      <c r="I132" s="1"/>
      <c r="J132" s="1"/>
      <c r="K132" s="1"/>
      <c r="L132" s="1"/>
      <c r="M132" s="1"/>
      <c r="N132" s="1"/>
      <c r="O132" s="1"/>
      <c r="P132" s="1"/>
      <c r="Q132" s="1"/>
    </row>
    <row r="133" spans="1:17" x14ac:dyDescent="0.2">
      <c r="A133" s="1"/>
      <c r="B133" s="1"/>
      <c r="C133" s="1"/>
      <c r="D133" s="1"/>
      <c r="E133" s="1"/>
      <c r="F133" s="1"/>
      <c r="G133" s="1"/>
      <c r="H133" s="1"/>
      <c r="I133" s="1"/>
      <c r="J133" s="1"/>
      <c r="K133" s="1"/>
      <c r="L133" s="1"/>
      <c r="M133" s="1"/>
      <c r="N133" s="1"/>
      <c r="O133" s="1"/>
      <c r="P133" s="1"/>
      <c r="Q133" s="1"/>
    </row>
    <row r="134" spans="1:17" x14ac:dyDescent="0.2">
      <c r="A134" s="1"/>
      <c r="B134" s="1"/>
      <c r="C134" s="1"/>
      <c r="D134" s="1"/>
      <c r="E134" s="1"/>
      <c r="F134" s="1"/>
      <c r="G134" s="1"/>
      <c r="H134" s="1"/>
      <c r="I134" s="1"/>
      <c r="J134" s="1"/>
      <c r="K134" s="1"/>
      <c r="L134" s="1"/>
      <c r="M134" s="1"/>
      <c r="N134" s="1"/>
      <c r="O134" s="1"/>
      <c r="P134" s="1"/>
      <c r="Q134" s="1"/>
    </row>
    <row r="135" spans="1:17" x14ac:dyDescent="0.2">
      <c r="A135" s="1"/>
      <c r="B135" s="1"/>
      <c r="C135" s="1"/>
      <c r="D135" s="1"/>
      <c r="E135" s="1"/>
      <c r="F135" s="1"/>
      <c r="G135" s="1"/>
      <c r="H135" s="1"/>
      <c r="I135" s="1"/>
      <c r="J135" s="1"/>
      <c r="K135" s="1"/>
      <c r="L135" s="1"/>
      <c r="M135" s="1"/>
      <c r="N135" s="1"/>
      <c r="O135" s="1"/>
      <c r="P135" s="1"/>
      <c r="Q135" s="1"/>
    </row>
    <row r="136" spans="1:17" x14ac:dyDescent="0.2">
      <c r="A136" s="1"/>
      <c r="B136" s="1"/>
      <c r="C136" s="1"/>
      <c r="D136" s="1"/>
      <c r="E136" s="1"/>
      <c r="F136" s="1"/>
      <c r="G136" s="1"/>
      <c r="H136" s="1"/>
      <c r="I136" s="1"/>
      <c r="J136" s="1"/>
      <c r="K136" s="1"/>
      <c r="L136" s="1"/>
      <c r="M136" s="1"/>
      <c r="N136" s="1"/>
      <c r="O136" s="1"/>
      <c r="P136" s="1"/>
      <c r="Q136" s="1"/>
    </row>
    <row r="137" spans="1:17" x14ac:dyDescent="0.2">
      <c r="A137" s="1"/>
      <c r="B137" s="1"/>
      <c r="C137" s="1"/>
      <c r="D137" s="1"/>
      <c r="E137" s="1"/>
      <c r="F137" s="1"/>
      <c r="G137" s="1"/>
      <c r="H137" s="1"/>
      <c r="I137" s="1"/>
      <c r="J137" s="1"/>
      <c r="K137" s="1"/>
      <c r="L137" s="1"/>
      <c r="M137" s="1"/>
      <c r="N137" s="1"/>
      <c r="O137" s="1"/>
      <c r="P137" s="1"/>
      <c r="Q137" s="1"/>
    </row>
    <row r="138" spans="1:17" x14ac:dyDescent="0.2">
      <c r="A138" s="1"/>
      <c r="B138" s="1"/>
      <c r="C138" s="1"/>
      <c r="D138" s="1"/>
      <c r="E138" s="1"/>
      <c r="F138" s="1"/>
      <c r="G138" s="1"/>
      <c r="H138" s="1"/>
      <c r="I138" s="1"/>
      <c r="J138" s="1"/>
      <c r="K138" s="1"/>
      <c r="L138" s="1"/>
      <c r="M138" s="1"/>
      <c r="N138" s="1"/>
      <c r="O138" s="1"/>
      <c r="P138" s="1"/>
      <c r="Q138" s="1"/>
    </row>
    <row r="139" spans="1:17" x14ac:dyDescent="0.2">
      <c r="A139" s="1"/>
      <c r="B139" s="1"/>
      <c r="C139" s="1"/>
      <c r="D139" s="1"/>
      <c r="E139" s="1"/>
      <c r="F139" s="1"/>
      <c r="G139" s="1"/>
      <c r="H139" s="1"/>
      <c r="I139" s="1"/>
      <c r="J139" s="1"/>
      <c r="K139" s="1"/>
      <c r="L139" s="1"/>
      <c r="M139" s="1"/>
      <c r="N139" s="1"/>
      <c r="O139" s="1"/>
      <c r="P139" s="1"/>
      <c r="Q139" s="1"/>
    </row>
    <row r="140" spans="1:17" x14ac:dyDescent="0.2">
      <c r="A140" s="1"/>
      <c r="B140" s="1"/>
      <c r="C140" s="1"/>
      <c r="D140" s="1"/>
      <c r="E140" s="1"/>
      <c r="F140" s="1"/>
      <c r="G140" s="1"/>
      <c r="H140" s="1"/>
      <c r="I140" s="1"/>
      <c r="J140" s="1"/>
      <c r="K140" s="1"/>
      <c r="L140" s="1"/>
      <c r="M140" s="1"/>
      <c r="N140" s="1"/>
      <c r="O140" s="1"/>
      <c r="P140" s="1"/>
      <c r="Q140" s="1"/>
    </row>
    <row r="141" spans="1:17" x14ac:dyDescent="0.2">
      <c r="A141" s="1"/>
      <c r="B141" s="1"/>
      <c r="C141" s="1"/>
      <c r="D141" s="1"/>
      <c r="E141" s="1"/>
      <c r="F141" s="1"/>
      <c r="G141" s="1"/>
      <c r="H141" s="1"/>
      <c r="I141" s="1"/>
      <c r="J141" s="1"/>
      <c r="K141" s="1"/>
      <c r="L141" s="1"/>
      <c r="M141" s="1"/>
      <c r="N141" s="1"/>
      <c r="O141" s="1"/>
      <c r="P141" s="1"/>
      <c r="Q141" s="1"/>
    </row>
    <row r="142" spans="1:17" x14ac:dyDescent="0.2">
      <c r="A142" s="1"/>
      <c r="B142" s="1"/>
      <c r="C142" s="1"/>
      <c r="D142" s="1"/>
      <c r="E142" s="1"/>
      <c r="F142" s="1"/>
      <c r="G142" s="1"/>
      <c r="H142" s="1"/>
      <c r="I142" s="1"/>
      <c r="J142" s="1"/>
      <c r="K142" s="1"/>
      <c r="L142" s="1"/>
      <c r="M142" s="1"/>
      <c r="N142" s="1"/>
      <c r="O142" s="1"/>
      <c r="P142" s="1"/>
      <c r="Q142" s="1"/>
    </row>
    <row r="143" spans="1:17" x14ac:dyDescent="0.2">
      <c r="A143" s="1"/>
      <c r="B143" s="1"/>
      <c r="C143" s="1"/>
      <c r="D143" s="1"/>
      <c r="E143" s="1"/>
      <c r="F143" s="1"/>
      <c r="G143" s="1"/>
      <c r="H143" s="1"/>
      <c r="I143" s="1"/>
      <c r="J143" s="1"/>
      <c r="K143" s="1"/>
      <c r="L143" s="1"/>
      <c r="M143" s="1"/>
      <c r="N143" s="1"/>
      <c r="O143" s="1"/>
      <c r="P143" s="1"/>
      <c r="Q143" s="1"/>
    </row>
    <row r="144" spans="1:17" x14ac:dyDescent="0.2">
      <c r="A144" s="1"/>
      <c r="B144" s="1"/>
      <c r="C144" s="1"/>
      <c r="D144" s="1"/>
      <c r="E144" s="1"/>
      <c r="F144" s="1"/>
      <c r="G144" s="1"/>
      <c r="H144" s="1"/>
      <c r="I144" s="1"/>
      <c r="J144" s="1"/>
      <c r="K144" s="1"/>
      <c r="L144" s="1"/>
      <c r="M144" s="1"/>
      <c r="N144" s="1"/>
      <c r="O144" s="1"/>
      <c r="P144" s="1"/>
      <c r="Q144" s="1"/>
    </row>
    <row r="145" spans="1:17" x14ac:dyDescent="0.2">
      <c r="A145" s="1"/>
      <c r="B145" s="1"/>
      <c r="C145" s="1"/>
      <c r="D145" s="1"/>
      <c r="E145" s="1"/>
      <c r="F145" s="1"/>
      <c r="G145" s="1"/>
      <c r="H145" s="1"/>
      <c r="I145" s="1"/>
      <c r="J145" s="1"/>
      <c r="K145" s="1"/>
      <c r="L145" s="1"/>
      <c r="M145" s="1"/>
      <c r="N145" s="1"/>
      <c r="O145" s="1"/>
      <c r="P145" s="1"/>
      <c r="Q145" s="1"/>
    </row>
    <row r="146" spans="1:17" x14ac:dyDescent="0.2">
      <c r="A146" s="1"/>
      <c r="B146" s="1"/>
      <c r="C146" s="1"/>
      <c r="D146" s="1"/>
      <c r="E146" s="1"/>
      <c r="F146" s="1"/>
      <c r="G146" s="1"/>
      <c r="H146" s="1"/>
      <c r="I146" s="1"/>
      <c r="J146" s="1"/>
      <c r="K146" s="1"/>
      <c r="L146" s="1"/>
      <c r="M146" s="1"/>
      <c r="N146" s="1"/>
      <c r="O146" s="1"/>
      <c r="P146" s="1"/>
      <c r="Q146" s="1"/>
    </row>
    <row r="147" spans="1:17" x14ac:dyDescent="0.2">
      <c r="A147" s="1"/>
      <c r="B147" s="1"/>
      <c r="C147" s="1"/>
      <c r="D147" s="1"/>
      <c r="E147" s="1"/>
      <c r="F147" s="1"/>
      <c r="G147" s="1"/>
      <c r="H147" s="1"/>
      <c r="I147" s="1"/>
      <c r="J147" s="1"/>
      <c r="K147" s="1"/>
      <c r="L147" s="1"/>
      <c r="M147" s="1"/>
      <c r="N147" s="1"/>
      <c r="O147" s="1"/>
      <c r="P147" s="1"/>
      <c r="Q147" s="1"/>
    </row>
    <row r="148" spans="1:17" x14ac:dyDescent="0.2">
      <c r="A148" s="1"/>
      <c r="B148" s="1"/>
      <c r="C148" s="1"/>
      <c r="D148" s="1"/>
      <c r="E148" s="1"/>
      <c r="F148" s="1"/>
      <c r="G148" s="1"/>
      <c r="H148" s="1"/>
      <c r="I148" s="1"/>
      <c r="J148" s="1"/>
      <c r="K148" s="1"/>
      <c r="L148" s="1"/>
      <c r="M148" s="1"/>
      <c r="N148" s="1"/>
      <c r="O148" s="1"/>
      <c r="P148" s="1"/>
      <c r="Q148" s="1"/>
    </row>
    <row r="149" spans="1:17" x14ac:dyDescent="0.2">
      <c r="A149" s="1"/>
      <c r="B149" s="1"/>
      <c r="C149" s="1"/>
      <c r="D149" s="1"/>
      <c r="E149" s="1"/>
      <c r="F149" s="1"/>
      <c r="G149" s="1"/>
      <c r="H149" s="1"/>
      <c r="I149" s="1"/>
      <c r="J149" s="1"/>
      <c r="K149" s="1"/>
      <c r="L149" s="1"/>
      <c r="M149" s="1"/>
      <c r="N149" s="1"/>
      <c r="O149" s="1"/>
      <c r="P149" s="1"/>
      <c r="Q149" s="1"/>
    </row>
    <row r="150" spans="1:17" x14ac:dyDescent="0.2">
      <c r="A150" s="1"/>
      <c r="B150" s="1"/>
      <c r="C150" s="1"/>
      <c r="D150" s="1"/>
      <c r="E150" s="1"/>
      <c r="F150" s="1"/>
      <c r="G150" s="1"/>
      <c r="H150" s="1"/>
      <c r="I150" s="1"/>
      <c r="J150" s="1"/>
      <c r="K150" s="1"/>
      <c r="L150" s="1"/>
      <c r="M150" s="1"/>
      <c r="N150" s="1"/>
      <c r="O150" s="1"/>
      <c r="P150" s="1"/>
      <c r="Q150" s="1"/>
    </row>
    <row r="151" spans="1:17" x14ac:dyDescent="0.2">
      <c r="A151" s="1"/>
      <c r="B151" s="1"/>
      <c r="C151" s="1"/>
      <c r="D151" s="1"/>
      <c r="E151" s="1"/>
      <c r="F151" s="1"/>
      <c r="G151" s="1"/>
      <c r="H151" s="1"/>
      <c r="I151" s="1"/>
      <c r="J151" s="1"/>
      <c r="K151" s="1"/>
      <c r="L151" s="1"/>
      <c r="M151" s="1"/>
      <c r="N151" s="1"/>
      <c r="O151" s="1"/>
      <c r="P151" s="1"/>
      <c r="Q151" s="1"/>
    </row>
    <row r="152" spans="1:17" x14ac:dyDescent="0.2">
      <c r="A152" s="1"/>
      <c r="B152" s="1"/>
      <c r="C152" s="1"/>
      <c r="D152" s="1"/>
      <c r="E152" s="1"/>
      <c r="F152" s="1"/>
      <c r="G152" s="1"/>
      <c r="H152" s="1"/>
      <c r="I152" s="1"/>
      <c r="J152" s="1"/>
      <c r="K152" s="1"/>
      <c r="L152" s="1"/>
      <c r="M152" s="1"/>
      <c r="N152" s="1"/>
      <c r="O152" s="1"/>
      <c r="P152" s="1"/>
      <c r="Q152" s="1"/>
    </row>
    <row r="153" spans="1:17" x14ac:dyDescent="0.2">
      <c r="A153" s="1"/>
      <c r="B153" s="1"/>
      <c r="C153" s="1"/>
      <c r="D153" s="1"/>
      <c r="E153" s="1"/>
      <c r="F153" s="1"/>
      <c r="G153" s="1"/>
      <c r="H153" s="1"/>
      <c r="I153" s="1"/>
      <c r="J153" s="1"/>
      <c r="K153" s="1"/>
      <c r="L153" s="1"/>
      <c r="M153" s="1"/>
      <c r="N153" s="1"/>
      <c r="O153" s="1"/>
      <c r="P153" s="1"/>
      <c r="Q153" s="1"/>
    </row>
    <row r="154" spans="1:17" x14ac:dyDescent="0.2">
      <c r="A154" s="1"/>
      <c r="B154" s="1"/>
      <c r="C154" s="1"/>
      <c r="D154" s="1"/>
      <c r="E154" s="1"/>
      <c r="F154" s="1"/>
      <c r="G154" s="1"/>
      <c r="H154" s="1"/>
      <c r="I154" s="1"/>
      <c r="J154" s="1"/>
      <c r="K154" s="1"/>
      <c r="L154" s="1"/>
      <c r="M154" s="1"/>
      <c r="N154" s="1"/>
      <c r="O154" s="1"/>
      <c r="P154" s="1"/>
      <c r="Q154" s="1"/>
    </row>
    <row r="155" spans="1:17" x14ac:dyDescent="0.2">
      <c r="A155" s="1"/>
      <c r="B155" s="1"/>
      <c r="C155" s="1"/>
      <c r="D155" s="1"/>
      <c r="E155" s="1"/>
      <c r="F155" s="1"/>
      <c r="G155" s="1"/>
      <c r="H155" s="1"/>
      <c r="I155" s="1"/>
      <c r="J155" s="1"/>
      <c r="K155" s="1"/>
      <c r="L155" s="1"/>
      <c r="M155" s="1"/>
      <c r="N155" s="1"/>
      <c r="O155" s="1"/>
      <c r="P155" s="1"/>
      <c r="Q155" s="1"/>
    </row>
    <row r="156" spans="1:17" x14ac:dyDescent="0.2">
      <c r="A156" s="1"/>
      <c r="B156" s="1"/>
      <c r="C156" s="1"/>
      <c r="D156" s="1"/>
      <c r="E156" s="1"/>
      <c r="F156" s="1"/>
      <c r="G156" s="1"/>
      <c r="H156" s="1"/>
      <c r="I156" s="1"/>
      <c r="J156" s="1"/>
      <c r="K156" s="1"/>
      <c r="L156" s="1"/>
      <c r="M156" s="1"/>
      <c r="N156" s="1"/>
      <c r="O156" s="1"/>
      <c r="P156" s="1"/>
      <c r="Q156" s="1"/>
    </row>
    <row r="157" spans="1:17" x14ac:dyDescent="0.2">
      <c r="A157" s="1"/>
      <c r="B157" s="1"/>
      <c r="C157" s="1"/>
      <c r="D157" s="1"/>
      <c r="E157" s="1"/>
      <c r="F157" s="1"/>
      <c r="G157" s="1"/>
      <c r="H157" s="1"/>
      <c r="I157" s="1"/>
      <c r="J157" s="1"/>
      <c r="K157" s="1"/>
      <c r="L157" s="1"/>
      <c r="M157" s="1"/>
      <c r="N157" s="1"/>
      <c r="O157" s="1"/>
      <c r="P157" s="1"/>
      <c r="Q157" s="1"/>
    </row>
    <row r="158" spans="1:17" x14ac:dyDescent="0.2">
      <c r="A158" s="1"/>
      <c r="B158" s="1"/>
      <c r="C158" s="1"/>
      <c r="D158" s="1"/>
      <c r="E158" s="1"/>
      <c r="F158" s="1"/>
      <c r="G158" s="1"/>
      <c r="H158" s="1"/>
      <c r="I158" s="1"/>
      <c r="J158" s="1"/>
      <c r="K158" s="1"/>
      <c r="L158" s="1"/>
      <c r="M158" s="1"/>
      <c r="N158" s="1"/>
      <c r="O158" s="1"/>
      <c r="P158" s="1"/>
      <c r="Q158" s="1"/>
    </row>
    <row r="159" spans="1:17" x14ac:dyDescent="0.2">
      <c r="A159" s="1"/>
      <c r="B159" s="1"/>
      <c r="C159" s="1"/>
      <c r="D159" s="1"/>
      <c r="E159" s="1"/>
      <c r="F159" s="1"/>
      <c r="G159" s="1"/>
      <c r="H159" s="1"/>
      <c r="I159" s="1"/>
      <c r="J159" s="1"/>
      <c r="K159" s="1"/>
      <c r="L159" s="1"/>
      <c r="M159" s="1"/>
      <c r="N159" s="1"/>
      <c r="O159" s="1"/>
      <c r="P159" s="1"/>
      <c r="Q159" s="1"/>
    </row>
    <row r="160" spans="1:17" x14ac:dyDescent="0.2">
      <c r="A160" s="1"/>
      <c r="B160" s="1"/>
      <c r="C160" s="1"/>
      <c r="D160" s="1"/>
      <c r="E160" s="1"/>
      <c r="F160" s="1"/>
      <c r="G160" s="1"/>
      <c r="H160" s="1"/>
      <c r="I160" s="1"/>
      <c r="J160" s="1"/>
      <c r="K160" s="1"/>
      <c r="L160" s="1"/>
      <c r="M160" s="1"/>
      <c r="N160" s="1"/>
      <c r="O160" s="1"/>
      <c r="P160" s="1"/>
      <c r="Q160" s="1"/>
    </row>
    <row r="161" spans="1:17" x14ac:dyDescent="0.2">
      <c r="A161" s="1"/>
      <c r="B161" s="1"/>
      <c r="C161" s="1"/>
      <c r="D161" s="1"/>
      <c r="E161" s="1"/>
      <c r="F161" s="1"/>
      <c r="G161" s="1"/>
      <c r="H161" s="1"/>
      <c r="I161" s="1"/>
      <c r="J161" s="1"/>
      <c r="K161" s="1"/>
      <c r="L161" s="1"/>
      <c r="M161" s="1"/>
      <c r="N161" s="1"/>
      <c r="O161" s="1"/>
      <c r="P161" s="1"/>
      <c r="Q161" s="1"/>
    </row>
    <row r="162" spans="1:17" x14ac:dyDescent="0.2">
      <c r="A162" s="1"/>
      <c r="B162" s="1"/>
      <c r="C162" s="1"/>
      <c r="D162" s="1"/>
      <c r="E162" s="1"/>
      <c r="F162" s="1"/>
      <c r="G162" s="1"/>
      <c r="H162" s="1"/>
      <c r="I162" s="1"/>
      <c r="J162" s="1"/>
      <c r="K162" s="1"/>
      <c r="L162" s="1"/>
      <c r="M162" s="1"/>
      <c r="N162" s="1"/>
      <c r="O162" s="1"/>
      <c r="P162" s="1"/>
      <c r="Q162" s="1"/>
    </row>
    <row r="163" spans="1:17" x14ac:dyDescent="0.2">
      <c r="A163" s="1"/>
      <c r="B163" s="1"/>
      <c r="C163" s="1"/>
      <c r="D163" s="1"/>
      <c r="E163" s="1"/>
      <c r="F163" s="1"/>
      <c r="G163" s="1"/>
      <c r="H163" s="1"/>
      <c r="I163" s="1"/>
      <c r="J163" s="1"/>
      <c r="K163" s="1"/>
      <c r="L163" s="1"/>
      <c r="M163" s="1"/>
      <c r="N163" s="1"/>
      <c r="O163" s="1"/>
      <c r="P163" s="1"/>
      <c r="Q163" s="1"/>
    </row>
    <row r="164" spans="1:17" x14ac:dyDescent="0.2">
      <c r="A164" s="1"/>
      <c r="B164" s="1"/>
      <c r="C164" s="1"/>
      <c r="D164" s="1"/>
      <c r="E164" s="1"/>
      <c r="F164" s="1"/>
      <c r="G164" s="1"/>
      <c r="H164" s="1"/>
      <c r="I164" s="1"/>
      <c r="J164" s="1"/>
      <c r="K164" s="1"/>
      <c r="L164" s="1"/>
      <c r="M164" s="1"/>
      <c r="N164" s="1"/>
      <c r="O164" s="1"/>
      <c r="P164" s="1"/>
      <c r="Q164" s="1"/>
    </row>
    <row r="165" spans="1:17" x14ac:dyDescent="0.2">
      <c r="A165" s="1"/>
      <c r="B165" s="1"/>
      <c r="C165" s="1"/>
      <c r="D165" s="1"/>
      <c r="E165" s="1"/>
      <c r="F165" s="1"/>
      <c r="G165" s="1"/>
      <c r="H165" s="1"/>
      <c r="I165" s="1"/>
      <c r="J165" s="1"/>
      <c r="K165" s="1"/>
      <c r="L165" s="1"/>
      <c r="M165" s="1"/>
      <c r="N165" s="1"/>
      <c r="O165" s="1"/>
      <c r="P165" s="1"/>
      <c r="Q165" s="1"/>
    </row>
    <row r="166" spans="1:17" x14ac:dyDescent="0.2">
      <c r="A166" s="1"/>
      <c r="B166" s="1"/>
      <c r="C166" s="1"/>
      <c r="D166" s="1"/>
      <c r="E166" s="1"/>
      <c r="F166" s="1"/>
      <c r="G166" s="1"/>
      <c r="H166" s="1"/>
      <c r="I166" s="1"/>
      <c r="J166" s="1"/>
      <c r="K166" s="1"/>
      <c r="L166" s="1"/>
      <c r="M166" s="1"/>
      <c r="N166" s="1"/>
      <c r="O166" s="1"/>
      <c r="P166" s="1"/>
      <c r="Q166" s="1"/>
    </row>
    <row r="167" spans="1:17" x14ac:dyDescent="0.2">
      <c r="A167" s="1"/>
      <c r="B167" s="1"/>
      <c r="C167" s="1"/>
      <c r="D167" s="1"/>
      <c r="E167" s="1"/>
      <c r="F167" s="1"/>
      <c r="G167" s="1"/>
      <c r="H167" s="1"/>
      <c r="I167" s="1"/>
      <c r="J167" s="1"/>
      <c r="K167" s="1"/>
      <c r="L167" s="1"/>
      <c r="M167" s="1"/>
      <c r="N167" s="1"/>
      <c r="O167" s="1"/>
      <c r="P167" s="1"/>
      <c r="Q167" s="1"/>
    </row>
    <row r="168" spans="1:17" x14ac:dyDescent="0.2">
      <c r="A168" s="1"/>
      <c r="B168" s="1"/>
      <c r="C168" s="1"/>
      <c r="D168" s="1"/>
      <c r="E168" s="1"/>
      <c r="F168" s="1"/>
      <c r="G168" s="1"/>
      <c r="H168" s="1"/>
      <c r="I168" s="1"/>
      <c r="J168" s="1"/>
      <c r="K168" s="1"/>
      <c r="L168" s="1"/>
      <c r="M168" s="1"/>
      <c r="N168" s="1"/>
      <c r="O168" s="1"/>
      <c r="P168" s="1"/>
      <c r="Q168" s="1"/>
    </row>
    <row r="169" spans="1:17" x14ac:dyDescent="0.2">
      <c r="A169" s="1"/>
      <c r="B169" s="1"/>
      <c r="C169" s="1"/>
      <c r="D169" s="1"/>
      <c r="E169" s="1"/>
      <c r="F169" s="1"/>
      <c r="G169" s="1"/>
      <c r="H169" s="1"/>
      <c r="I169" s="1"/>
      <c r="J169" s="1"/>
      <c r="K169" s="1"/>
      <c r="L169" s="1"/>
      <c r="M169" s="1"/>
      <c r="N169" s="1"/>
      <c r="O169" s="1"/>
      <c r="P169" s="1"/>
      <c r="Q169" s="1"/>
    </row>
    <row r="170" spans="1:17" x14ac:dyDescent="0.2">
      <c r="A170" s="1"/>
      <c r="B170" s="1"/>
      <c r="C170" s="1"/>
      <c r="D170" s="1"/>
      <c r="E170" s="1"/>
      <c r="F170" s="1"/>
      <c r="G170" s="1"/>
      <c r="H170" s="1"/>
      <c r="I170" s="1"/>
      <c r="J170" s="1"/>
      <c r="K170" s="1"/>
      <c r="L170" s="1"/>
      <c r="M170" s="1"/>
      <c r="N170" s="1"/>
      <c r="O170" s="1"/>
      <c r="P170" s="1"/>
      <c r="Q170" s="1"/>
    </row>
    <row r="171" spans="1:17" x14ac:dyDescent="0.2">
      <c r="A171" s="1"/>
      <c r="B171" s="1"/>
      <c r="C171" s="1"/>
      <c r="D171" s="1"/>
      <c r="E171" s="1"/>
      <c r="F171" s="1"/>
      <c r="G171" s="1"/>
      <c r="H171" s="1"/>
      <c r="I171" s="1"/>
      <c r="J171" s="1"/>
      <c r="K171" s="1"/>
      <c r="L171" s="1"/>
      <c r="M171" s="1"/>
      <c r="N171" s="1"/>
      <c r="O171" s="1"/>
      <c r="P171" s="1"/>
      <c r="Q171" s="1"/>
    </row>
    <row r="172" spans="1:17" x14ac:dyDescent="0.2">
      <c r="A172" s="1"/>
      <c r="B172" s="1"/>
      <c r="C172" s="1"/>
      <c r="D172" s="1"/>
      <c r="E172" s="1"/>
      <c r="F172" s="1"/>
      <c r="G172" s="1"/>
      <c r="H172" s="1"/>
      <c r="I172" s="1"/>
      <c r="J172" s="1"/>
      <c r="K172" s="1"/>
      <c r="L172" s="1"/>
      <c r="M172" s="1"/>
      <c r="N172" s="1"/>
      <c r="O172" s="1"/>
      <c r="P172" s="1"/>
      <c r="Q172" s="1"/>
    </row>
    <row r="173" spans="1:17" x14ac:dyDescent="0.2">
      <c r="A173" s="1"/>
      <c r="B173" s="1"/>
      <c r="C173" s="1"/>
      <c r="D173" s="1"/>
      <c r="E173" s="1"/>
      <c r="F173" s="1"/>
      <c r="G173" s="1"/>
      <c r="H173" s="1"/>
      <c r="I173" s="1"/>
      <c r="J173" s="1"/>
      <c r="K173" s="1"/>
      <c r="L173" s="1"/>
      <c r="M173" s="1"/>
      <c r="N173" s="1"/>
      <c r="O173" s="1"/>
      <c r="P173" s="1"/>
      <c r="Q173" s="1"/>
    </row>
    <row r="174" spans="1:17" x14ac:dyDescent="0.2">
      <c r="A174" s="1"/>
      <c r="B174" s="1"/>
      <c r="C174" s="1"/>
      <c r="D174" s="1"/>
      <c r="E174" s="1"/>
      <c r="F174" s="1"/>
      <c r="G174" s="1"/>
      <c r="H174" s="1"/>
      <c r="I174" s="1"/>
      <c r="J174" s="1"/>
      <c r="K174" s="1"/>
      <c r="L174" s="1"/>
      <c r="M174" s="1"/>
      <c r="N174" s="1"/>
      <c r="O174" s="1"/>
      <c r="P174" s="1"/>
      <c r="Q174" s="1"/>
    </row>
    <row r="175" spans="1:17" x14ac:dyDescent="0.2">
      <c r="A175" s="1"/>
      <c r="B175" s="1"/>
      <c r="C175" s="1"/>
      <c r="D175" s="1"/>
      <c r="E175" s="1"/>
      <c r="F175" s="1"/>
      <c r="G175" s="1"/>
      <c r="H175" s="1"/>
      <c r="I175" s="1"/>
      <c r="J175" s="1"/>
      <c r="K175" s="1"/>
      <c r="L175" s="1"/>
      <c r="M175" s="1"/>
      <c r="N175" s="1"/>
      <c r="O175" s="1"/>
      <c r="P175" s="1"/>
      <c r="Q175" s="1"/>
    </row>
    <row r="176" spans="1:17" x14ac:dyDescent="0.2">
      <c r="A176" s="1"/>
      <c r="B176" s="1"/>
      <c r="C176" s="1"/>
      <c r="D176" s="1"/>
      <c r="E176" s="1"/>
      <c r="F176" s="1"/>
      <c r="G176" s="1"/>
      <c r="H176" s="1"/>
      <c r="I176" s="1"/>
      <c r="J176" s="1"/>
      <c r="K176" s="1"/>
      <c r="L176" s="1"/>
      <c r="M176" s="1"/>
      <c r="N176" s="1"/>
      <c r="O176" s="1"/>
      <c r="P176" s="1"/>
      <c r="Q176" s="1"/>
    </row>
    <row r="177" spans="1:17" x14ac:dyDescent="0.2">
      <c r="A177" s="1"/>
      <c r="B177" s="1"/>
      <c r="C177" s="1"/>
      <c r="D177" s="1"/>
      <c r="E177" s="1"/>
      <c r="F177" s="1"/>
      <c r="G177" s="1"/>
      <c r="H177" s="1"/>
      <c r="I177" s="1"/>
      <c r="J177" s="1"/>
      <c r="K177" s="1"/>
      <c r="L177" s="1"/>
      <c r="M177" s="1"/>
      <c r="N177" s="1"/>
      <c r="O177" s="1"/>
      <c r="P177" s="1"/>
      <c r="Q177" s="1"/>
    </row>
    <row r="178" spans="1:17" x14ac:dyDescent="0.2">
      <c r="A178" s="1"/>
      <c r="B178" s="1"/>
      <c r="C178" s="1"/>
      <c r="D178" s="1"/>
      <c r="E178" s="1"/>
      <c r="F178" s="1"/>
      <c r="G178" s="1"/>
      <c r="H178" s="1"/>
      <c r="I178" s="1"/>
      <c r="J178" s="1"/>
      <c r="K178" s="1"/>
      <c r="L178" s="1"/>
      <c r="M178" s="1"/>
      <c r="N178" s="1"/>
      <c r="O178" s="1"/>
      <c r="P178" s="1"/>
      <c r="Q178" s="1"/>
    </row>
    <row r="179" spans="1:17" x14ac:dyDescent="0.2">
      <c r="A179" s="1"/>
      <c r="B179" s="1"/>
      <c r="C179" s="1"/>
      <c r="D179" s="1"/>
      <c r="E179" s="1"/>
      <c r="F179" s="1"/>
      <c r="G179" s="1"/>
      <c r="H179" s="1"/>
      <c r="I179" s="1"/>
      <c r="J179" s="1"/>
      <c r="K179" s="1"/>
      <c r="L179" s="1"/>
      <c r="M179" s="1"/>
      <c r="N179" s="1"/>
      <c r="O179" s="1"/>
      <c r="P179" s="1"/>
      <c r="Q179" s="1"/>
    </row>
    <row r="180" spans="1:17" x14ac:dyDescent="0.2">
      <c r="A180" s="1"/>
      <c r="B180" s="1"/>
      <c r="C180" s="1"/>
      <c r="D180" s="1"/>
      <c r="E180" s="1"/>
      <c r="F180" s="1"/>
      <c r="G180" s="1"/>
      <c r="H180" s="1"/>
      <c r="I180" s="1"/>
      <c r="J180" s="1"/>
      <c r="K180" s="1"/>
      <c r="L180" s="1"/>
      <c r="M180" s="1"/>
      <c r="N180" s="1"/>
      <c r="O180" s="1"/>
      <c r="P180" s="1"/>
      <c r="Q180" s="1"/>
    </row>
    <row r="181" spans="1:17" x14ac:dyDescent="0.2">
      <c r="A181" s="1"/>
      <c r="B181" s="1"/>
      <c r="C181" s="1"/>
      <c r="D181" s="1"/>
      <c r="E181" s="1"/>
      <c r="F181" s="1"/>
      <c r="G181" s="1"/>
      <c r="H181" s="1"/>
      <c r="I181" s="1"/>
      <c r="J181" s="1"/>
      <c r="K181" s="1"/>
      <c r="L181" s="1"/>
      <c r="M181" s="1"/>
      <c r="N181" s="1"/>
      <c r="O181" s="1"/>
      <c r="P181" s="1"/>
      <c r="Q181" s="1"/>
    </row>
    <row r="182" spans="1:17" x14ac:dyDescent="0.2">
      <c r="A182" s="1"/>
      <c r="B182" s="1"/>
      <c r="C182" s="1"/>
      <c r="D182" s="1"/>
      <c r="E182" s="1"/>
      <c r="F182" s="1"/>
      <c r="G182" s="1"/>
      <c r="H182" s="1"/>
      <c r="I182" s="1"/>
      <c r="J182" s="1"/>
      <c r="K182" s="1"/>
      <c r="L182" s="1"/>
      <c r="M182" s="1"/>
      <c r="N182" s="1"/>
      <c r="O182" s="1"/>
      <c r="P182" s="1"/>
      <c r="Q182" s="1"/>
    </row>
    <row r="183" spans="1:17" x14ac:dyDescent="0.2">
      <c r="A183" s="1"/>
      <c r="B183" s="1"/>
      <c r="C183" s="1"/>
      <c r="D183" s="1"/>
      <c r="E183" s="1"/>
      <c r="F183" s="1"/>
      <c r="G183" s="1"/>
      <c r="H183" s="1"/>
      <c r="I183" s="1"/>
      <c r="J183" s="1"/>
      <c r="K183" s="1"/>
      <c r="L183" s="1"/>
      <c r="M183" s="1"/>
      <c r="N183" s="1"/>
      <c r="O183" s="1"/>
      <c r="P183" s="1"/>
      <c r="Q183" s="1"/>
    </row>
    <row r="184" spans="1:17" x14ac:dyDescent="0.2">
      <c r="A184" s="1"/>
      <c r="B184" s="1"/>
      <c r="C184" s="1"/>
      <c r="D184" s="1"/>
      <c r="E184" s="1"/>
      <c r="F184" s="1"/>
      <c r="G184" s="1"/>
      <c r="H184" s="1"/>
      <c r="I184" s="1"/>
      <c r="J184" s="1"/>
      <c r="K184" s="1"/>
      <c r="L184" s="1"/>
      <c r="M184" s="1"/>
      <c r="N184" s="1"/>
      <c r="O184" s="1"/>
      <c r="P184" s="1"/>
      <c r="Q184" s="1"/>
    </row>
    <row r="185" spans="1:17" x14ac:dyDescent="0.2">
      <c r="A185" s="1"/>
      <c r="B185" s="1"/>
      <c r="C185" s="1"/>
      <c r="D185" s="1"/>
      <c r="E185" s="1"/>
      <c r="F185" s="1"/>
      <c r="G185" s="1"/>
      <c r="H185" s="1"/>
      <c r="I185" s="1"/>
      <c r="J185" s="1"/>
      <c r="K185" s="1"/>
      <c r="L185" s="1"/>
      <c r="M185" s="1"/>
      <c r="N185" s="1"/>
      <c r="O185" s="1"/>
      <c r="P185" s="1"/>
      <c r="Q185" s="1"/>
    </row>
    <row r="186" spans="1:17" x14ac:dyDescent="0.2">
      <c r="A186" s="1"/>
      <c r="B186" s="1"/>
      <c r="C186" s="1"/>
      <c r="D186" s="1"/>
      <c r="E186" s="1"/>
      <c r="F186" s="1"/>
      <c r="G186" s="1"/>
      <c r="H186" s="1"/>
      <c r="I186" s="1"/>
      <c r="J186" s="1"/>
      <c r="K186" s="1"/>
      <c r="L186" s="1"/>
      <c r="M186" s="1"/>
      <c r="N186" s="1"/>
      <c r="O186" s="1"/>
      <c r="P186" s="1"/>
      <c r="Q186" s="1"/>
    </row>
    <row r="187" spans="1:17" x14ac:dyDescent="0.2">
      <c r="A187" s="1"/>
      <c r="B187" s="1"/>
      <c r="C187" s="1"/>
      <c r="D187" s="1"/>
      <c r="E187" s="1"/>
      <c r="F187" s="1"/>
      <c r="G187" s="1"/>
      <c r="H187" s="1"/>
      <c r="I187" s="1"/>
      <c r="J187" s="1"/>
      <c r="K187" s="1"/>
      <c r="L187" s="1"/>
      <c r="M187" s="1"/>
      <c r="N187" s="1"/>
      <c r="O187" s="1"/>
      <c r="P187" s="1"/>
      <c r="Q187" s="1"/>
    </row>
    <row r="188" spans="1:17" x14ac:dyDescent="0.2">
      <c r="A188" s="1"/>
      <c r="B188" s="1"/>
      <c r="C188" s="1"/>
      <c r="D188" s="1"/>
      <c r="E188" s="1"/>
      <c r="F188" s="1"/>
      <c r="G188" s="1"/>
      <c r="H188" s="1"/>
      <c r="I188" s="1"/>
      <c r="J188" s="1"/>
      <c r="K188" s="1"/>
      <c r="L188" s="1"/>
      <c r="M188" s="1"/>
      <c r="N188" s="1"/>
      <c r="O188" s="1"/>
      <c r="P188" s="1"/>
      <c r="Q188" s="1"/>
    </row>
    <row r="189" spans="1:17" x14ac:dyDescent="0.2">
      <c r="A189" s="1"/>
      <c r="B189" s="1"/>
      <c r="C189" s="1"/>
      <c r="D189" s="1"/>
      <c r="E189" s="1"/>
      <c r="F189" s="1"/>
      <c r="G189" s="1"/>
      <c r="H189" s="1"/>
      <c r="I189" s="1"/>
      <c r="J189" s="1"/>
      <c r="K189" s="1"/>
      <c r="L189" s="1"/>
      <c r="M189" s="1"/>
      <c r="N189" s="1"/>
      <c r="O189" s="1"/>
      <c r="P189" s="1"/>
      <c r="Q189" s="1"/>
    </row>
    <row r="190" spans="1:17" x14ac:dyDescent="0.2">
      <c r="A190" s="1"/>
      <c r="B190" s="1"/>
      <c r="C190" s="1"/>
      <c r="D190" s="1"/>
      <c r="E190" s="1"/>
      <c r="F190" s="1"/>
      <c r="G190" s="1"/>
      <c r="H190" s="1"/>
      <c r="I190" s="1"/>
      <c r="J190" s="1"/>
      <c r="K190" s="1"/>
      <c r="L190" s="1"/>
      <c r="M190" s="1"/>
      <c r="N190" s="1"/>
      <c r="O190" s="1"/>
      <c r="P190" s="1"/>
      <c r="Q190" s="1"/>
    </row>
    <row r="191" spans="1:17" x14ac:dyDescent="0.2">
      <c r="A191" s="1"/>
      <c r="B191" s="1"/>
      <c r="C191" s="1"/>
      <c r="D191" s="1"/>
      <c r="E191" s="1"/>
      <c r="F191" s="1"/>
      <c r="G191" s="1"/>
      <c r="H191" s="1"/>
      <c r="I191" s="1"/>
      <c r="J191" s="1"/>
      <c r="K191" s="1"/>
      <c r="L191" s="1"/>
      <c r="M191" s="1"/>
      <c r="N191" s="1"/>
      <c r="O191" s="1"/>
      <c r="P191" s="1"/>
      <c r="Q191" s="1"/>
    </row>
    <row r="192" spans="1:17" x14ac:dyDescent="0.2">
      <c r="A192" s="1"/>
      <c r="B192" s="1"/>
      <c r="C192" s="1"/>
      <c r="D192" s="1"/>
      <c r="E192" s="1"/>
      <c r="F192" s="1"/>
      <c r="G192" s="1"/>
      <c r="H192" s="1"/>
      <c r="I192" s="1"/>
      <c r="J192" s="1"/>
      <c r="K192" s="1"/>
      <c r="L192" s="1"/>
      <c r="M192" s="1"/>
      <c r="N192" s="1"/>
      <c r="O192" s="1"/>
      <c r="P192" s="1"/>
      <c r="Q192" s="1"/>
    </row>
    <row r="193" spans="1:17" x14ac:dyDescent="0.2">
      <c r="A193" s="1"/>
      <c r="B193" s="1"/>
      <c r="C193" s="1"/>
      <c r="D193" s="1"/>
      <c r="E193" s="1"/>
      <c r="F193" s="1"/>
      <c r="G193" s="1"/>
      <c r="H193" s="1"/>
      <c r="I193" s="1"/>
      <c r="J193" s="1"/>
      <c r="K193" s="1"/>
      <c r="L193" s="1"/>
      <c r="M193" s="1"/>
      <c r="N193" s="1"/>
      <c r="O193" s="1"/>
      <c r="P193" s="1"/>
      <c r="Q193" s="1"/>
    </row>
    <row r="194" spans="1:17" x14ac:dyDescent="0.2">
      <c r="A194" s="1"/>
      <c r="B194" s="1"/>
      <c r="C194" s="1"/>
      <c r="D194" s="1"/>
      <c r="E194" s="1"/>
      <c r="F194" s="1"/>
      <c r="G194" s="1"/>
      <c r="H194" s="1"/>
      <c r="I194" s="1"/>
      <c r="J194" s="1"/>
      <c r="K194" s="1"/>
      <c r="L194" s="1"/>
      <c r="M194" s="1"/>
      <c r="N194" s="1"/>
      <c r="O194" s="1"/>
      <c r="P194" s="1"/>
      <c r="Q194" s="1"/>
    </row>
    <row r="195" spans="1:17" x14ac:dyDescent="0.2">
      <c r="A195" s="1"/>
      <c r="B195" s="1"/>
      <c r="C195" s="1"/>
      <c r="D195" s="1"/>
      <c r="E195" s="1"/>
      <c r="F195" s="1"/>
      <c r="G195" s="1"/>
      <c r="H195" s="1"/>
      <c r="I195" s="1"/>
      <c r="J195" s="1"/>
      <c r="K195" s="1"/>
      <c r="L195" s="1"/>
      <c r="M195" s="1"/>
      <c r="N195" s="1"/>
      <c r="O195" s="1"/>
      <c r="P195" s="1"/>
      <c r="Q195" s="1"/>
    </row>
    <row r="196" spans="1:17" x14ac:dyDescent="0.2">
      <c r="A196" s="1"/>
      <c r="B196" s="1"/>
      <c r="C196" s="1"/>
      <c r="D196" s="1"/>
      <c r="E196" s="1"/>
      <c r="F196" s="1"/>
      <c r="G196" s="1"/>
      <c r="H196" s="1"/>
      <c r="I196" s="1"/>
      <c r="J196" s="1"/>
      <c r="K196" s="1"/>
      <c r="L196" s="1"/>
      <c r="M196" s="1"/>
      <c r="N196" s="1"/>
      <c r="O196" s="1"/>
      <c r="P196" s="1"/>
      <c r="Q196" s="1"/>
    </row>
    <row r="197" spans="1:17" x14ac:dyDescent="0.2">
      <c r="A197" s="1"/>
      <c r="B197" s="1"/>
      <c r="C197" s="1"/>
      <c r="D197" s="1"/>
      <c r="E197" s="1"/>
      <c r="F197" s="1"/>
      <c r="G197" s="1"/>
      <c r="H197" s="1"/>
      <c r="I197" s="1"/>
      <c r="J197" s="1"/>
      <c r="K197" s="1"/>
      <c r="L197" s="1"/>
      <c r="M197" s="1"/>
      <c r="N197" s="1"/>
      <c r="O197" s="1"/>
      <c r="P197" s="1"/>
      <c r="Q197" s="1"/>
    </row>
    <row r="198" spans="1:17" x14ac:dyDescent="0.2">
      <c r="A198" s="1"/>
      <c r="B198" s="1"/>
      <c r="C198" s="1"/>
      <c r="D198" s="1"/>
      <c r="E198" s="1"/>
      <c r="F198" s="1"/>
      <c r="G198" s="1"/>
      <c r="H198" s="1"/>
      <c r="I198" s="1"/>
      <c r="J198" s="1"/>
      <c r="K198" s="1"/>
      <c r="L198" s="1"/>
      <c r="M198" s="1"/>
      <c r="N198" s="1"/>
      <c r="O198" s="1"/>
      <c r="P198" s="1"/>
      <c r="Q198" s="1"/>
    </row>
    <row r="199" spans="1:17" x14ac:dyDescent="0.2">
      <c r="A199" s="1"/>
      <c r="B199" s="1"/>
      <c r="C199" s="1"/>
      <c r="D199" s="1"/>
      <c r="E199" s="1"/>
      <c r="F199" s="1"/>
      <c r="G199" s="1"/>
      <c r="H199" s="1"/>
      <c r="I199" s="1"/>
      <c r="J199" s="1"/>
      <c r="K199" s="1"/>
      <c r="L199" s="1"/>
      <c r="M199" s="1"/>
      <c r="N199" s="1"/>
      <c r="O199" s="1"/>
      <c r="P199" s="1"/>
      <c r="Q199" s="1"/>
    </row>
    <row r="200" spans="1:17" x14ac:dyDescent="0.2">
      <c r="A200" s="1"/>
      <c r="B200" s="1"/>
      <c r="C200" s="1"/>
      <c r="D200" s="1"/>
      <c r="E200" s="1"/>
      <c r="F200" s="1"/>
      <c r="G200" s="1"/>
      <c r="H200" s="1"/>
      <c r="I200" s="1"/>
      <c r="J200" s="1"/>
      <c r="K200" s="1"/>
      <c r="L200" s="1"/>
      <c r="M200" s="1"/>
      <c r="N200" s="1"/>
      <c r="O200" s="1"/>
      <c r="P200" s="1"/>
      <c r="Q200" s="1"/>
    </row>
    <row r="201" spans="1:17" x14ac:dyDescent="0.2">
      <c r="A201" s="1"/>
      <c r="B201" s="1"/>
      <c r="C201" s="1"/>
      <c r="D201" s="1"/>
      <c r="E201" s="1"/>
      <c r="F201" s="1"/>
      <c r="G201" s="1"/>
      <c r="H201" s="1"/>
      <c r="I201" s="1"/>
      <c r="J201" s="1"/>
      <c r="K201" s="1"/>
      <c r="L201" s="1"/>
      <c r="M201" s="1"/>
      <c r="N201" s="1"/>
      <c r="O201" s="1"/>
      <c r="P201" s="1"/>
      <c r="Q201" s="1"/>
    </row>
    <row r="202" spans="1:17" x14ac:dyDescent="0.2">
      <c r="A202" s="1"/>
      <c r="B202" s="1"/>
      <c r="C202" s="1"/>
      <c r="D202" s="1"/>
      <c r="E202" s="1"/>
      <c r="F202" s="1"/>
      <c r="G202" s="1"/>
      <c r="H202" s="1"/>
      <c r="I202" s="1"/>
      <c r="J202" s="1"/>
      <c r="K202" s="1"/>
      <c r="L202" s="1"/>
      <c r="M202" s="1"/>
      <c r="N202" s="1"/>
      <c r="O202" s="1"/>
      <c r="P202" s="1"/>
      <c r="Q202" s="1"/>
    </row>
    <row r="203" spans="1:17" x14ac:dyDescent="0.2">
      <c r="A203" s="1"/>
      <c r="B203" s="1"/>
      <c r="C203" s="1"/>
      <c r="D203" s="1"/>
      <c r="E203" s="1"/>
      <c r="F203" s="1"/>
      <c r="G203" s="1"/>
      <c r="H203" s="1"/>
      <c r="I203" s="1"/>
      <c r="J203" s="1"/>
      <c r="K203" s="1"/>
      <c r="L203" s="1"/>
      <c r="M203" s="1"/>
      <c r="N203" s="1"/>
      <c r="O203" s="1"/>
      <c r="P203" s="1"/>
      <c r="Q203" s="1"/>
    </row>
    <row r="204" spans="1:17" x14ac:dyDescent="0.2">
      <c r="A204" s="1"/>
      <c r="B204" s="1"/>
      <c r="C204" s="1"/>
      <c r="D204" s="1"/>
      <c r="E204" s="1"/>
      <c r="F204" s="1"/>
      <c r="G204" s="1"/>
      <c r="H204" s="1"/>
      <c r="I204" s="1"/>
      <c r="J204" s="1"/>
      <c r="K204" s="1"/>
      <c r="L204" s="1"/>
      <c r="M204" s="1"/>
      <c r="N204" s="1"/>
      <c r="O204" s="1"/>
      <c r="P204" s="1"/>
      <c r="Q204" s="1"/>
    </row>
    <row r="205" spans="1:17" x14ac:dyDescent="0.2">
      <c r="A205" s="1"/>
      <c r="B205" s="1"/>
      <c r="C205" s="1"/>
      <c r="D205" s="1"/>
      <c r="E205" s="1"/>
      <c r="F205" s="1"/>
      <c r="G205" s="1"/>
      <c r="H205" s="1"/>
      <c r="I205" s="1"/>
      <c r="J205" s="1"/>
      <c r="K205" s="1"/>
      <c r="L205" s="1"/>
      <c r="M205" s="1"/>
      <c r="N205" s="1"/>
      <c r="O205" s="1"/>
      <c r="P205" s="1"/>
      <c r="Q205" s="1"/>
    </row>
    <row r="206" spans="1:17" x14ac:dyDescent="0.2">
      <c r="A206" s="1"/>
      <c r="B206" s="1"/>
      <c r="C206" s="1"/>
      <c r="D206" s="1"/>
      <c r="E206" s="1"/>
      <c r="F206" s="1"/>
      <c r="G206" s="1"/>
      <c r="H206" s="1"/>
      <c r="I206" s="1"/>
      <c r="J206" s="1"/>
      <c r="K206" s="1"/>
      <c r="L206" s="1"/>
      <c r="M206" s="1"/>
      <c r="N206" s="1"/>
      <c r="O206" s="1"/>
      <c r="P206" s="1"/>
      <c r="Q206" s="1"/>
    </row>
    <row r="207" spans="1:17" x14ac:dyDescent="0.2">
      <c r="A207" s="1"/>
      <c r="B207" s="1"/>
      <c r="C207" s="1"/>
      <c r="D207" s="1"/>
      <c r="E207" s="1"/>
      <c r="F207" s="1"/>
      <c r="G207" s="1"/>
      <c r="H207" s="1"/>
      <c r="I207" s="1"/>
      <c r="J207" s="1"/>
      <c r="K207" s="1"/>
      <c r="L207" s="1"/>
      <c r="M207" s="1"/>
      <c r="N207" s="1"/>
      <c r="O207" s="1"/>
      <c r="P207" s="1"/>
      <c r="Q207" s="1"/>
    </row>
    <row r="208" spans="1:17" x14ac:dyDescent="0.2">
      <c r="A208" s="1"/>
      <c r="B208" s="1"/>
      <c r="C208" s="1"/>
      <c r="D208" s="1"/>
      <c r="E208" s="1"/>
      <c r="F208" s="1"/>
      <c r="G208" s="1"/>
      <c r="H208" s="1"/>
      <c r="I208" s="1"/>
      <c r="J208" s="1"/>
      <c r="K208" s="1"/>
      <c r="L208" s="1"/>
      <c r="M208" s="1"/>
      <c r="N208" s="1"/>
      <c r="O208" s="1"/>
      <c r="P208" s="1"/>
      <c r="Q208" s="1"/>
    </row>
    <row r="209" spans="1:17" x14ac:dyDescent="0.2">
      <c r="A209" s="1"/>
      <c r="B209" s="1"/>
      <c r="C209" s="1"/>
      <c r="D209" s="1"/>
      <c r="E209" s="1"/>
      <c r="F209" s="1"/>
      <c r="G209" s="1"/>
      <c r="H209" s="1"/>
      <c r="I209" s="1"/>
      <c r="J209" s="1"/>
      <c r="K209" s="1"/>
      <c r="L209" s="1"/>
      <c r="M209" s="1"/>
      <c r="N209" s="1"/>
      <c r="O209" s="1"/>
      <c r="P209" s="1"/>
      <c r="Q209" s="1"/>
    </row>
    <row r="210" spans="1:17" x14ac:dyDescent="0.2">
      <c r="A210" s="1"/>
      <c r="B210" s="1"/>
      <c r="C210" s="1"/>
      <c r="D210" s="1"/>
      <c r="E210" s="1"/>
      <c r="F210" s="1"/>
      <c r="G210" s="1"/>
      <c r="H210" s="1"/>
      <c r="I210" s="1"/>
      <c r="J210" s="1"/>
      <c r="K210" s="1"/>
      <c r="L210" s="1"/>
      <c r="M210" s="1"/>
      <c r="N210" s="1"/>
      <c r="O210" s="1"/>
      <c r="P210" s="1"/>
      <c r="Q210" s="1"/>
    </row>
    <row r="211" spans="1:17" x14ac:dyDescent="0.2">
      <c r="A211" s="1"/>
      <c r="B211" s="1"/>
      <c r="C211" s="1"/>
      <c r="D211" s="1"/>
      <c r="E211" s="1"/>
      <c r="F211" s="1"/>
      <c r="G211" s="1"/>
      <c r="H211" s="1"/>
      <c r="I211" s="1"/>
      <c r="J211" s="1"/>
      <c r="K211" s="1"/>
      <c r="L211" s="1"/>
      <c r="M211" s="1"/>
      <c r="N211" s="1"/>
      <c r="O211" s="1"/>
      <c r="P211" s="1"/>
      <c r="Q211" s="1"/>
    </row>
    <row r="212" spans="1:17" x14ac:dyDescent="0.2">
      <c r="A212" s="1"/>
      <c r="B212" s="1"/>
      <c r="C212" s="1"/>
      <c r="D212" s="1"/>
      <c r="E212" s="1"/>
      <c r="F212" s="1"/>
      <c r="G212" s="1"/>
      <c r="H212" s="1"/>
      <c r="I212" s="1"/>
      <c r="J212" s="1"/>
      <c r="K212" s="1"/>
      <c r="L212" s="1"/>
      <c r="M212" s="1"/>
      <c r="N212" s="1"/>
      <c r="O212" s="1"/>
      <c r="P212" s="1"/>
      <c r="Q212" s="1"/>
    </row>
    <row r="213" spans="1:17" x14ac:dyDescent="0.2">
      <c r="A213" s="1"/>
      <c r="B213" s="1"/>
      <c r="C213" s="1"/>
      <c r="D213" s="1"/>
      <c r="E213" s="1"/>
      <c r="F213" s="1"/>
      <c r="G213" s="1"/>
      <c r="H213" s="1"/>
      <c r="I213" s="1"/>
      <c r="J213" s="1"/>
      <c r="K213" s="1"/>
      <c r="L213" s="1"/>
      <c r="M213" s="1"/>
      <c r="N213" s="1"/>
      <c r="O213" s="1"/>
      <c r="P213" s="1"/>
      <c r="Q213" s="1"/>
    </row>
    <row r="214" spans="1:17" x14ac:dyDescent="0.2">
      <c r="A214" s="1"/>
      <c r="B214" s="1"/>
      <c r="C214" s="1"/>
      <c r="D214" s="1"/>
      <c r="E214" s="1"/>
      <c r="F214" s="1"/>
      <c r="G214" s="1"/>
      <c r="H214" s="1"/>
      <c r="I214" s="1"/>
      <c r="J214" s="1"/>
      <c r="K214" s="1"/>
      <c r="L214" s="1"/>
      <c r="M214" s="1"/>
      <c r="N214" s="1"/>
      <c r="O214" s="1"/>
      <c r="P214" s="1"/>
      <c r="Q214" s="1"/>
    </row>
    <row r="215" spans="1:17" x14ac:dyDescent="0.2">
      <c r="A215" s="1"/>
      <c r="B215" s="1"/>
      <c r="C215" s="1"/>
      <c r="D215" s="1"/>
      <c r="E215" s="1"/>
      <c r="F215" s="1"/>
      <c r="G215" s="1"/>
      <c r="H215" s="1"/>
      <c r="I215" s="1"/>
      <c r="J215" s="1"/>
      <c r="K215" s="1"/>
      <c r="L215" s="1"/>
      <c r="M215" s="1"/>
      <c r="N215" s="1"/>
      <c r="O215" s="1"/>
      <c r="P215" s="1"/>
      <c r="Q215" s="1"/>
    </row>
    <row r="216" spans="1:17" x14ac:dyDescent="0.2">
      <c r="A216" s="1"/>
      <c r="B216" s="1"/>
      <c r="C216" s="1"/>
      <c r="D216" s="1"/>
      <c r="E216" s="1"/>
      <c r="F216" s="1"/>
      <c r="G216" s="1"/>
      <c r="H216" s="1"/>
      <c r="I216" s="1"/>
      <c r="J216" s="1"/>
      <c r="K216" s="1"/>
      <c r="L216" s="1"/>
      <c r="M216" s="1"/>
      <c r="N216" s="1"/>
      <c r="O216" s="1"/>
      <c r="P216" s="1"/>
      <c r="Q216" s="1"/>
    </row>
    <row r="217" spans="1:17" x14ac:dyDescent="0.2">
      <c r="A217" s="1"/>
      <c r="B217" s="1"/>
      <c r="C217" s="1"/>
      <c r="D217" s="1"/>
      <c r="E217" s="1"/>
      <c r="F217" s="1"/>
      <c r="G217" s="1"/>
      <c r="H217" s="1"/>
      <c r="I217" s="1"/>
      <c r="J217" s="1"/>
      <c r="K217" s="1"/>
      <c r="L217" s="1"/>
      <c r="M217" s="1"/>
      <c r="N217" s="1"/>
      <c r="O217" s="1"/>
      <c r="P217" s="1"/>
      <c r="Q217" s="1"/>
    </row>
    <row r="218" spans="1:17" x14ac:dyDescent="0.2">
      <c r="A218" s="1"/>
      <c r="B218" s="1"/>
      <c r="C218" s="1"/>
      <c r="D218" s="1"/>
      <c r="E218" s="1"/>
      <c r="F218" s="1"/>
      <c r="G218" s="1"/>
      <c r="H218" s="1"/>
      <c r="I218" s="1"/>
      <c r="J218" s="1"/>
      <c r="K218" s="1"/>
      <c r="L218" s="1"/>
      <c r="M218" s="1"/>
      <c r="N218" s="1"/>
      <c r="O218" s="1"/>
      <c r="P218" s="1"/>
      <c r="Q218" s="1"/>
    </row>
    <row r="219" spans="1:17" x14ac:dyDescent="0.2">
      <c r="A219" s="1"/>
      <c r="B219" s="1"/>
      <c r="C219" s="1"/>
      <c r="D219" s="1"/>
      <c r="E219" s="1"/>
      <c r="F219" s="1"/>
      <c r="G219" s="1"/>
      <c r="H219" s="1"/>
      <c r="I219" s="1"/>
      <c r="J219" s="1"/>
      <c r="K219" s="1"/>
      <c r="L219" s="1"/>
      <c r="M219" s="1"/>
      <c r="N219" s="1"/>
      <c r="O219" s="1"/>
      <c r="P219" s="1"/>
      <c r="Q219" s="1"/>
    </row>
    <row r="220" spans="1:17" x14ac:dyDescent="0.2">
      <c r="A220" s="1"/>
      <c r="B220" s="1"/>
      <c r="C220" s="1"/>
      <c r="D220" s="1"/>
      <c r="E220" s="1"/>
      <c r="F220" s="1"/>
      <c r="G220" s="1"/>
      <c r="H220" s="1"/>
      <c r="I220" s="1"/>
      <c r="J220" s="1"/>
      <c r="K220" s="1"/>
      <c r="L220" s="1"/>
      <c r="M220" s="1"/>
      <c r="N220" s="1"/>
      <c r="O220" s="1"/>
      <c r="P220" s="1"/>
      <c r="Q220" s="1"/>
    </row>
    <row r="221" spans="1:17" x14ac:dyDescent="0.2">
      <c r="A221" s="1"/>
      <c r="B221" s="1"/>
      <c r="C221" s="1"/>
      <c r="D221" s="1"/>
      <c r="E221" s="1"/>
      <c r="F221" s="1"/>
      <c r="G221" s="1"/>
      <c r="H221" s="1"/>
      <c r="I221" s="1"/>
      <c r="J221" s="1"/>
      <c r="K221" s="1"/>
      <c r="L221" s="1"/>
      <c r="M221" s="1"/>
      <c r="N221" s="1"/>
      <c r="O221" s="1"/>
      <c r="P221" s="1"/>
      <c r="Q221" s="1"/>
    </row>
    <row r="222" spans="1:17" x14ac:dyDescent="0.2">
      <c r="A222" s="1"/>
      <c r="B222" s="1"/>
      <c r="C222" s="1"/>
      <c r="D222" s="1"/>
      <c r="E222" s="1"/>
      <c r="F222" s="1"/>
      <c r="G222" s="1"/>
      <c r="H222" s="1"/>
      <c r="I222" s="1"/>
      <c r="J222" s="1"/>
      <c r="K222" s="1"/>
      <c r="L222" s="1"/>
      <c r="M222" s="1"/>
      <c r="N222" s="1"/>
      <c r="O222" s="1"/>
      <c r="P222" s="1"/>
      <c r="Q222" s="1"/>
    </row>
    <row r="223" spans="1:17" x14ac:dyDescent="0.2">
      <c r="A223" s="1"/>
      <c r="B223" s="1"/>
      <c r="C223" s="1"/>
      <c r="D223" s="1"/>
      <c r="E223" s="1"/>
      <c r="F223" s="1"/>
      <c r="G223" s="1"/>
      <c r="H223" s="1"/>
      <c r="I223" s="1"/>
      <c r="J223" s="1"/>
      <c r="K223" s="1"/>
      <c r="L223" s="1"/>
      <c r="M223" s="1"/>
      <c r="N223" s="1"/>
      <c r="O223" s="1"/>
      <c r="P223" s="1"/>
      <c r="Q223" s="1"/>
    </row>
    <row r="224" spans="1:17" x14ac:dyDescent="0.2">
      <c r="A224" s="1"/>
      <c r="B224" s="1"/>
      <c r="C224" s="1"/>
      <c r="D224" s="1"/>
      <c r="E224" s="1"/>
      <c r="F224" s="1"/>
      <c r="G224" s="1"/>
      <c r="H224" s="1"/>
      <c r="I224" s="1"/>
      <c r="J224" s="1"/>
      <c r="K224" s="1"/>
      <c r="L224" s="1"/>
      <c r="M224" s="1"/>
      <c r="N224" s="1"/>
      <c r="O224" s="1"/>
      <c r="P224" s="1"/>
      <c r="Q224" s="1"/>
    </row>
    <row r="225" spans="1:17" x14ac:dyDescent="0.2">
      <c r="A225" s="1"/>
      <c r="B225" s="1"/>
      <c r="C225" s="1"/>
      <c r="D225" s="1"/>
      <c r="E225" s="1"/>
      <c r="F225" s="1"/>
      <c r="G225" s="1"/>
      <c r="H225" s="1"/>
      <c r="I225" s="1"/>
      <c r="J225" s="1"/>
      <c r="K225" s="1"/>
      <c r="L225" s="1"/>
      <c r="M225" s="1"/>
      <c r="N225" s="1"/>
      <c r="O225" s="1"/>
      <c r="P225" s="1"/>
      <c r="Q225" s="1"/>
    </row>
    <row r="226" spans="1:17" x14ac:dyDescent="0.2">
      <c r="A226" s="1"/>
      <c r="B226" s="1"/>
      <c r="C226" s="1"/>
      <c r="D226" s="1"/>
      <c r="E226" s="1"/>
      <c r="F226" s="1"/>
      <c r="G226" s="1"/>
      <c r="H226" s="1"/>
      <c r="I226" s="1"/>
      <c r="J226" s="1"/>
      <c r="K226" s="1"/>
      <c r="L226" s="1"/>
      <c r="M226" s="1"/>
      <c r="N226" s="1"/>
      <c r="O226" s="1"/>
      <c r="P226" s="1"/>
      <c r="Q226" s="1"/>
    </row>
    <row r="227" spans="1:17" x14ac:dyDescent="0.2">
      <c r="A227" s="1"/>
      <c r="B227" s="1"/>
      <c r="C227" s="1"/>
      <c r="D227" s="1"/>
      <c r="E227" s="1"/>
      <c r="F227" s="1"/>
      <c r="G227" s="1"/>
      <c r="H227" s="1"/>
      <c r="I227" s="1"/>
      <c r="J227" s="1"/>
      <c r="K227" s="1"/>
      <c r="L227" s="1"/>
      <c r="M227" s="1"/>
      <c r="N227" s="1"/>
      <c r="O227" s="1"/>
      <c r="P227" s="1"/>
      <c r="Q227" s="1"/>
    </row>
    <row r="228" spans="1:17" x14ac:dyDescent="0.2">
      <c r="A228" s="1"/>
      <c r="B228" s="1"/>
      <c r="C228" s="1"/>
      <c r="D228" s="1"/>
      <c r="E228" s="1"/>
      <c r="F228" s="1"/>
      <c r="G228" s="1"/>
      <c r="H228" s="1"/>
      <c r="I228" s="1"/>
      <c r="J228" s="1"/>
      <c r="K228" s="1"/>
      <c r="L228" s="1"/>
      <c r="M228" s="1"/>
      <c r="N228" s="1"/>
      <c r="O228" s="1"/>
      <c r="P228" s="1"/>
      <c r="Q228" s="1"/>
    </row>
    <row r="229" spans="1:17" x14ac:dyDescent="0.2">
      <c r="A229" s="1"/>
      <c r="B229" s="1"/>
      <c r="C229" s="1"/>
      <c r="D229" s="1"/>
      <c r="E229" s="1"/>
      <c r="F229" s="1"/>
      <c r="G229" s="1"/>
      <c r="H229" s="1"/>
      <c r="I229" s="1"/>
      <c r="J229" s="1"/>
      <c r="K229" s="1"/>
      <c r="L229" s="1"/>
      <c r="M229" s="1"/>
      <c r="N229" s="1"/>
      <c r="O229" s="1"/>
      <c r="P229" s="1"/>
      <c r="Q229" s="1"/>
    </row>
    <row r="230" spans="1:17" x14ac:dyDescent="0.2">
      <c r="A230" s="1"/>
      <c r="B230" s="1"/>
      <c r="C230" s="1"/>
      <c r="D230" s="1"/>
      <c r="E230" s="1"/>
      <c r="F230" s="1"/>
      <c r="G230" s="1"/>
      <c r="H230" s="1"/>
      <c r="I230" s="1"/>
      <c r="J230" s="1"/>
      <c r="K230" s="1"/>
      <c r="L230" s="1"/>
      <c r="M230" s="1"/>
      <c r="N230" s="1"/>
      <c r="O230" s="1"/>
      <c r="P230" s="1"/>
      <c r="Q230" s="1"/>
    </row>
    <row r="231" spans="1:17" x14ac:dyDescent="0.2">
      <c r="A231" s="1"/>
      <c r="B231" s="1"/>
      <c r="C231" s="1"/>
      <c r="D231" s="1"/>
      <c r="E231" s="1"/>
      <c r="F231" s="1"/>
      <c r="G231" s="1"/>
      <c r="H231" s="1"/>
      <c r="I231" s="1"/>
      <c r="J231" s="1"/>
      <c r="K231" s="1"/>
      <c r="L231" s="1"/>
      <c r="M231" s="1"/>
      <c r="N231" s="1"/>
      <c r="O231" s="1"/>
      <c r="P231" s="1"/>
      <c r="Q231" s="1"/>
    </row>
    <row r="232" spans="1:17" x14ac:dyDescent="0.2">
      <c r="A232" s="1"/>
      <c r="B232" s="1"/>
      <c r="C232" s="1"/>
      <c r="D232" s="1"/>
      <c r="E232" s="1"/>
      <c r="F232" s="1"/>
      <c r="G232" s="1"/>
      <c r="H232" s="1"/>
      <c r="I232" s="1"/>
      <c r="J232" s="1"/>
      <c r="K232" s="1"/>
      <c r="L232" s="1"/>
      <c r="M232" s="1"/>
      <c r="N232" s="1"/>
      <c r="O232" s="1"/>
      <c r="P232" s="1"/>
      <c r="Q232" s="1"/>
    </row>
    <row r="233" spans="1:17" x14ac:dyDescent="0.2">
      <c r="A233" s="1"/>
      <c r="B233" s="1"/>
      <c r="C233" s="1"/>
      <c r="D233" s="1"/>
      <c r="E233" s="1"/>
      <c r="F233" s="1"/>
      <c r="G233" s="1"/>
      <c r="H233" s="1"/>
      <c r="I233" s="1"/>
      <c r="J233" s="1"/>
      <c r="K233" s="1"/>
      <c r="L233" s="1"/>
      <c r="M233" s="1"/>
      <c r="N233" s="1"/>
      <c r="O233" s="1"/>
      <c r="P233" s="1"/>
      <c r="Q233" s="1"/>
    </row>
    <row r="234" spans="1:17" x14ac:dyDescent="0.2">
      <c r="A234" s="1"/>
      <c r="B234" s="1"/>
      <c r="C234" s="1"/>
      <c r="D234" s="1"/>
      <c r="E234" s="1"/>
      <c r="F234" s="1"/>
      <c r="G234" s="1"/>
      <c r="H234" s="1"/>
      <c r="I234" s="1"/>
      <c r="J234" s="1"/>
      <c r="K234" s="1"/>
      <c r="L234" s="1"/>
      <c r="M234" s="1"/>
      <c r="N234" s="1"/>
      <c r="O234" s="1"/>
      <c r="P234" s="1"/>
      <c r="Q234" s="1"/>
    </row>
    <row r="235" spans="1:17" x14ac:dyDescent="0.2">
      <c r="A235" s="1"/>
      <c r="B235" s="1"/>
      <c r="C235" s="1"/>
      <c r="D235" s="1"/>
      <c r="E235" s="1"/>
      <c r="F235" s="1"/>
      <c r="G235" s="1"/>
      <c r="H235" s="1"/>
      <c r="I235" s="1"/>
      <c r="J235" s="1"/>
      <c r="K235" s="1"/>
      <c r="L235" s="1"/>
      <c r="M235" s="1"/>
      <c r="N235" s="1"/>
      <c r="O235" s="1"/>
      <c r="P235" s="1"/>
      <c r="Q235" s="1"/>
    </row>
    <row r="236" spans="1:17" x14ac:dyDescent="0.2">
      <c r="A236" s="1"/>
      <c r="B236" s="1"/>
      <c r="C236" s="1"/>
      <c r="D236" s="1"/>
      <c r="E236" s="1"/>
      <c r="F236" s="1"/>
      <c r="G236" s="1"/>
      <c r="H236" s="1"/>
      <c r="I236" s="1"/>
      <c r="J236" s="1"/>
      <c r="K236" s="1"/>
      <c r="L236" s="1"/>
      <c r="M236" s="1"/>
      <c r="N236" s="1"/>
      <c r="O236" s="1"/>
      <c r="P236" s="1"/>
      <c r="Q236" s="1"/>
    </row>
    <row r="237" spans="1:17" x14ac:dyDescent="0.2">
      <c r="A237" s="1"/>
      <c r="B237" s="1"/>
      <c r="C237" s="1"/>
      <c r="D237" s="1"/>
      <c r="E237" s="1"/>
      <c r="F237" s="1"/>
      <c r="G237" s="1"/>
      <c r="H237" s="1"/>
      <c r="I237" s="1"/>
      <c r="J237" s="1"/>
      <c r="K237" s="1"/>
      <c r="L237" s="1"/>
      <c r="M237" s="1"/>
      <c r="N237" s="1"/>
      <c r="O237" s="1"/>
      <c r="P237" s="1"/>
      <c r="Q237" s="1"/>
    </row>
    <row r="238" spans="1:17" x14ac:dyDescent="0.2">
      <c r="A238" s="1"/>
      <c r="B238" s="1"/>
      <c r="C238" s="1"/>
      <c r="D238" s="1"/>
      <c r="E238" s="1"/>
      <c r="F238" s="1"/>
      <c r="G238" s="1"/>
      <c r="H238" s="1"/>
      <c r="I238" s="1"/>
      <c r="J238" s="1"/>
      <c r="K238" s="1"/>
      <c r="L238" s="1"/>
      <c r="M238" s="1"/>
      <c r="N238" s="1"/>
      <c r="O238" s="1"/>
      <c r="P238" s="1"/>
      <c r="Q238" s="1"/>
    </row>
    <row r="239" spans="1:17" x14ac:dyDescent="0.2">
      <c r="A239" s="1"/>
      <c r="B239" s="1"/>
      <c r="C239" s="1"/>
      <c r="D239" s="1"/>
      <c r="E239" s="1"/>
      <c r="F239" s="1"/>
      <c r="G239" s="1"/>
      <c r="H239" s="1"/>
      <c r="I239" s="1"/>
      <c r="J239" s="1"/>
      <c r="K239" s="1"/>
      <c r="L239" s="1"/>
      <c r="M239" s="1"/>
      <c r="N239" s="1"/>
      <c r="O239" s="1"/>
      <c r="P239" s="1"/>
      <c r="Q239" s="1"/>
    </row>
    <row r="240" spans="1:17" x14ac:dyDescent="0.2">
      <c r="A240" s="1"/>
      <c r="B240" s="1"/>
      <c r="C240" s="1"/>
      <c r="D240" s="1"/>
      <c r="E240" s="1"/>
      <c r="F240" s="1"/>
      <c r="G240" s="1"/>
      <c r="H240" s="1"/>
      <c r="I240" s="1"/>
      <c r="J240" s="1"/>
      <c r="K240" s="1"/>
      <c r="L240" s="1"/>
      <c r="M240" s="1"/>
      <c r="N240" s="1"/>
      <c r="O240" s="1"/>
      <c r="P240" s="1"/>
      <c r="Q240" s="1"/>
    </row>
    <row r="241" spans="1:17" x14ac:dyDescent="0.2">
      <c r="A241" s="1"/>
      <c r="B241" s="1"/>
      <c r="C241" s="1"/>
      <c r="D241" s="1"/>
      <c r="E241" s="1"/>
      <c r="F241" s="1"/>
      <c r="G241" s="1"/>
      <c r="H241" s="1"/>
      <c r="I241" s="1"/>
      <c r="J241" s="1"/>
      <c r="K241" s="1"/>
      <c r="L241" s="1"/>
      <c r="M241" s="1"/>
      <c r="N241" s="1"/>
      <c r="O241" s="1"/>
      <c r="P241" s="1"/>
      <c r="Q241" s="1"/>
    </row>
    <row r="242" spans="1:17" x14ac:dyDescent="0.2">
      <c r="A242" s="1"/>
      <c r="B242" s="1"/>
      <c r="C242" s="1"/>
      <c r="D242" s="1"/>
      <c r="E242" s="1"/>
      <c r="F242" s="1"/>
      <c r="G242" s="1"/>
      <c r="H242" s="1"/>
      <c r="I242" s="1"/>
      <c r="J242" s="1"/>
      <c r="K242" s="1"/>
      <c r="L242" s="1"/>
      <c r="M242" s="1"/>
      <c r="N242" s="1"/>
      <c r="O242" s="1"/>
      <c r="P242" s="1"/>
      <c r="Q242" s="1"/>
    </row>
    <row r="243" spans="1:17" x14ac:dyDescent="0.2">
      <c r="A243" s="1"/>
      <c r="B243" s="1"/>
      <c r="C243" s="1"/>
      <c r="D243" s="1"/>
      <c r="E243" s="1"/>
      <c r="F243" s="1"/>
      <c r="G243" s="1"/>
      <c r="H243" s="1"/>
      <c r="I243" s="1"/>
      <c r="J243" s="1"/>
      <c r="K243" s="1"/>
      <c r="L243" s="1"/>
      <c r="M243" s="1"/>
      <c r="N243" s="1"/>
      <c r="O243" s="1"/>
      <c r="P243" s="1"/>
      <c r="Q243" s="1"/>
    </row>
    <row r="244" spans="1:17" x14ac:dyDescent="0.2">
      <c r="A244" s="1"/>
      <c r="B244" s="1"/>
      <c r="C244" s="1"/>
      <c r="D244" s="1"/>
      <c r="E244" s="1"/>
      <c r="F244" s="1"/>
      <c r="G244" s="1"/>
      <c r="H244" s="1"/>
      <c r="I244" s="1"/>
      <c r="J244" s="1"/>
      <c r="K244" s="1"/>
      <c r="L244" s="1"/>
      <c r="M244" s="1"/>
      <c r="N244" s="1"/>
      <c r="O244" s="1"/>
      <c r="P244" s="1"/>
      <c r="Q244" s="1"/>
    </row>
    <row r="245" spans="1:17" x14ac:dyDescent="0.2">
      <c r="A245" s="1"/>
      <c r="B245" s="1"/>
      <c r="C245" s="1"/>
      <c r="D245" s="1"/>
      <c r="E245" s="1"/>
      <c r="F245" s="1"/>
      <c r="G245" s="1"/>
      <c r="H245" s="1"/>
      <c r="I245" s="1"/>
      <c r="J245" s="1"/>
      <c r="K245" s="1"/>
      <c r="L245" s="1"/>
      <c r="M245" s="1"/>
      <c r="N245" s="1"/>
      <c r="O245" s="1"/>
      <c r="P245" s="1"/>
      <c r="Q245" s="1"/>
    </row>
    <row r="246" spans="1:17" x14ac:dyDescent="0.2">
      <c r="A246" s="1"/>
      <c r="B246" s="1"/>
      <c r="C246" s="1"/>
      <c r="D246" s="1"/>
      <c r="E246" s="1"/>
      <c r="F246" s="1"/>
      <c r="G246" s="1"/>
      <c r="H246" s="1"/>
      <c r="I246" s="1"/>
      <c r="J246" s="1"/>
      <c r="K246" s="1"/>
      <c r="L246" s="1"/>
      <c r="M246" s="1"/>
      <c r="N246" s="1"/>
      <c r="O246" s="1"/>
      <c r="P246" s="1"/>
      <c r="Q246" s="1"/>
    </row>
    <row r="247" spans="1:17" x14ac:dyDescent="0.2">
      <c r="A247" s="1"/>
      <c r="B247" s="1"/>
      <c r="C247" s="1"/>
      <c r="D247" s="1"/>
      <c r="E247" s="1"/>
      <c r="F247" s="1"/>
      <c r="G247" s="1"/>
      <c r="H247" s="1"/>
      <c r="I247" s="1"/>
      <c r="J247" s="1"/>
      <c r="K247" s="1"/>
      <c r="L247" s="1"/>
      <c r="M247" s="1"/>
      <c r="N247" s="1"/>
      <c r="O247" s="1"/>
      <c r="P247" s="1"/>
      <c r="Q247" s="1"/>
    </row>
    <row r="248" spans="1:17" x14ac:dyDescent="0.2">
      <c r="A248" s="1"/>
      <c r="B248" s="1"/>
      <c r="C248" s="1"/>
      <c r="D248" s="1"/>
      <c r="E248" s="1"/>
      <c r="F248" s="1"/>
      <c r="G248" s="1"/>
      <c r="H248" s="1"/>
      <c r="I248" s="1"/>
      <c r="J248" s="1"/>
      <c r="K248" s="1"/>
      <c r="L248" s="1"/>
      <c r="M248" s="1"/>
      <c r="N248" s="1"/>
      <c r="O248" s="1"/>
      <c r="P248" s="1"/>
      <c r="Q248" s="1"/>
    </row>
    <row r="249" spans="1:17" x14ac:dyDescent="0.2">
      <c r="A249" s="1"/>
      <c r="B249" s="1"/>
      <c r="C249" s="1"/>
      <c r="D249" s="1"/>
      <c r="E249" s="1"/>
      <c r="F249" s="1"/>
      <c r="G249" s="1"/>
      <c r="H249" s="1"/>
      <c r="I249" s="1"/>
      <c r="J249" s="1"/>
      <c r="K249" s="1"/>
      <c r="L249" s="1"/>
      <c r="M249" s="1"/>
      <c r="N249" s="1"/>
      <c r="O249" s="1"/>
      <c r="P249" s="1"/>
      <c r="Q249" s="1"/>
    </row>
    <row r="250" spans="1:17" x14ac:dyDescent="0.2">
      <c r="A250" s="1"/>
      <c r="B250" s="1"/>
      <c r="C250" s="1"/>
      <c r="D250" s="1"/>
      <c r="E250" s="1"/>
      <c r="F250" s="1"/>
      <c r="G250" s="1"/>
      <c r="H250" s="1"/>
      <c r="I250" s="1"/>
      <c r="J250" s="1"/>
      <c r="K250" s="1"/>
      <c r="L250" s="1"/>
      <c r="M250" s="1"/>
      <c r="N250" s="1"/>
      <c r="O250" s="1"/>
      <c r="P250" s="1"/>
      <c r="Q250" s="1"/>
    </row>
    <row r="251" spans="1:17" x14ac:dyDescent="0.2">
      <c r="A251" s="1"/>
      <c r="B251" s="1"/>
      <c r="C251" s="1"/>
      <c r="D251" s="1"/>
      <c r="E251" s="1"/>
      <c r="F251" s="1"/>
      <c r="G251" s="1"/>
      <c r="H251" s="1"/>
      <c r="I251" s="1"/>
      <c r="J251" s="1"/>
      <c r="K251" s="1"/>
      <c r="L251" s="1"/>
      <c r="M251" s="1"/>
      <c r="N251" s="1"/>
      <c r="O251" s="1"/>
      <c r="P251" s="1"/>
      <c r="Q251" s="1"/>
    </row>
    <row r="252" spans="1:17" x14ac:dyDescent="0.2">
      <c r="A252" s="1"/>
      <c r="B252" s="1"/>
      <c r="C252" s="1"/>
      <c r="D252" s="1"/>
      <c r="E252" s="1"/>
      <c r="F252" s="1"/>
      <c r="G252" s="1"/>
      <c r="H252" s="1"/>
      <c r="I252" s="1"/>
      <c r="J252" s="1"/>
      <c r="K252" s="1"/>
      <c r="L252" s="1"/>
      <c r="M252" s="1"/>
      <c r="N252" s="1"/>
      <c r="O252" s="1"/>
      <c r="P252" s="1"/>
      <c r="Q252" s="1"/>
    </row>
    <row r="253" spans="1:17" x14ac:dyDescent="0.2">
      <c r="A253" s="1"/>
      <c r="B253" s="1"/>
      <c r="C253" s="1"/>
      <c r="D253" s="1"/>
      <c r="E253" s="1"/>
      <c r="F253" s="1"/>
      <c r="G253" s="1"/>
      <c r="H253" s="1"/>
      <c r="I253" s="1"/>
      <c r="J253" s="1"/>
      <c r="K253" s="1"/>
      <c r="L253" s="1"/>
      <c r="M253" s="1"/>
      <c r="N253" s="1"/>
      <c r="O253" s="1"/>
      <c r="P253" s="1"/>
      <c r="Q253" s="1"/>
    </row>
    <row r="254" spans="1:17" x14ac:dyDescent="0.2">
      <c r="A254" s="1"/>
      <c r="B254" s="1"/>
      <c r="C254" s="1"/>
      <c r="D254" s="1"/>
      <c r="E254" s="1"/>
      <c r="F254" s="1"/>
      <c r="G254" s="1"/>
      <c r="H254" s="1"/>
      <c r="I254" s="1"/>
      <c r="J254" s="1"/>
      <c r="K254" s="1"/>
      <c r="L254" s="1"/>
      <c r="M254" s="1"/>
      <c r="N254" s="1"/>
      <c r="O254" s="1"/>
      <c r="P254" s="1"/>
      <c r="Q254" s="1"/>
    </row>
    <row r="255" spans="1:17" x14ac:dyDescent="0.2">
      <c r="A255" s="1"/>
      <c r="B255" s="1"/>
      <c r="C255" s="1"/>
      <c r="D255" s="1"/>
      <c r="E255" s="1"/>
      <c r="F255" s="1"/>
      <c r="G255" s="1"/>
      <c r="H255" s="1"/>
      <c r="I255" s="1"/>
      <c r="J255" s="1"/>
      <c r="K255" s="1"/>
      <c r="L255" s="1"/>
      <c r="M255" s="1"/>
      <c r="N255" s="1"/>
      <c r="O255" s="1"/>
      <c r="P255" s="1"/>
      <c r="Q255" s="1"/>
    </row>
    <row r="256" spans="1:17" x14ac:dyDescent="0.2">
      <c r="A256" s="1"/>
      <c r="B256" s="1"/>
      <c r="C256" s="1"/>
      <c r="D256" s="1"/>
      <c r="E256" s="1"/>
      <c r="F256" s="1"/>
      <c r="G256" s="1"/>
      <c r="H256" s="1"/>
      <c r="I256" s="1"/>
      <c r="J256" s="1"/>
      <c r="K256" s="1"/>
      <c r="L256" s="1"/>
      <c r="M256" s="1"/>
      <c r="N256" s="1"/>
      <c r="O256" s="1"/>
      <c r="P256" s="1"/>
      <c r="Q256" s="1"/>
    </row>
    <row r="257" spans="1:17" x14ac:dyDescent="0.2">
      <c r="A257" s="1"/>
      <c r="B257" s="1"/>
      <c r="C257" s="1"/>
      <c r="D257" s="1"/>
      <c r="E257" s="1"/>
      <c r="F257" s="1"/>
      <c r="G257" s="1"/>
      <c r="H257" s="1"/>
      <c r="I257" s="1"/>
      <c r="J257" s="1"/>
      <c r="K257" s="1"/>
      <c r="L257" s="1"/>
      <c r="M257" s="1"/>
      <c r="N257" s="1"/>
      <c r="O257" s="1"/>
      <c r="P257" s="1"/>
      <c r="Q257" s="1"/>
    </row>
    <row r="258" spans="1:17" x14ac:dyDescent="0.2">
      <c r="A258" s="1"/>
      <c r="B258" s="1"/>
      <c r="C258" s="1"/>
      <c r="D258" s="1"/>
      <c r="E258" s="1"/>
      <c r="F258" s="1"/>
      <c r="G258" s="1"/>
      <c r="H258" s="1"/>
      <c r="I258" s="1"/>
      <c r="J258" s="1"/>
      <c r="K258" s="1"/>
      <c r="L258" s="1"/>
      <c r="M258" s="1"/>
      <c r="N258" s="1"/>
      <c r="O258" s="1"/>
      <c r="P258" s="1"/>
      <c r="Q258" s="1"/>
    </row>
    <row r="259" spans="1:17" x14ac:dyDescent="0.2">
      <c r="A259" s="1"/>
      <c r="B259" s="1"/>
      <c r="C259" s="1"/>
      <c r="D259" s="1"/>
      <c r="E259" s="1"/>
      <c r="F259" s="1"/>
      <c r="G259" s="1"/>
      <c r="H259" s="1"/>
      <c r="I259" s="1"/>
      <c r="J259" s="1"/>
      <c r="K259" s="1"/>
      <c r="L259" s="1"/>
      <c r="M259" s="1"/>
      <c r="N259" s="1"/>
      <c r="O259" s="1"/>
      <c r="P259" s="1"/>
      <c r="Q259" s="1"/>
    </row>
    <row r="260" spans="1:17" x14ac:dyDescent="0.2">
      <c r="A260" s="1"/>
      <c r="B260" s="1"/>
      <c r="C260" s="1"/>
      <c r="D260" s="1"/>
      <c r="E260" s="1"/>
      <c r="F260" s="1"/>
      <c r="G260" s="1"/>
      <c r="H260" s="1"/>
      <c r="I260" s="1"/>
      <c r="J260" s="1"/>
      <c r="K260" s="1"/>
      <c r="L260" s="1"/>
      <c r="M260" s="1"/>
      <c r="N260" s="1"/>
      <c r="O260" s="1"/>
      <c r="P260" s="1"/>
      <c r="Q260" s="1"/>
    </row>
    <row r="261" spans="1:17" x14ac:dyDescent="0.2">
      <c r="A261" s="1"/>
      <c r="B261" s="1"/>
      <c r="C261" s="1"/>
      <c r="D261" s="1"/>
      <c r="E261" s="1"/>
      <c r="F261" s="1"/>
      <c r="G261" s="1"/>
      <c r="H261" s="1"/>
      <c r="I261" s="1"/>
      <c r="J261" s="1"/>
      <c r="K261" s="1"/>
      <c r="L261" s="1"/>
      <c r="M261" s="1"/>
      <c r="N261" s="1"/>
      <c r="O261" s="1"/>
      <c r="P261" s="1"/>
      <c r="Q261" s="1"/>
    </row>
    <row r="262" spans="1:17" x14ac:dyDescent="0.2">
      <c r="A262" s="1"/>
      <c r="B262" s="1"/>
      <c r="C262" s="1"/>
      <c r="D262" s="1"/>
      <c r="E262" s="1"/>
      <c r="F262" s="1"/>
      <c r="G262" s="1"/>
      <c r="H262" s="1"/>
      <c r="I262" s="1"/>
      <c r="J262" s="1"/>
      <c r="K262" s="1"/>
      <c r="L262" s="1"/>
      <c r="M262" s="1"/>
      <c r="N262" s="1"/>
      <c r="O262" s="1"/>
      <c r="P262" s="1"/>
      <c r="Q262" s="1"/>
    </row>
    <row r="263" spans="1:17" x14ac:dyDescent="0.2">
      <c r="A263" s="1"/>
      <c r="B263" s="1"/>
      <c r="C263" s="1"/>
      <c r="D263" s="1"/>
      <c r="E263" s="1"/>
      <c r="F263" s="1"/>
      <c r="G263" s="1"/>
      <c r="H263" s="1"/>
      <c r="I263" s="1"/>
      <c r="J263" s="1"/>
      <c r="K263" s="1"/>
      <c r="L263" s="1"/>
      <c r="M263" s="1"/>
      <c r="N263" s="1"/>
      <c r="O263" s="1"/>
      <c r="P263" s="1"/>
      <c r="Q263" s="1"/>
    </row>
    <row r="264" spans="1:17" x14ac:dyDescent="0.2">
      <c r="A264" s="1"/>
      <c r="B264" s="1"/>
      <c r="C264" s="1"/>
      <c r="D264" s="1"/>
      <c r="E264" s="1"/>
      <c r="F264" s="1"/>
      <c r="G264" s="1"/>
      <c r="H264" s="1"/>
      <c r="I264" s="1"/>
      <c r="J264" s="1"/>
      <c r="K264" s="1"/>
      <c r="L264" s="1"/>
      <c r="M264" s="1"/>
      <c r="N264" s="1"/>
      <c r="O264" s="1"/>
      <c r="P264" s="1"/>
      <c r="Q264" s="1"/>
    </row>
    <row r="265" spans="1:17" x14ac:dyDescent="0.2">
      <c r="A265" s="1"/>
      <c r="B265" s="1"/>
      <c r="C265" s="1"/>
      <c r="D265" s="1"/>
      <c r="E265" s="1"/>
      <c r="F265" s="1"/>
      <c r="G265" s="1"/>
      <c r="H265" s="1"/>
      <c r="I265" s="1"/>
      <c r="J265" s="1"/>
      <c r="K265" s="1"/>
      <c r="L265" s="1"/>
      <c r="M265" s="1"/>
      <c r="N265" s="1"/>
      <c r="O265" s="1"/>
      <c r="P265" s="1"/>
      <c r="Q265" s="1"/>
    </row>
    <row r="266" spans="1:17" x14ac:dyDescent="0.2">
      <c r="A266" s="1"/>
      <c r="B266" s="1"/>
      <c r="C266" s="1"/>
      <c r="D266" s="1"/>
      <c r="E266" s="1"/>
      <c r="F266" s="1"/>
      <c r="G266" s="1"/>
      <c r="H266" s="1"/>
      <c r="I266" s="1"/>
      <c r="J266" s="1"/>
      <c r="K266" s="1"/>
      <c r="L266" s="1"/>
      <c r="M266" s="1"/>
      <c r="N266" s="1"/>
      <c r="O266" s="1"/>
      <c r="P266" s="1"/>
      <c r="Q266" s="1"/>
    </row>
    <row r="267" spans="1:17" x14ac:dyDescent="0.2">
      <c r="A267" s="1"/>
      <c r="B267" s="1"/>
      <c r="C267" s="1"/>
      <c r="D267" s="1"/>
      <c r="E267" s="1"/>
      <c r="F267" s="1"/>
      <c r="G267" s="1"/>
      <c r="H267" s="1"/>
      <c r="I267" s="1"/>
      <c r="J267" s="1"/>
      <c r="K267" s="1"/>
      <c r="L267" s="1"/>
      <c r="M267" s="1"/>
      <c r="N267" s="1"/>
      <c r="O267" s="1"/>
      <c r="P267" s="1"/>
      <c r="Q267" s="1"/>
    </row>
    <row r="268" spans="1:17" x14ac:dyDescent="0.2">
      <c r="A268" s="1"/>
      <c r="B268" s="1"/>
      <c r="C268" s="1"/>
      <c r="D268" s="1"/>
      <c r="E268" s="1"/>
      <c r="F268" s="1"/>
      <c r="G268" s="1"/>
      <c r="H268" s="1"/>
      <c r="I268" s="1"/>
      <c r="J268" s="1"/>
      <c r="K268" s="1"/>
      <c r="L268" s="1"/>
      <c r="M268" s="1"/>
      <c r="N268" s="1"/>
      <c r="O268" s="1"/>
      <c r="P268" s="1"/>
      <c r="Q268" s="1"/>
    </row>
    <row r="269" spans="1:17" x14ac:dyDescent="0.2">
      <c r="A269" s="1"/>
      <c r="B269" s="1"/>
      <c r="C269" s="1"/>
      <c r="D269" s="1"/>
      <c r="E269" s="1"/>
      <c r="F269" s="1"/>
      <c r="G269" s="1"/>
      <c r="H269" s="1"/>
      <c r="I269" s="1"/>
      <c r="J269" s="1"/>
      <c r="K269" s="1"/>
      <c r="L269" s="1"/>
      <c r="M269" s="1"/>
      <c r="N269" s="1"/>
      <c r="O269" s="1"/>
      <c r="P269" s="1"/>
      <c r="Q269" s="1"/>
    </row>
    <row r="270" spans="1:17" x14ac:dyDescent="0.2">
      <c r="A270" s="1"/>
      <c r="B270" s="1"/>
      <c r="C270" s="1"/>
      <c r="D270" s="1"/>
      <c r="E270" s="1"/>
      <c r="F270" s="1"/>
      <c r="G270" s="1"/>
      <c r="H270" s="1"/>
      <c r="I270" s="1"/>
      <c r="J270" s="1"/>
      <c r="K270" s="1"/>
      <c r="L270" s="1"/>
      <c r="M270" s="1"/>
      <c r="N270" s="1"/>
      <c r="O270" s="1"/>
      <c r="P270" s="1"/>
      <c r="Q270" s="1"/>
    </row>
    <row r="271" spans="1:17" x14ac:dyDescent="0.2">
      <c r="A271" s="1"/>
      <c r="B271" s="1"/>
      <c r="C271" s="1"/>
      <c r="D271" s="1"/>
      <c r="E271" s="1"/>
      <c r="F271" s="1"/>
      <c r="G271" s="1"/>
      <c r="H271" s="1"/>
      <c r="I271" s="1"/>
      <c r="J271" s="1"/>
      <c r="K271" s="1"/>
      <c r="L271" s="1"/>
      <c r="M271" s="1"/>
      <c r="N271" s="1"/>
      <c r="O271" s="1"/>
      <c r="P271" s="1"/>
      <c r="Q271" s="1"/>
    </row>
    <row r="272" spans="1:17" x14ac:dyDescent="0.2">
      <c r="A272" s="1"/>
      <c r="B272" s="1"/>
      <c r="C272" s="1"/>
      <c r="D272" s="1"/>
      <c r="E272" s="1"/>
      <c r="F272" s="1"/>
      <c r="G272" s="1"/>
      <c r="H272" s="1"/>
      <c r="I272" s="1"/>
      <c r="J272" s="1"/>
      <c r="K272" s="1"/>
      <c r="L272" s="1"/>
      <c r="M272" s="1"/>
      <c r="N272" s="1"/>
      <c r="O272" s="1"/>
      <c r="P272" s="1"/>
      <c r="Q272" s="1"/>
    </row>
    <row r="273" spans="1:17" x14ac:dyDescent="0.2">
      <c r="A273" s="1"/>
      <c r="B273" s="1"/>
      <c r="C273" s="1"/>
      <c r="D273" s="1"/>
      <c r="E273" s="1"/>
      <c r="F273" s="1"/>
      <c r="G273" s="1"/>
      <c r="H273" s="1"/>
      <c r="I273" s="1"/>
      <c r="J273" s="1"/>
      <c r="K273" s="1"/>
      <c r="L273" s="1"/>
      <c r="M273" s="1"/>
      <c r="N273" s="1"/>
      <c r="O273" s="1"/>
      <c r="P273" s="1"/>
      <c r="Q273" s="1"/>
    </row>
    <row r="274" spans="1:17" x14ac:dyDescent="0.2">
      <c r="A274" s="1"/>
      <c r="B274" s="1"/>
      <c r="C274" s="1"/>
      <c r="D274" s="1"/>
      <c r="E274" s="1"/>
      <c r="F274" s="1"/>
      <c r="G274" s="1"/>
      <c r="H274" s="1"/>
      <c r="I274" s="1"/>
      <c r="J274" s="1"/>
      <c r="K274" s="1"/>
      <c r="L274" s="1"/>
      <c r="M274" s="1"/>
      <c r="N274" s="1"/>
      <c r="O274" s="1"/>
      <c r="P274" s="1"/>
      <c r="Q274" s="1"/>
    </row>
    <row r="275" spans="1:17" x14ac:dyDescent="0.2">
      <c r="A275" s="1"/>
      <c r="B275" s="1"/>
      <c r="C275" s="1"/>
      <c r="D275" s="1"/>
      <c r="E275" s="1"/>
      <c r="F275" s="1"/>
      <c r="G275" s="1"/>
      <c r="H275" s="1"/>
      <c r="I275" s="1"/>
      <c r="J275" s="1"/>
      <c r="K275" s="1"/>
      <c r="L275" s="1"/>
      <c r="M275" s="1"/>
      <c r="N275" s="1"/>
      <c r="O275" s="1"/>
      <c r="P275" s="1"/>
      <c r="Q275" s="1"/>
    </row>
    <row r="276" spans="1:17" x14ac:dyDescent="0.2">
      <c r="A276" s="1"/>
      <c r="B276" s="1"/>
      <c r="C276" s="1"/>
      <c r="D276" s="1"/>
      <c r="E276" s="1"/>
      <c r="F276" s="1"/>
      <c r="G276" s="1"/>
      <c r="H276" s="1"/>
      <c r="I276" s="1"/>
      <c r="J276" s="1"/>
      <c r="K276" s="1"/>
      <c r="L276" s="1"/>
      <c r="M276" s="1"/>
      <c r="N276" s="1"/>
      <c r="O276" s="1"/>
      <c r="P276" s="1"/>
      <c r="Q276" s="1"/>
    </row>
    <row r="277" spans="1:17" x14ac:dyDescent="0.2">
      <c r="A277" s="1"/>
      <c r="B277" s="1"/>
      <c r="C277" s="1"/>
      <c r="D277" s="1"/>
      <c r="E277" s="1"/>
      <c r="F277" s="1"/>
      <c r="G277" s="1"/>
      <c r="H277" s="1"/>
      <c r="I277" s="1"/>
      <c r="J277" s="1"/>
      <c r="K277" s="1"/>
      <c r="L277" s="1"/>
      <c r="M277" s="1"/>
      <c r="N277" s="1"/>
      <c r="O277" s="1"/>
      <c r="P277" s="1"/>
      <c r="Q277" s="1"/>
    </row>
    <row r="278" spans="1:17" x14ac:dyDescent="0.2">
      <c r="A278" s="1"/>
      <c r="B278" s="1"/>
      <c r="C278" s="1"/>
      <c r="D278" s="1"/>
      <c r="E278" s="1"/>
      <c r="F278" s="1"/>
      <c r="G278" s="1"/>
      <c r="H278" s="1"/>
      <c r="I278" s="1"/>
      <c r="J278" s="1"/>
      <c r="K278" s="1"/>
      <c r="L278" s="1"/>
      <c r="M278" s="1"/>
      <c r="N278" s="1"/>
      <c r="O278" s="1"/>
      <c r="P278" s="1"/>
      <c r="Q278" s="1"/>
    </row>
    <row r="279" spans="1:17" x14ac:dyDescent="0.2">
      <c r="A279" s="1"/>
      <c r="B279" s="1"/>
      <c r="C279" s="1"/>
      <c r="D279" s="1"/>
      <c r="E279" s="1"/>
      <c r="F279" s="1"/>
      <c r="G279" s="1"/>
      <c r="H279" s="1"/>
      <c r="I279" s="1"/>
      <c r="J279" s="1"/>
      <c r="K279" s="1"/>
      <c r="L279" s="1"/>
      <c r="M279" s="1"/>
      <c r="N279" s="1"/>
      <c r="O279" s="1"/>
      <c r="P279" s="1"/>
      <c r="Q279" s="1"/>
    </row>
    <row r="280" spans="1:17" x14ac:dyDescent="0.2">
      <c r="A280" s="1"/>
      <c r="B280" s="1"/>
      <c r="C280" s="1"/>
      <c r="D280" s="1"/>
      <c r="E280" s="1"/>
      <c r="F280" s="1"/>
      <c r="G280" s="1"/>
      <c r="H280" s="1"/>
      <c r="I280" s="1"/>
      <c r="J280" s="1"/>
      <c r="K280" s="1"/>
      <c r="L280" s="1"/>
      <c r="M280" s="1"/>
      <c r="N280" s="1"/>
      <c r="O280" s="1"/>
      <c r="P280" s="1"/>
      <c r="Q280" s="1"/>
    </row>
    <row r="281" spans="1:17" x14ac:dyDescent="0.2">
      <c r="A281" s="1"/>
      <c r="B281" s="1"/>
      <c r="C281" s="1"/>
      <c r="D281" s="1"/>
      <c r="E281" s="1"/>
      <c r="F281" s="1"/>
      <c r="G281" s="1"/>
      <c r="H281" s="1"/>
      <c r="I281" s="1"/>
      <c r="J281" s="1"/>
      <c r="K281" s="1"/>
      <c r="L281" s="1"/>
      <c r="M281" s="1"/>
      <c r="N281" s="1"/>
      <c r="O281" s="1"/>
      <c r="P281" s="1"/>
      <c r="Q281" s="1"/>
    </row>
    <row r="282" spans="1:17" x14ac:dyDescent="0.2">
      <c r="A282" s="1"/>
      <c r="B282" s="1"/>
      <c r="C282" s="1"/>
      <c r="D282" s="1"/>
      <c r="E282" s="1"/>
      <c r="F282" s="1"/>
      <c r="G282" s="1"/>
      <c r="H282" s="1"/>
      <c r="I282" s="1"/>
      <c r="J282" s="1"/>
      <c r="K282" s="1"/>
      <c r="L282" s="1"/>
      <c r="M282" s="1"/>
      <c r="N282" s="1"/>
      <c r="O282" s="1"/>
      <c r="P282" s="1"/>
      <c r="Q282" s="1"/>
    </row>
    <row r="283" spans="1:17" x14ac:dyDescent="0.2">
      <c r="A283" s="1"/>
      <c r="B283" s="1"/>
      <c r="C283" s="1"/>
      <c r="D283" s="1"/>
      <c r="E283" s="1"/>
      <c r="F283" s="1"/>
      <c r="G283" s="1"/>
      <c r="H283" s="1"/>
      <c r="I283" s="1"/>
      <c r="J283" s="1"/>
      <c r="K283" s="1"/>
      <c r="L283" s="1"/>
      <c r="M283" s="1"/>
      <c r="N283" s="1"/>
      <c r="O283" s="1"/>
      <c r="P283" s="1"/>
      <c r="Q283" s="1"/>
    </row>
    <row r="284" spans="1:17" x14ac:dyDescent="0.2">
      <c r="A284" s="1"/>
      <c r="B284" s="1"/>
      <c r="C284" s="1"/>
      <c r="D284" s="1"/>
      <c r="E284" s="1"/>
      <c r="F284" s="1"/>
      <c r="G284" s="1"/>
      <c r="H284" s="1"/>
      <c r="I284" s="1"/>
      <c r="J284" s="1"/>
      <c r="K284" s="1"/>
      <c r="L284" s="1"/>
      <c r="M284" s="1"/>
      <c r="N284" s="1"/>
      <c r="O284" s="1"/>
      <c r="P284" s="1"/>
      <c r="Q284" s="1"/>
    </row>
    <row r="285" spans="1:17" x14ac:dyDescent="0.2">
      <c r="A285" s="1"/>
      <c r="B285" s="1"/>
      <c r="C285" s="1"/>
      <c r="D285" s="1"/>
      <c r="E285" s="1"/>
      <c r="F285" s="1"/>
      <c r="G285" s="1"/>
      <c r="H285" s="1"/>
      <c r="I285" s="1"/>
      <c r="J285" s="1"/>
      <c r="K285" s="1"/>
      <c r="L285" s="1"/>
      <c r="M285" s="1"/>
      <c r="N285" s="1"/>
      <c r="O285" s="1"/>
      <c r="P285" s="1"/>
      <c r="Q285" s="1"/>
    </row>
    <row r="286" spans="1:17" x14ac:dyDescent="0.2">
      <c r="A286" s="1"/>
      <c r="B286" s="1"/>
      <c r="C286" s="1"/>
      <c r="D286" s="1"/>
      <c r="E286" s="1"/>
      <c r="F286" s="1"/>
      <c r="G286" s="1"/>
      <c r="H286" s="1"/>
      <c r="I286" s="1"/>
      <c r="J286" s="1"/>
      <c r="K286" s="1"/>
      <c r="L286" s="1"/>
      <c r="M286" s="1"/>
      <c r="N286" s="1"/>
      <c r="O286" s="1"/>
      <c r="P286" s="1"/>
      <c r="Q286" s="1"/>
    </row>
    <row r="287" spans="1:17" x14ac:dyDescent="0.2">
      <c r="A287" s="1"/>
      <c r="B287" s="1"/>
      <c r="C287" s="1"/>
      <c r="D287" s="1"/>
      <c r="E287" s="1"/>
      <c r="F287" s="1"/>
      <c r="G287" s="1"/>
      <c r="H287" s="1"/>
      <c r="I287" s="1"/>
      <c r="J287" s="1"/>
      <c r="K287" s="1"/>
      <c r="L287" s="1"/>
      <c r="M287" s="1"/>
      <c r="N287" s="1"/>
      <c r="O287" s="1"/>
      <c r="P287" s="1"/>
      <c r="Q287" s="1"/>
    </row>
    <row r="288" spans="1:17" x14ac:dyDescent="0.2">
      <c r="A288" s="1"/>
      <c r="B288" s="1"/>
      <c r="C288" s="1"/>
      <c r="D288" s="1"/>
      <c r="E288" s="1"/>
      <c r="F288" s="1"/>
      <c r="G288" s="1"/>
      <c r="H288" s="1"/>
      <c r="I288" s="1"/>
      <c r="J288" s="1"/>
      <c r="K288" s="1"/>
      <c r="L288" s="1"/>
      <c r="M288" s="1"/>
      <c r="N288" s="1"/>
      <c r="O288" s="1"/>
      <c r="P288" s="1"/>
      <c r="Q288" s="1"/>
    </row>
    <row r="289" spans="1:17" x14ac:dyDescent="0.2">
      <c r="A289" s="1"/>
      <c r="B289" s="1"/>
      <c r="C289" s="1"/>
      <c r="D289" s="1"/>
      <c r="E289" s="1"/>
      <c r="F289" s="1"/>
      <c r="G289" s="1"/>
      <c r="H289" s="1"/>
      <c r="I289" s="1"/>
      <c r="J289" s="1"/>
      <c r="K289" s="1"/>
      <c r="L289" s="1"/>
      <c r="M289" s="1"/>
      <c r="N289" s="1"/>
      <c r="O289" s="1"/>
      <c r="P289" s="1"/>
      <c r="Q289" s="1"/>
    </row>
    <row r="290" spans="1:17" x14ac:dyDescent="0.2">
      <c r="A290" s="1"/>
      <c r="B290" s="1"/>
      <c r="C290" s="1"/>
      <c r="D290" s="1"/>
      <c r="E290" s="1"/>
      <c r="F290" s="1"/>
      <c r="G290" s="1"/>
      <c r="H290" s="1"/>
      <c r="I290" s="1"/>
      <c r="J290" s="1"/>
      <c r="K290" s="1"/>
      <c r="L290" s="1"/>
      <c r="M290" s="1"/>
      <c r="N290" s="1"/>
      <c r="O290" s="1"/>
      <c r="P290" s="1"/>
      <c r="Q290" s="1"/>
    </row>
    <row r="291" spans="1:17" x14ac:dyDescent="0.2">
      <c r="A291" s="1"/>
      <c r="B291" s="1"/>
      <c r="C291" s="1"/>
      <c r="D291" s="1"/>
      <c r="E291" s="1"/>
      <c r="F291" s="1"/>
      <c r="G291" s="1"/>
      <c r="H291" s="1"/>
      <c r="I291" s="1"/>
      <c r="J291" s="1"/>
      <c r="K291" s="1"/>
      <c r="L291" s="1"/>
      <c r="M291" s="1"/>
      <c r="N291" s="1"/>
      <c r="O291" s="1"/>
      <c r="P291" s="1"/>
      <c r="Q291" s="1"/>
    </row>
    <row r="292" spans="1:17" x14ac:dyDescent="0.2">
      <c r="A292" s="1"/>
      <c r="B292" s="1"/>
      <c r="C292" s="1"/>
      <c r="D292" s="1"/>
      <c r="E292" s="1"/>
      <c r="F292" s="1"/>
      <c r="G292" s="1"/>
      <c r="H292" s="1"/>
      <c r="I292" s="1"/>
      <c r="J292" s="1"/>
      <c r="K292" s="1"/>
      <c r="L292" s="1"/>
      <c r="M292" s="1"/>
      <c r="N292" s="1"/>
      <c r="O292" s="1"/>
      <c r="P292" s="1"/>
      <c r="Q292" s="1"/>
    </row>
    <row r="293" spans="1:17" x14ac:dyDescent="0.2">
      <c r="A293" s="1"/>
      <c r="B293" s="1"/>
      <c r="C293" s="1"/>
      <c r="D293" s="1"/>
      <c r="E293" s="1"/>
      <c r="F293" s="1"/>
      <c r="G293" s="1"/>
      <c r="H293" s="1"/>
      <c r="I293" s="1"/>
      <c r="J293" s="1"/>
      <c r="K293" s="1"/>
      <c r="L293" s="1"/>
      <c r="M293" s="1"/>
      <c r="N293" s="1"/>
      <c r="O293" s="1"/>
      <c r="P293" s="1"/>
      <c r="Q293" s="1"/>
    </row>
    <row r="294" spans="1:17" x14ac:dyDescent="0.2">
      <c r="A294" s="1"/>
      <c r="B294" s="1"/>
      <c r="C294" s="1"/>
      <c r="D294" s="1"/>
      <c r="E294" s="1"/>
      <c r="F294" s="1"/>
      <c r="G294" s="1"/>
      <c r="H294" s="1"/>
      <c r="I294" s="1"/>
      <c r="J294" s="1"/>
      <c r="K294" s="1"/>
      <c r="L294" s="1"/>
      <c r="M294" s="1"/>
      <c r="N294" s="1"/>
      <c r="O294" s="1"/>
      <c r="P294" s="1"/>
      <c r="Q294" s="1"/>
    </row>
    <row r="295" spans="1:17" x14ac:dyDescent="0.2">
      <c r="A295" s="1"/>
      <c r="B295" s="1"/>
      <c r="C295" s="1"/>
      <c r="D295" s="1"/>
      <c r="E295" s="1"/>
      <c r="F295" s="1"/>
      <c r="G295" s="1"/>
      <c r="H295" s="1"/>
      <c r="I295" s="1"/>
      <c r="J295" s="1"/>
      <c r="K295" s="1"/>
      <c r="L295" s="1"/>
      <c r="M295" s="1"/>
      <c r="N295" s="1"/>
      <c r="O295" s="1"/>
      <c r="P295" s="1"/>
      <c r="Q295" s="1"/>
    </row>
    <row r="296" spans="1:17" x14ac:dyDescent="0.2">
      <c r="A296" s="1"/>
      <c r="B296" s="1"/>
      <c r="C296" s="1"/>
      <c r="D296" s="1"/>
      <c r="E296" s="1"/>
      <c r="F296" s="1"/>
      <c r="G296" s="1"/>
      <c r="H296" s="1"/>
      <c r="I296" s="1"/>
      <c r="J296" s="1"/>
      <c r="K296" s="1"/>
      <c r="L296" s="1"/>
      <c r="M296" s="1"/>
      <c r="N296" s="1"/>
      <c r="O296" s="1"/>
      <c r="P296" s="1"/>
      <c r="Q296" s="1"/>
    </row>
    <row r="297" spans="1:17" x14ac:dyDescent="0.2">
      <c r="A297" s="1"/>
      <c r="B297" s="1"/>
      <c r="C297" s="1"/>
      <c r="D297" s="1"/>
      <c r="E297" s="1"/>
      <c r="F297" s="1"/>
      <c r="G297" s="1"/>
      <c r="H297" s="1"/>
      <c r="I297" s="1"/>
      <c r="J297" s="1"/>
      <c r="K297" s="1"/>
      <c r="L297" s="1"/>
      <c r="M297" s="1"/>
      <c r="N297" s="1"/>
      <c r="O297" s="1"/>
      <c r="P297" s="1"/>
      <c r="Q297" s="1"/>
    </row>
    <row r="298" spans="1:17" x14ac:dyDescent="0.2">
      <c r="A298" s="1"/>
      <c r="B298" s="1"/>
      <c r="C298" s="1"/>
      <c r="D298" s="1"/>
      <c r="E298" s="1"/>
      <c r="F298" s="1"/>
      <c r="G298" s="1"/>
      <c r="H298" s="1"/>
      <c r="I298" s="1"/>
      <c r="J298" s="1"/>
      <c r="K298" s="1"/>
      <c r="L298" s="1"/>
      <c r="M298" s="1"/>
      <c r="N298" s="1"/>
      <c r="O298" s="1"/>
      <c r="P298" s="1"/>
      <c r="Q298" s="1"/>
    </row>
    <row r="299" spans="1:17" x14ac:dyDescent="0.2">
      <c r="A299" s="1"/>
      <c r="B299" s="1"/>
      <c r="C299" s="1"/>
      <c r="D299" s="1"/>
      <c r="E299" s="1"/>
      <c r="F299" s="1"/>
      <c r="G299" s="1"/>
      <c r="H299" s="1"/>
      <c r="I299" s="1"/>
      <c r="J299" s="1"/>
      <c r="K299" s="1"/>
      <c r="L299" s="1"/>
      <c r="M299" s="1"/>
      <c r="N299" s="1"/>
      <c r="O299" s="1"/>
      <c r="P299" s="1"/>
      <c r="Q299" s="1"/>
    </row>
    <row r="300" spans="1:17" x14ac:dyDescent="0.2">
      <c r="A300" s="1"/>
      <c r="B300" s="1"/>
      <c r="C300" s="1"/>
      <c r="D300" s="1"/>
      <c r="E300" s="1"/>
      <c r="F300" s="1"/>
      <c r="G300" s="1"/>
      <c r="H300" s="1"/>
      <c r="I300" s="1"/>
      <c r="J300" s="1"/>
      <c r="K300" s="1"/>
      <c r="L300" s="1"/>
      <c r="M300" s="1"/>
      <c r="N300" s="1"/>
      <c r="O300" s="1"/>
      <c r="P300" s="1"/>
      <c r="Q300" s="1"/>
    </row>
    <row r="301" spans="1:17" x14ac:dyDescent="0.2">
      <c r="A301" s="1"/>
      <c r="B301" s="1"/>
      <c r="C301" s="1"/>
      <c r="D301" s="1"/>
      <c r="E301" s="1"/>
      <c r="F301" s="1"/>
      <c r="G301" s="1"/>
      <c r="H301" s="1"/>
      <c r="I301" s="1"/>
      <c r="J301" s="1"/>
      <c r="K301" s="1"/>
      <c r="L301" s="1"/>
      <c r="M301" s="1"/>
      <c r="N301" s="1"/>
      <c r="O301" s="1"/>
      <c r="P301" s="1"/>
      <c r="Q301" s="1"/>
    </row>
    <row r="302" spans="1:17" x14ac:dyDescent="0.2">
      <c r="A302" s="1"/>
      <c r="B302" s="1"/>
      <c r="C302" s="1"/>
      <c r="D302" s="1"/>
      <c r="E302" s="1"/>
      <c r="F302" s="1"/>
      <c r="G302" s="1"/>
      <c r="H302" s="1"/>
      <c r="I302" s="1"/>
      <c r="J302" s="1"/>
      <c r="K302" s="1"/>
      <c r="L302" s="1"/>
      <c r="M302" s="1"/>
      <c r="N302" s="1"/>
      <c r="O302" s="1"/>
      <c r="P302" s="1"/>
      <c r="Q302" s="1"/>
    </row>
    <row r="303" spans="1:17" x14ac:dyDescent="0.2">
      <c r="A303" s="1"/>
      <c r="B303" s="1"/>
      <c r="C303" s="1"/>
      <c r="D303" s="1"/>
      <c r="E303" s="1"/>
      <c r="F303" s="1"/>
      <c r="G303" s="1"/>
      <c r="H303" s="1"/>
      <c r="I303" s="1"/>
      <c r="J303" s="1"/>
      <c r="K303" s="1"/>
      <c r="L303" s="1"/>
      <c r="M303" s="1"/>
      <c r="N303" s="1"/>
      <c r="O303" s="1"/>
      <c r="P303" s="1"/>
      <c r="Q303" s="1"/>
    </row>
    <row r="304" spans="1:17" x14ac:dyDescent="0.2">
      <c r="A304" s="1"/>
      <c r="B304" s="1"/>
      <c r="C304" s="1"/>
      <c r="D304" s="1"/>
      <c r="E304" s="1"/>
      <c r="F304" s="1"/>
      <c r="G304" s="1"/>
      <c r="H304" s="1"/>
      <c r="I304" s="1"/>
      <c r="J304" s="1"/>
      <c r="K304" s="1"/>
      <c r="L304" s="1"/>
      <c r="M304" s="1"/>
      <c r="N304" s="1"/>
      <c r="O304" s="1"/>
      <c r="P304" s="1"/>
      <c r="Q304" s="1"/>
    </row>
    <row r="305" spans="1:17" x14ac:dyDescent="0.2">
      <c r="A305" s="1"/>
      <c r="B305" s="1"/>
      <c r="C305" s="1"/>
      <c r="D305" s="1"/>
      <c r="E305" s="1"/>
      <c r="F305" s="1"/>
      <c r="G305" s="1"/>
      <c r="H305" s="1"/>
      <c r="I305" s="1"/>
      <c r="J305" s="1"/>
      <c r="K305" s="1"/>
      <c r="L305" s="1"/>
      <c r="M305" s="1"/>
      <c r="N305" s="1"/>
      <c r="O305" s="1"/>
      <c r="P305" s="1"/>
      <c r="Q305" s="1"/>
    </row>
    <row r="306" spans="1:17" x14ac:dyDescent="0.2">
      <c r="A306" s="1"/>
      <c r="B306" s="1"/>
      <c r="C306" s="1"/>
      <c r="D306" s="1"/>
      <c r="E306" s="1"/>
      <c r="F306" s="1"/>
      <c r="G306" s="1"/>
      <c r="H306" s="1"/>
      <c r="I306" s="1"/>
      <c r="J306" s="1"/>
      <c r="K306" s="1"/>
      <c r="L306" s="1"/>
      <c r="M306" s="1"/>
      <c r="N306" s="1"/>
      <c r="O306" s="1"/>
      <c r="P306" s="1"/>
      <c r="Q306" s="1"/>
    </row>
    <row r="307" spans="1:17" x14ac:dyDescent="0.2">
      <c r="A307" s="1"/>
      <c r="B307" s="1"/>
      <c r="C307" s="1"/>
      <c r="D307" s="1"/>
      <c r="E307" s="1"/>
      <c r="F307" s="1"/>
      <c r="G307" s="1"/>
      <c r="H307" s="1"/>
      <c r="I307" s="1"/>
      <c r="J307" s="1"/>
      <c r="K307" s="1"/>
      <c r="L307" s="1"/>
      <c r="M307" s="1"/>
      <c r="N307" s="1"/>
      <c r="O307" s="1"/>
      <c r="P307" s="1"/>
      <c r="Q307" s="1"/>
    </row>
    <row r="308" spans="1:17" x14ac:dyDescent="0.2">
      <c r="A308" s="1"/>
      <c r="B308" s="1"/>
      <c r="C308" s="1"/>
      <c r="D308" s="1"/>
      <c r="E308" s="1"/>
      <c r="F308" s="1"/>
      <c r="G308" s="1"/>
      <c r="H308" s="1"/>
      <c r="I308" s="1"/>
      <c r="J308" s="1"/>
      <c r="K308" s="1"/>
      <c r="L308" s="1"/>
      <c r="M308" s="1"/>
      <c r="N308" s="1"/>
      <c r="O308" s="1"/>
      <c r="P308" s="1"/>
      <c r="Q308" s="1"/>
    </row>
    <row r="309" spans="1:17" x14ac:dyDescent="0.2">
      <c r="A309" s="1"/>
      <c r="B309" s="1"/>
      <c r="C309" s="1"/>
      <c r="D309" s="1"/>
      <c r="E309" s="1"/>
      <c r="F309" s="1"/>
      <c r="G309" s="1"/>
      <c r="H309" s="1"/>
      <c r="I309" s="1"/>
      <c r="J309" s="1"/>
      <c r="K309" s="1"/>
      <c r="L309" s="1"/>
      <c r="M309" s="1"/>
      <c r="N309" s="1"/>
      <c r="O309" s="1"/>
      <c r="P309" s="1"/>
      <c r="Q309" s="1"/>
    </row>
    <row r="310" spans="1:17" x14ac:dyDescent="0.2">
      <c r="A310" s="1"/>
      <c r="B310" s="1"/>
      <c r="C310" s="1"/>
      <c r="D310" s="1"/>
      <c r="E310" s="1"/>
      <c r="F310" s="1"/>
      <c r="G310" s="1"/>
      <c r="H310" s="1"/>
      <c r="I310" s="1"/>
      <c r="J310" s="1"/>
      <c r="K310" s="1"/>
      <c r="L310" s="1"/>
      <c r="M310" s="1"/>
      <c r="N310" s="1"/>
      <c r="O310" s="1"/>
      <c r="P310" s="1"/>
      <c r="Q310" s="1"/>
    </row>
    <row r="311" spans="1:17" x14ac:dyDescent="0.2">
      <c r="A311" s="1"/>
      <c r="B311" s="1"/>
      <c r="C311" s="1"/>
      <c r="D311" s="1"/>
      <c r="E311" s="1"/>
      <c r="F311" s="1"/>
      <c r="G311" s="1"/>
      <c r="H311" s="1"/>
      <c r="I311" s="1"/>
      <c r="J311" s="1"/>
      <c r="K311" s="1"/>
      <c r="L311" s="1"/>
      <c r="M311" s="1"/>
      <c r="N311" s="1"/>
      <c r="O311" s="1"/>
      <c r="P311" s="1"/>
      <c r="Q311" s="1"/>
    </row>
    <row r="312" spans="1:17" x14ac:dyDescent="0.2">
      <c r="A312" s="1"/>
      <c r="B312" s="1"/>
      <c r="C312" s="1"/>
      <c r="D312" s="1"/>
      <c r="E312" s="1"/>
      <c r="F312" s="1"/>
      <c r="G312" s="1"/>
      <c r="H312" s="1"/>
      <c r="I312" s="1"/>
      <c r="J312" s="1"/>
      <c r="K312" s="1"/>
      <c r="L312" s="1"/>
      <c r="M312" s="1"/>
      <c r="N312" s="1"/>
      <c r="O312" s="1"/>
      <c r="P312" s="1"/>
      <c r="Q312" s="1"/>
    </row>
    <row r="313" spans="1:17" x14ac:dyDescent="0.2">
      <c r="A313" s="1"/>
      <c r="B313" s="1"/>
      <c r="C313" s="1"/>
      <c r="D313" s="1"/>
      <c r="E313" s="1"/>
      <c r="F313" s="1"/>
      <c r="G313" s="1"/>
      <c r="H313" s="1"/>
      <c r="I313" s="1"/>
      <c r="J313" s="1"/>
      <c r="K313" s="1"/>
      <c r="L313" s="1"/>
      <c r="M313" s="1"/>
      <c r="N313" s="1"/>
      <c r="O313" s="1"/>
      <c r="P313" s="1"/>
      <c r="Q313" s="1"/>
    </row>
    <row r="314" spans="1:17" x14ac:dyDescent="0.2">
      <c r="A314" s="1"/>
      <c r="B314" s="1"/>
      <c r="C314" s="1"/>
      <c r="D314" s="1"/>
      <c r="E314" s="1"/>
      <c r="F314" s="1"/>
      <c r="G314" s="1"/>
      <c r="H314" s="1"/>
      <c r="I314" s="1"/>
      <c r="J314" s="1"/>
      <c r="K314" s="1"/>
      <c r="L314" s="1"/>
      <c r="M314" s="1"/>
      <c r="N314" s="1"/>
      <c r="O314" s="1"/>
      <c r="P314" s="1"/>
      <c r="Q314" s="1"/>
    </row>
    <row r="315" spans="1:17" x14ac:dyDescent="0.2">
      <c r="A315" s="1"/>
      <c r="B315" s="1"/>
      <c r="C315" s="1"/>
      <c r="D315" s="1"/>
      <c r="E315" s="1"/>
      <c r="F315" s="1"/>
      <c r="G315" s="1"/>
      <c r="H315" s="1"/>
      <c r="I315" s="1"/>
      <c r="J315" s="1"/>
      <c r="K315" s="1"/>
      <c r="L315" s="1"/>
      <c r="M315" s="1"/>
      <c r="N315" s="1"/>
      <c r="O315" s="1"/>
      <c r="P315" s="1"/>
      <c r="Q315" s="1"/>
    </row>
    <row r="316" spans="1:17" x14ac:dyDescent="0.2">
      <c r="A316" s="1"/>
      <c r="B316" s="1"/>
      <c r="C316" s="1"/>
      <c r="D316" s="1"/>
      <c r="E316" s="1"/>
      <c r="F316" s="1"/>
      <c r="G316" s="1"/>
      <c r="H316" s="1"/>
      <c r="I316" s="1"/>
      <c r="J316" s="1"/>
      <c r="K316" s="1"/>
      <c r="L316" s="1"/>
      <c r="M316" s="1"/>
      <c r="N316" s="1"/>
      <c r="O316" s="1"/>
      <c r="P316" s="1"/>
      <c r="Q316" s="1"/>
    </row>
    <row r="317" spans="1:17" x14ac:dyDescent="0.2">
      <c r="A317" s="1"/>
      <c r="B317" s="1"/>
      <c r="C317" s="1"/>
      <c r="D317" s="1"/>
      <c r="E317" s="1"/>
      <c r="F317" s="1"/>
      <c r="G317" s="1"/>
      <c r="H317" s="1"/>
      <c r="I317" s="1"/>
      <c r="J317" s="1"/>
      <c r="K317" s="1"/>
      <c r="L317" s="1"/>
      <c r="M317" s="1"/>
      <c r="N317" s="1"/>
      <c r="O317" s="1"/>
      <c r="P317" s="1"/>
      <c r="Q317" s="1"/>
    </row>
    <row r="318" spans="1:17" x14ac:dyDescent="0.2">
      <c r="A318" s="1"/>
      <c r="B318" s="1"/>
      <c r="C318" s="1"/>
      <c r="D318" s="1"/>
      <c r="E318" s="1"/>
      <c r="F318" s="1"/>
      <c r="G318" s="1"/>
      <c r="H318" s="1"/>
      <c r="I318" s="1"/>
      <c r="J318" s="1"/>
      <c r="K318" s="1"/>
      <c r="L318" s="1"/>
      <c r="M318" s="1"/>
      <c r="N318" s="1"/>
      <c r="O318" s="1"/>
      <c r="P318" s="1"/>
      <c r="Q318" s="1"/>
    </row>
    <row r="319" spans="1:17" x14ac:dyDescent="0.2">
      <c r="A319" s="1"/>
      <c r="B319" s="1"/>
      <c r="C319" s="1"/>
      <c r="D319" s="1"/>
      <c r="E319" s="1"/>
      <c r="F319" s="1"/>
      <c r="G319" s="1"/>
      <c r="H319" s="1"/>
      <c r="I319" s="1"/>
      <c r="J319" s="1"/>
      <c r="K319" s="1"/>
      <c r="L319" s="1"/>
      <c r="M319" s="1"/>
      <c r="N319" s="1"/>
      <c r="O319" s="1"/>
      <c r="P319" s="1"/>
      <c r="Q319" s="1"/>
    </row>
    <row r="320" spans="1:17" x14ac:dyDescent="0.2">
      <c r="A320" s="1"/>
      <c r="B320" s="1"/>
      <c r="C320" s="1"/>
      <c r="D320" s="1"/>
      <c r="E320" s="1"/>
      <c r="F320" s="1"/>
      <c r="G320" s="1"/>
      <c r="H320" s="1"/>
      <c r="I320" s="1"/>
      <c r="J320" s="1"/>
      <c r="K320" s="1"/>
      <c r="L320" s="1"/>
      <c r="M320" s="1"/>
      <c r="N320" s="1"/>
      <c r="O320" s="1"/>
      <c r="P320" s="1"/>
      <c r="Q320" s="1"/>
    </row>
    <row r="321" spans="1:17" x14ac:dyDescent="0.2">
      <c r="A321" s="1"/>
      <c r="B321" s="1"/>
      <c r="C321" s="1"/>
      <c r="D321" s="1"/>
      <c r="E321" s="1"/>
      <c r="F321" s="1"/>
      <c r="G321" s="1"/>
      <c r="H321" s="1"/>
      <c r="I321" s="1"/>
      <c r="J321" s="1"/>
      <c r="K321" s="1"/>
      <c r="L321" s="1"/>
      <c r="M321" s="1"/>
      <c r="N321" s="1"/>
      <c r="O321" s="1"/>
      <c r="P321" s="1"/>
      <c r="Q321" s="1"/>
    </row>
    <row r="322" spans="1:17" x14ac:dyDescent="0.2">
      <c r="A322" s="1"/>
      <c r="B322" s="1"/>
      <c r="C322" s="1"/>
      <c r="D322" s="1"/>
      <c r="E322" s="1"/>
      <c r="F322" s="1"/>
      <c r="G322" s="1"/>
      <c r="H322" s="1"/>
      <c r="I322" s="1"/>
      <c r="J322" s="1"/>
      <c r="K322" s="1"/>
      <c r="L322" s="1"/>
      <c r="M322" s="1"/>
      <c r="N322" s="1"/>
      <c r="O322" s="1"/>
      <c r="P322" s="1"/>
      <c r="Q322" s="1"/>
    </row>
    <row r="323" spans="1:17" x14ac:dyDescent="0.2">
      <c r="A323" s="1"/>
      <c r="B323" s="1"/>
      <c r="C323" s="1"/>
      <c r="D323" s="1"/>
      <c r="E323" s="1"/>
      <c r="F323" s="1"/>
      <c r="G323" s="1"/>
      <c r="H323" s="1"/>
      <c r="I323" s="1"/>
      <c r="J323" s="1"/>
      <c r="K323" s="1"/>
      <c r="L323" s="1"/>
      <c r="M323" s="1"/>
      <c r="N323" s="1"/>
      <c r="O323" s="1"/>
      <c r="P323" s="1"/>
      <c r="Q323" s="1"/>
    </row>
    <row r="324" spans="1:17" x14ac:dyDescent="0.2">
      <c r="A324" s="1"/>
      <c r="B324" s="1"/>
      <c r="C324" s="1"/>
      <c r="D324" s="1"/>
      <c r="E324" s="1"/>
      <c r="F324" s="1"/>
      <c r="G324" s="1"/>
      <c r="H324" s="1"/>
      <c r="I324" s="1"/>
      <c r="J324" s="1"/>
      <c r="K324" s="1"/>
      <c r="L324" s="1"/>
      <c r="M324" s="1"/>
      <c r="N324" s="1"/>
      <c r="O324" s="1"/>
      <c r="P324" s="1"/>
      <c r="Q324" s="1"/>
    </row>
    <row r="325" spans="1:17" x14ac:dyDescent="0.2">
      <c r="A325" s="1"/>
      <c r="B325" s="1"/>
      <c r="C325" s="1"/>
      <c r="D325" s="1"/>
      <c r="E325" s="1"/>
      <c r="F325" s="1"/>
      <c r="G325" s="1"/>
      <c r="H325" s="1"/>
      <c r="I325" s="1"/>
      <c r="J325" s="1"/>
      <c r="K325" s="1"/>
      <c r="L325" s="1"/>
      <c r="M325" s="1"/>
      <c r="N325" s="1"/>
      <c r="O325" s="1"/>
      <c r="P325" s="1"/>
      <c r="Q325" s="1"/>
    </row>
    <row r="326" spans="1:17" x14ac:dyDescent="0.2">
      <c r="A326" s="1"/>
      <c r="B326" s="1"/>
      <c r="C326" s="1"/>
      <c r="D326" s="1"/>
      <c r="E326" s="1"/>
      <c r="F326" s="1"/>
      <c r="G326" s="1"/>
      <c r="H326" s="1"/>
      <c r="I326" s="1"/>
      <c r="J326" s="1"/>
      <c r="K326" s="1"/>
      <c r="L326" s="1"/>
      <c r="M326" s="1"/>
      <c r="N326" s="1"/>
      <c r="O326" s="1"/>
      <c r="P326" s="1"/>
      <c r="Q326" s="1"/>
    </row>
    <row r="327" spans="1:17" x14ac:dyDescent="0.2">
      <c r="A327" s="1"/>
      <c r="B327" s="1"/>
      <c r="C327" s="1"/>
      <c r="D327" s="1"/>
      <c r="E327" s="1"/>
      <c r="F327" s="1"/>
      <c r="G327" s="1"/>
      <c r="H327" s="1"/>
      <c r="I327" s="1"/>
      <c r="J327" s="1"/>
      <c r="K327" s="1"/>
      <c r="L327" s="1"/>
      <c r="M327" s="1"/>
      <c r="N327" s="1"/>
      <c r="O327" s="1"/>
      <c r="P327" s="1"/>
      <c r="Q327" s="1"/>
    </row>
    <row r="328" spans="1:17" x14ac:dyDescent="0.2">
      <c r="A328" s="1"/>
      <c r="B328" s="1"/>
      <c r="C328" s="1"/>
      <c r="D328" s="1"/>
      <c r="E328" s="1"/>
      <c r="F328" s="1"/>
      <c r="G328" s="1"/>
      <c r="H328" s="1"/>
      <c r="I328" s="1"/>
      <c r="J328" s="1"/>
      <c r="K328" s="1"/>
      <c r="L328" s="1"/>
      <c r="M328" s="1"/>
      <c r="N328" s="1"/>
      <c r="O328" s="1"/>
      <c r="P328" s="1"/>
      <c r="Q328" s="1"/>
    </row>
    <row r="329" spans="1:17" x14ac:dyDescent="0.2">
      <c r="A329" s="1"/>
      <c r="B329" s="1"/>
      <c r="C329" s="1"/>
      <c r="D329" s="1"/>
      <c r="E329" s="1"/>
      <c r="F329" s="1"/>
      <c r="G329" s="1"/>
      <c r="H329" s="1"/>
      <c r="I329" s="1"/>
      <c r="J329" s="1"/>
      <c r="K329" s="1"/>
      <c r="L329" s="1"/>
      <c r="M329" s="1"/>
      <c r="N329" s="1"/>
      <c r="O329" s="1"/>
      <c r="P329" s="1"/>
      <c r="Q329" s="1"/>
    </row>
    <row r="330" spans="1:17" x14ac:dyDescent="0.2">
      <c r="A330" s="1"/>
      <c r="B330" s="1"/>
      <c r="C330" s="1"/>
      <c r="D330" s="1"/>
      <c r="E330" s="1"/>
      <c r="F330" s="1"/>
      <c r="G330" s="1"/>
      <c r="H330" s="1"/>
      <c r="I330" s="1"/>
      <c r="J330" s="1"/>
      <c r="K330" s="1"/>
      <c r="L330" s="1"/>
      <c r="M330" s="1"/>
      <c r="N330" s="1"/>
      <c r="O330" s="1"/>
      <c r="P330" s="1"/>
      <c r="Q330" s="1"/>
    </row>
    <row r="331" spans="1:17" x14ac:dyDescent="0.2">
      <c r="A331" s="1"/>
      <c r="B331" s="1"/>
      <c r="C331" s="1"/>
      <c r="D331" s="1"/>
      <c r="E331" s="1"/>
      <c r="F331" s="1"/>
      <c r="G331" s="1"/>
      <c r="H331" s="1"/>
      <c r="I331" s="1"/>
      <c r="J331" s="1"/>
      <c r="K331" s="1"/>
      <c r="L331" s="1"/>
      <c r="M331" s="1"/>
      <c r="N331" s="1"/>
      <c r="O331" s="1"/>
      <c r="P331" s="1"/>
      <c r="Q331" s="1"/>
    </row>
    <row r="332" spans="1:17" x14ac:dyDescent="0.2">
      <c r="A332" s="1"/>
      <c r="B332" s="1"/>
      <c r="C332" s="1"/>
      <c r="D332" s="1"/>
      <c r="E332" s="1"/>
      <c r="F332" s="1"/>
      <c r="G332" s="1"/>
      <c r="H332" s="1"/>
      <c r="I332" s="1"/>
      <c r="J332" s="1"/>
      <c r="K332" s="1"/>
      <c r="L332" s="1"/>
      <c r="M332" s="1"/>
      <c r="N332" s="1"/>
      <c r="O332" s="1"/>
      <c r="P332" s="1"/>
      <c r="Q332" s="1"/>
    </row>
    <row r="333" spans="1:17" x14ac:dyDescent="0.2">
      <c r="A333" s="1"/>
      <c r="B333" s="1"/>
      <c r="C333" s="1"/>
      <c r="D333" s="1"/>
      <c r="E333" s="1"/>
      <c r="F333" s="1"/>
      <c r="G333" s="1"/>
      <c r="H333" s="1"/>
      <c r="I333" s="1"/>
      <c r="J333" s="1"/>
      <c r="K333" s="1"/>
      <c r="L333" s="1"/>
      <c r="M333" s="1"/>
      <c r="N333" s="1"/>
      <c r="O333" s="1"/>
      <c r="P333" s="1"/>
      <c r="Q333" s="1"/>
    </row>
    <row r="334" spans="1:17" x14ac:dyDescent="0.2">
      <c r="A334" s="1"/>
      <c r="B334" s="1"/>
      <c r="C334" s="1"/>
      <c r="D334" s="1"/>
      <c r="E334" s="1"/>
      <c r="F334" s="1"/>
      <c r="G334" s="1"/>
      <c r="H334" s="1"/>
      <c r="I334" s="1"/>
      <c r="J334" s="1"/>
      <c r="K334" s="1"/>
      <c r="L334" s="1"/>
      <c r="M334" s="1"/>
      <c r="N334" s="1"/>
      <c r="O334" s="1"/>
      <c r="P334" s="1"/>
      <c r="Q334" s="1"/>
    </row>
    <row r="335" spans="1:17" x14ac:dyDescent="0.2">
      <c r="A335" s="1"/>
      <c r="B335" s="1"/>
      <c r="C335" s="1"/>
      <c r="D335" s="1"/>
      <c r="E335" s="1"/>
      <c r="F335" s="1"/>
      <c r="G335" s="1"/>
      <c r="H335" s="1"/>
      <c r="I335" s="1"/>
      <c r="J335" s="1"/>
      <c r="K335" s="1"/>
      <c r="L335" s="1"/>
      <c r="M335" s="1"/>
      <c r="N335" s="1"/>
      <c r="O335" s="1"/>
      <c r="P335" s="1"/>
      <c r="Q335" s="1"/>
    </row>
    <row r="336" spans="1:17" x14ac:dyDescent="0.2">
      <c r="A336" s="1"/>
      <c r="B336" s="1"/>
      <c r="C336" s="1"/>
      <c r="D336" s="1"/>
      <c r="E336" s="1"/>
      <c r="F336" s="1"/>
      <c r="G336" s="1"/>
      <c r="H336" s="1"/>
      <c r="I336" s="1"/>
      <c r="J336" s="1"/>
      <c r="K336" s="1"/>
      <c r="L336" s="1"/>
      <c r="M336" s="1"/>
      <c r="N336" s="1"/>
      <c r="O336" s="1"/>
      <c r="P336" s="1"/>
      <c r="Q336" s="1"/>
    </row>
    <row r="337" spans="1:17" x14ac:dyDescent="0.2">
      <c r="A337" s="1"/>
      <c r="B337" s="1"/>
      <c r="C337" s="1"/>
      <c r="D337" s="1"/>
      <c r="E337" s="1"/>
      <c r="F337" s="1"/>
      <c r="G337" s="1"/>
      <c r="H337" s="1"/>
      <c r="I337" s="1"/>
      <c r="J337" s="1"/>
      <c r="K337" s="1"/>
      <c r="L337" s="1"/>
      <c r="M337" s="1"/>
      <c r="N337" s="1"/>
      <c r="O337" s="1"/>
      <c r="P337" s="1"/>
      <c r="Q337" s="1"/>
    </row>
    <row r="338" spans="1:17" x14ac:dyDescent="0.2">
      <c r="A338" s="1"/>
      <c r="B338" s="1"/>
      <c r="C338" s="1"/>
      <c r="D338" s="1"/>
      <c r="E338" s="1"/>
      <c r="F338" s="1"/>
      <c r="G338" s="1"/>
      <c r="H338" s="1"/>
      <c r="I338" s="1"/>
      <c r="J338" s="1"/>
      <c r="K338" s="1"/>
      <c r="L338" s="1"/>
      <c r="M338" s="1"/>
      <c r="N338" s="1"/>
      <c r="O338" s="1"/>
      <c r="P338" s="1"/>
      <c r="Q338" s="1"/>
    </row>
    <row r="339" spans="1:17" x14ac:dyDescent="0.2">
      <c r="A339" s="1"/>
      <c r="B339" s="1"/>
      <c r="C339" s="1"/>
      <c r="D339" s="1"/>
      <c r="E339" s="1"/>
      <c r="F339" s="1"/>
      <c r="G339" s="1"/>
      <c r="H339" s="1"/>
      <c r="I339" s="1"/>
      <c r="J339" s="1"/>
      <c r="K339" s="1"/>
      <c r="L339" s="1"/>
      <c r="M339" s="1"/>
      <c r="N339" s="1"/>
      <c r="O339" s="1"/>
      <c r="P339" s="1"/>
      <c r="Q339" s="1"/>
    </row>
    <row r="340" spans="1:17" x14ac:dyDescent="0.2">
      <c r="A340" s="1"/>
      <c r="B340" s="1"/>
      <c r="C340" s="1"/>
      <c r="D340" s="1"/>
      <c r="E340" s="1"/>
      <c r="F340" s="1"/>
      <c r="G340" s="1"/>
      <c r="H340" s="1"/>
      <c r="I340" s="1"/>
      <c r="J340" s="1"/>
      <c r="K340" s="1"/>
      <c r="L340" s="1"/>
      <c r="M340" s="1"/>
      <c r="N340" s="1"/>
      <c r="O340" s="1"/>
      <c r="P340" s="1"/>
      <c r="Q340" s="1"/>
    </row>
    <row r="341" spans="1:17" x14ac:dyDescent="0.2">
      <c r="A341" s="1"/>
      <c r="B341" s="1"/>
      <c r="C341" s="1"/>
      <c r="D341" s="1"/>
      <c r="E341" s="1"/>
      <c r="F341" s="1"/>
      <c r="G341" s="1"/>
      <c r="H341" s="1"/>
      <c r="I341" s="1"/>
      <c r="J341" s="1"/>
      <c r="K341" s="1"/>
      <c r="L341" s="1"/>
      <c r="M341" s="1"/>
      <c r="N341" s="1"/>
      <c r="O341" s="1"/>
      <c r="P341" s="1"/>
      <c r="Q341" s="1"/>
    </row>
    <row r="342" spans="1:17" x14ac:dyDescent="0.2">
      <c r="A342" s="1"/>
      <c r="B342" s="1"/>
      <c r="C342" s="1"/>
      <c r="D342" s="1"/>
      <c r="E342" s="1"/>
      <c r="F342" s="1"/>
      <c r="G342" s="1"/>
      <c r="H342" s="1"/>
      <c r="I342" s="1"/>
      <c r="J342" s="1"/>
      <c r="K342" s="1"/>
      <c r="L342" s="1"/>
      <c r="M342" s="1"/>
      <c r="N342" s="1"/>
      <c r="O342" s="1"/>
      <c r="P342" s="1"/>
      <c r="Q342" s="1"/>
    </row>
    <row r="343" spans="1:17" x14ac:dyDescent="0.2">
      <c r="A343" s="1"/>
      <c r="B343" s="1"/>
      <c r="C343" s="1"/>
      <c r="D343" s="1"/>
      <c r="E343" s="1"/>
      <c r="F343" s="1"/>
      <c r="G343" s="1"/>
      <c r="H343" s="1"/>
      <c r="I343" s="1"/>
      <c r="J343" s="1"/>
      <c r="K343" s="1"/>
      <c r="L343" s="1"/>
      <c r="M343" s="1"/>
      <c r="N343" s="1"/>
      <c r="O343" s="1"/>
      <c r="P343" s="1"/>
      <c r="Q343" s="1"/>
    </row>
    <row r="344" spans="1:17" x14ac:dyDescent="0.2">
      <c r="A344" s="1"/>
      <c r="B344" s="1"/>
      <c r="C344" s="1"/>
      <c r="D344" s="1"/>
      <c r="E344" s="1"/>
      <c r="F344" s="1"/>
      <c r="G344" s="1"/>
      <c r="H344" s="1"/>
      <c r="I344" s="1"/>
      <c r="J344" s="1"/>
      <c r="K344" s="1"/>
      <c r="L344" s="1"/>
      <c r="M344" s="1"/>
      <c r="N344" s="1"/>
      <c r="O344" s="1"/>
      <c r="P344" s="1"/>
      <c r="Q344" s="1"/>
    </row>
    <row r="345" spans="1:17" x14ac:dyDescent="0.2">
      <c r="A345" s="1"/>
      <c r="B345" s="1"/>
      <c r="C345" s="1"/>
      <c r="D345" s="1"/>
      <c r="E345" s="1"/>
      <c r="F345" s="1"/>
      <c r="G345" s="1"/>
      <c r="H345" s="1"/>
      <c r="I345" s="1"/>
      <c r="J345" s="1"/>
      <c r="K345" s="1"/>
      <c r="L345" s="1"/>
      <c r="M345" s="1"/>
      <c r="N345" s="1"/>
      <c r="O345" s="1"/>
      <c r="P345" s="1"/>
      <c r="Q345" s="1"/>
    </row>
    <row r="346" spans="1:17" x14ac:dyDescent="0.2">
      <c r="A346" s="1"/>
      <c r="B346" s="1"/>
      <c r="C346" s="1"/>
      <c r="D346" s="1"/>
      <c r="E346" s="1"/>
      <c r="F346" s="1"/>
      <c r="G346" s="1"/>
      <c r="H346" s="1"/>
      <c r="I346" s="1"/>
      <c r="J346" s="1"/>
      <c r="K346" s="1"/>
      <c r="L346" s="1"/>
      <c r="M346" s="1"/>
      <c r="N346" s="1"/>
      <c r="O346" s="1"/>
      <c r="P346" s="1"/>
      <c r="Q346" s="1"/>
    </row>
    <row r="347" spans="1:17" x14ac:dyDescent="0.2">
      <c r="A347" s="1"/>
      <c r="B347" s="1"/>
      <c r="C347" s="1"/>
      <c r="D347" s="1"/>
      <c r="E347" s="1"/>
      <c r="F347" s="1"/>
      <c r="G347" s="1"/>
      <c r="H347" s="1"/>
      <c r="I347" s="1"/>
      <c r="J347" s="1"/>
      <c r="K347" s="1"/>
      <c r="L347" s="1"/>
      <c r="M347" s="1"/>
      <c r="N347" s="1"/>
      <c r="O347" s="1"/>
      <c r="P347" s="1"/>
      <c r="Q347" s="1"/>
    </row>
    <row r="348" spans="1:17" x14ac:dyDescent="0.2">
      <c r="A348" s="1"/>
      <c r="B348" s="1"/>
      <c r="C348" s="1"/>
      <c r="D348" s="1"/>
      <c r="E348" s="1"/>
      <c r="F348" s="1"/>
      <c r="G348" s="1"/>
      <c r="H348" s="1"/>
      <c r="I348" s="1"/>
      <c r="J348" s="1"/>
      <c r="K348" s="1"/>
      <c r="L348" s="1"/>
      <c r="M348" s="1"/>
      <c r="N348" s="1"/>
      <c r="O348" s="1"/>
      <c r="P348" s="1"/>
      <c r="Q348" s="1"/>
    </row>
    <row r="349" spans="1:17" x14ac:dyDescent="0.2">
      <c r="A349" s="1"/>
      <c r="B349" s="1"/>
      <c r="C349" s="1"/>
      <c r="D349" s="1"/>
      <c r="E349" s="1"/>
      <c r="F349" s="1"/>
      <c r="G349" s="1"/>
      <c r="H349" s="1"/>
      <c r="I349" s="1"/>
      <c r="J349" s="1"/>
      <c r="K349" s="1"/>
      <c r="L349" s="1"/>
      <c r="M349" s="1"/>
      <c r="N349" s="1"/>
      <c r="O349" s="1"/>
      <c r="P349" s="1"/>
      <c r="Q349" s="1"/>
    </row>
    <row r="350" spans="1:17" x14ac:dyDescent="0.2">
      <c r="A350" s="1"/>
      <c r="B350" s="1"/>
      <c r="C350" s="1"/>
      <c r="D350" s="1"/>
      <c r="E350" s="1"/>
      <c r="F350" s="1"/>
      <c r="G350" s="1"/>
      <c r="H350" s="1"/>
      <c r="I350" s="1"/>
      <c r="J350" s="1"/>
      <c r="K350" s="1"/>
      <c r="L350" s="1"/>
      <c r="M350" s="1"/>
      <c r="N350" s="1"/>
      <c r="O350" s="1"/>
      <c r="P350" s="1"/>
      <c r="Q350" s="1"/>
    </row>
    <row r="351" spans="1:17" x14ac:dyDescent="0.2">
      <c r="A351" s="1"/>
      <c r="B351" s="1"/>
      <c r="C351" s="1"/>
      <c r="D351" s="1"/>
      <c r="E351" s="1"/>
      <c r="F351" s="1"/>
      <c r="G351" s="1"/>
      <c r="H351" s="1"/>
      <c r="I351" s="1"/>
      <c r="J351" s="1"/>
      <c r="K351" s="1"/>
      <c r="L351" s="1"/>
      <c r="M351" s="1"/>
      <c r="N351" s="1"/>
      <c r="O351" s="1"/>
      <c r="P351" s="1"/>
      <c r="Q351" s="1"/>
    </row>
    <row r="352" spans="1:17" x14ac:dyDescent="0.2">
      <c r="A352" s="1"/>
      <c r="B352" s="1"/>
      <c r="C352" s="1"/>
      <c r="D352" s="1"/>
      <c r="E352" s="1"/>
      <c r="F352" s="1"/>
      <c r="G352" s="1"/>
      <c r="H352" s="1"/>
      <c r="I352" s="1"/>
      <c r="J352" s="1"/>
      <c r="K352" s="1"/>
      <c r="L352" s="1"/>
      <c r="M352" s="1"/>
      <c r="N352" s="1"/>
      <c r="O352" s="1"/>
      <c r="P352" s="1"/>
      <c r="Q352" s="1"/>
    </row>
    <row r="353" spans="1:17" x14ac:dyDescent="0.2">
      <c r="A353" s="1"/>
      <c r="B353" s="1"/>
      <c r="C353" s="1"/>
      <c r="D353" s="1"/>
      <c r="E353" s="1"/>
      <c r="F353" s="1"/>
      <c r="G353" s="1"/>
      <c r="H353" s="1"/>
      <c r="I353" s="1"/>
      <c r="J353" s="1"/>
      <c r="K353" s="1"/>
      <c r="L353" s="1"/>
      <c r="M353" s="1"/>
      <c r="N353" s="1"/>
      <c r="O353" s="1"/>
      <c r="P353" s="1"/>
      <c r="Q353" s="1"/>
    </row>
    <row r="354" spans="1:17" x14ac:dyDescent="0.2">
      <c r="A354" s="1"/>
      <c r="B354" s="1"/>
      <c r="C354" s="1"/>
      <c r="D354" s="1"/>
      <c r="E354" s="1"/>
      <c r="F354" s="1"/>
      <c r="G354" s="1"/>
      <c r="H354" s="1"/>
      <c r="I354" s="1"/>
      <c r="J354" s="1"/>
      <c r="K354" s="1"/>
      <c r="L354" s="1"/>
      <c r="M354" s="1"/>
      <c r="N354" s="1"/>
      <c r="O354" s="1"/>
      <c r="P354" s="1"/>
      <c r="Q354" s="1"/>
    </row>
    <row r="355" spans="1:17" x14ac:dyDescent="0.2">
      <c r="A355" s="1"/>
      <c r="B355" s="1"/>
      <c r="C355" s="1"/>
      <c r="D355" s="1"/>
      <c r="E355" s="1"/>
      <c r="F355" s="1"/>
      <c r="G355" s="1"/>
      <c r="H355" s="1"/>
      <c r="I355" s="1"/>
      <c r="J355" s="1"/>
      <c r="K355" s="1"/>
      <c r="L355" s="1"/>
      <c r="M355" s="1"/>
      <c r="N355" s="1"/>
      <c r="O355" s="1"/>
      <c r="P355" s="1"/>
      <c r="Q355" s="1"/>
    </row>
    <row r="356" spans="1:17" x14ac:dyDescent="0.2">
      <c r="A356" s="1"/>
      <c r="B356" s="1"/>
      <c r="C356" s="1"/>
      <c r="D356" s="1"/>
      <c r="E356" s="1"/>
      <c r="F356" s="1"/>
      <c r="G356" s="1"/>
      <c r="H356" s="1"/>
      <c r="I356" s="1"/>
      <c r="J356" s="1"/>
      <c r="K356" s="1"/>
      <c r="L356" s="1"/>
      <c r="M356" s="1"/>
      <c r="N356" s="1"/>
      <c r="O356" s="1"/>
      <c r="P356" s="1"/>
      <c r="Q356" s="1"/>
    </row>
    <row r="357" spans="1:17" x14ac:dyDescent="0.2">
      <c r="A357" s="1"/>
      <c r="B357" s="1"/>
      <c r="C357" s="1"/>
      <c r="D357" s="1"/>
      <c r="E357" s="1"/>
      <c r="F357" s="1"/>
      <c r="G357" s="1"/>
      <c r="H357" s="1"/>
      <c r="I357" s="1"/>
      <c r="J357" s="1"/>
      <c r="K357" s="1"/>
      <c r="L357" s="1"/>
      <c r="M357" s="1"/>
      <c r="N357" s="1"/>
      <c r="O357" s="1"/>
      <c r="P357" s="1"/>
      <c r="Q357" s="1"/>
    </row>
    <row r="358" spans="1:17" x14ac:dyDescent="0.2">
      <c r="A358" s="1"/>
      <c r="B358" s="1"/>
      <c r="C358" s="1"/>
      <c r="D358" s="1"/>
      <c r="E358" s="1"/>
      <c r="F358" s="1"/>
      <c r="G358" s="1"/>
      <c r="H358" s="1"/>
      <c r="I358" s="1"/>
      <c r="J358" s="1"/>
      <c r="K358" s="1"/>
      <c r="L358" s="1"/>
      <c r="M358" s="1"/>
      <c r="N358" s="1"/>
      <c r="O358" s="1"/>
      <c r="P358" s="1"/>
      <c r="Q358" s="1"/>
    </row>
    <row r="359" spans="1:17" x14ac:dyDescent="0.2">
      <c r="A359" s="1"/>
      <c r="B359" s="1"/>
      <c r="C359" s="1"/>
      <c r="D359" s="1"/>
      <c r="E359" s="1"/>
      <c r="F359" s="1"/>
      <c r="G359" s="1"/>
      <c r="H359" s="1"/>
      <c r="I359" s="1"/>
      <c r="J359" s="1"/>
      <c r="K359" s="1"/>
      <c r="L359" s="1"/>
      <c r="M359" s="1"/>
      <c r="N359" s="1"/>
      <c r="O359" s="1"/>
      <c r="P359" s="1"/>
      <c r="Q359" s="1"/>
    </row>
    <row r="360" spans="1:17" x14ac:dyDescent="0.2">
      <c r="A360" s="1"/>
      <c r="B360" s="1"/>
      <c r="C360" s="1"/>
      <c r="D360" s="1"/>
      <c r="E360" s="1"/>
      <c r="F360" s="1"/>
      <c r="G360" s="1"/>
      <c r="H360" s="1"/>
      <c r="I360" s="1"/>
      <c r="J360" s="1"/>
      <c r="K360" s="1"/>
      <c r="L360" s="1"/>
      <c r="M360" s="1"/>
      <c r="N360" s="1"/>
      <c r="O360" s="1"/>
      <c r="P360" s="1"/>
      <c r="Q360" s="1"/>
    </row>
    <row r="361" spans="1:17" x14ac:dyDescent="0.2">
      <c r="A361" s="1"/>
      <c r="B361" s="1"/>
      <c r="C361" s="1"/>
      <c r="D361" s="1"/>
      <c r="E361" s="1"/>
      <c r="F361" s="1"/>
      <c r="G361" s="1"/>
      <c r="H361" s="1"/>
      <c r="I361" s="1"/>
      <c r="J361" s="1"/>
      <c r="K361" s="1"/>
      <c r="L361" s="1"/>
      <c r="M361" s="1"/>
      <c r="N361" s="1"/>
      <c r="O361" s="1"/>
      <c r="P361" s="1"/>
      <c r="Q361" s="1"/>
    </row>
    <row r="362" spans="1:17" x14ac:dyDescent="0.2">
      <c r="A362" s="1"/>
      <c r="B362" s="1"/>
      <c r="C362" s="1"/>
      <c r="D362" s="1"/>
      <c r="E362" s="1"/>
      <c r="F362" s="1"/>
      <c r="G362" s="1"/>
      <c r="H362" s="1"/>
      <c r="I362" s="1"/>
      <c r="J362" s="1"/>
      <c r="K362" s="1"/>
      <c r="L362" s="1"/>
      <c r="M362" s="1"/>
      <c r="N362" s="1"/>
      <c r="O362" s="1"/>
      <c r="P362" s="1"/>
      <c r="Q362" s="1"/>
    </row>
    <row r="363" spans="1:17" x14ac:dyDescent="0.2">
      <c r="A363" s="1"/>
      <c r="B363" s="1"/>
      <c r="C363" s="1"/>
      <c r="D363" s="1"/>
      <c r="E363" s="1"/>
      <c r="F363" s="1"/>
      <c r="G363" s="1"/>
      <c r="H363" s="1"/>
      <c r="I363" s="1"/>
      <c r="J363" s="1"/>
      <c r="K363" s="1"/>
      <c r="L363" s="1"/>
      <c r="M363" s="1"/>
      <c r="N363" s="1"/>
      <c r="O363" s="1"/>
      <c r="P363" s="1"/>
      <c r="Q363" s="1"/>
    </row>
    <row r="364" spans="1:17" x14ac:dyDescent="0.2">
      <c r="A364" s="1"/>
      <c r="B364" s="1"/>
      <c r="C364" s="1"/>
      <c r="D364" s="1"/>
      <c r="E364" s="1"/>
      <c r="F364" s="1"/>
      <c r="G364" s="1"/>
      <c r="H364" s="1"/>
      <c r="I364" s="1"/>
      <c r="J364" s="1"/>
      <c r="K364" s="1"/>
      <c r="L364" s="1"/>
      <c r="M364" s="1"/>
      <c r="N364" s="1"/>
      <c r="O364" s="1"/>
      <c r="P364" s="1"/>
      <c r="Q364" s="1"/>
    </row>
    <row r="365" spans="1:17" x14ac:dyDescent="0.2">
      <c r="A365" s="1"/>
      <c r="B365" s="1"/>
      <c r="C365" s="1"/>
      <c r="D365" s="1"/>
      <c r="E365" s="1"/>
      <c r="F365" s="1"/>
      <c r="G365" s="1"/>
      <c r="H365" s="1"/>
      <c r="I365" s="1"/>
      <c r="J365" s="1"/>
      <c r="K365" s="1"/>
      <c r="L365" s="1"/>
      <c r="M365" s="1"/>
      <c r="N365" s="1"/>
      <c r="O365" s="1"/>
      <c r="P365" s="1"/>
      <c r="Q365" s="1"/>
    </row>
    <row r="366" spans="1:17" x14ac:dyDescent="0.2">
      <c r="A366" s="1"/>
      <c r="B366" s="1"/>
      <c r="C366" s="1"/>
      <c r="D366" s="1"/>
      <c r="E366" s="1"/>
      <c r="F366" s="1"/>
      <c r="G366" s="1"/>
      <c r="H366" s="1"/>
      <c r="I366" s="1"/>
      <c r="J366" s="1"/>
      <c r="K366" s="1"/>
      <c r="L366" s="1"/>
      <c r="M366" s="1"/>
      <c r="N366" s="1"/>
      <c r="O366" s="1"/>
      <c r="P366" s="1"/>
      <c r="Q366" s="1"/>
    </row>
    <row r="367" spans="1:17" x14ac:dyDescent="0.2">
      <c r="A367" s="1"/>
      <c r="B367" s="1"/>
      <c r="C367" s="1"/>
      <c r="D367" s="1"/>
      <c r="E367" s="1"/>
      <c r="F367" s="1"/>
      <c r="G367" s="1"/>
      <c r="H367" s="1"/>
      <c r="I367" s="1"/>
      <c r="J367" s="1"/>
      <c r="K367" s="1"/>
      <c r="L367" s="1"/>
      <c r="M367" s="1"/>
      <c r="N367" s="1"/>
      <c r="O367" s="1"/>
      <c r="P367" s="1"/>
      <c r="Q367" s="1"/>
    </row>
    <row r="368" spans="1:17" x14ac:dyDescent="0.2">
      <c r="A368" s="1"/>
      <c r="B368" s="1"/>
      <c r="C368" s="1"/>
      <c r="D368" s="1"/>
      <c r="E368" s="1"/>
      <c r="F368" s="1"/>
      <c r="G368" s="1"/>
      <c r="H368" s="1"/>
      <c r="I368" s="1"/>
      <c r="J368" s="1"/>
      <c r="K368" s="1"/>
      <c r="L368" s="1"/>
      <c r="M368" s="1"/>
      <c r="N368" s="1"/>
      <c r="O368" s="1"/>
      <c r="P368" s="1"/>
      <c r="Q368" s="1"/>
    </row>
    <row r="369" spans="1:17" x14ac:dyDescent="0.2">
      <c r="A369" s="1"/>
      <c r="B369" s="1"/>
      <c r="C369" s="1"/>
      <c r="D369" s="1"/>
      <c r="E369" s="1"/>
      <c r="F369" s="1"/>
      <c r="G369" s="1"/>
      <c r="H369" s="1"/>
      <c r="I369" s="1"/>
      <c r="J369" s="1"/>
      <c r="K369" s="1"/>
      <c r="L369" s="1"/>
      <c r="M369" s="1"/>
      <c r="N369" s="1"/>
      <c r="O369" s="1"/>
      <c r="P369" s="1"/>
      <c r="Q369" s="1"/>
    </row>
    <row r="370" spans="1:17" x14ac:dyDescent="0.2">
      <c r="A370" s="1"/>
      <c r="B370" s="1"/>
      <c r="C370" s="1"/>
      <c r="D370" s="1"/>
      <c r="E370" s="1"/>
      <c r="F370" s="1"/>
      <c r="G370" s="1"/>
      <c r="H370" s="1"/>
      <c r="I370" s="1"/>
      <c r="J370" s="1"/>
      <c r="K370" s="1"/>
      <c r="L370" s="1"/>
      <c r="M370" s="1"/>
      <c r="N370" s="1"/>
      <c r="O370" s="1"/>
      <c r="P370" s="1"/>
      <c r="Q370" s="1"/>
    </row>
    <row r="371" spans="1:17" x14ac:dyDescent="0.2">
      <c r="A371" s="1"/>
      <c r="B371" s="1"/>
      <c r="C371" s="1"/>
      <c r="D371" s="1"/>
      <c r="E371" s="1"/>
      <c r="F371" s="1"/>
      <c r="G371" s="1"/>
      <c r="H371" s="1"/>
      <c r="I371" s="1"/>
      <c r="J371" s="1"/>
      <c r="K371" s="1"/>
      <c r="L371" s="1"/>
      <c r="M371" s="1"/>
      <c r="N371" s="1"/>
      <c r="O371" s="1"/>
      <c r="P371" s="1"/>
      <c r="Q371" s="1"/>
    </row>
    <row r="372" spans="1:17" x14ac:dyDescent="0.2">
      <c r="A372" s="1"/>
      <c r="B372" s="1"/>
      <c r="C372" s="1"/>
      <c r="D372" s="1"/>
      <c r="E372" s="1"/>
      <c r="F372" s="1"/>
      <c r="G372" s="1"/>
      <c r="H372" s="1"/>
      <c r="I372" s="1"/>
      <c r="J372" s="1"/>
      <c r="K372" s="1"/>
      <c r="L372" s="1"/>
      <c r="M372" s="1"/>
      <c r="N372" s="1"/>
      <c r="O372" s="1"/>
      <c r="P372" s="1"/>
      <c r="Q372" s="1"/>
    </row>
    <row r="373" spans="1:17" x14ac:dyDescent="0.2">
      <c r="A373" s="1"/>
      <c r="B373" s="1"/>
      <c r="C373" s="1"/>
      <c r="D373" s="1"/>
      <c r="E373" s="1"/>
      <c r="F373" s="1"/>
      <c r="G373" s="1"/>
      <c r="H373" s="1"/>
      <c r="I373" s="1"/>
      <c r="J373" s="1"/>
      <c r="K373" s="1"/>
      <c r="L373" s="1"/>
      <c r="M373" s="1"/>
      <c r="N373" s="1"/>
      <c r="O373" s="1"/>
      <c r="P373" s="1"/>
      <c r="Q373" s="1"/>
    </row>
    <row r="374" spans="1:17" x14ac:dyDescent="0.2">
      <c r="A374" s="1"/>
      <c r="B374" s="1"/>
      <c r="C374" s="1"/>
      <c r="D374" s="1"/>
      <c r="E374" s="1"/>
      <c r="F374" s="1"/>
      <c r="G374" s="1"/>
      <c r="H374" s="1"/>
      <c r="I374" s="1"/>
      <c r="J374" s="1"/>
      <c r="K374" s="1"/>
      <c r="L374" s="1"/>
      <c r="M374" s="1"/>
      <c r="N374" s="1"/>
      <c r="O374" s="1"/>
      <c r="P374" s="1"/>
      <c r="Q374" s="1"/>
    </row>
    <row r="375" spans="1:17" x14ac:dyDescent="0.2">
      <c r="A375" s="1"/>
      <c r="B375" s="1"/>
      <c r="C375" s="1"/>
      <c r="D375" s="1"/>
      <c r="E375" s="1"/>
      <c r="F375" s="1"/>
      <c r="G375" s="1"/>
      <c r="H375" s="1"/>
      <c r="I375" s="1"/>
      <c r="J375" s="1"/>
      <c r="K375" s="1"/>
      <c r="L375" s="1"/>
      <c r="M375" s="1"/>
      <c r="N375" s="1"/>
      <c r="O375" s="1"/>
      <c r="P375" s="1"/>
      <c r="Q375" s="1"/>
    </row>
    <row r="376" spans="1:17" x14ac:dyDescent="0.2">
      <c r="A376" s="1"/>
      <c r="B376" s="1"/>
      <c r="C376" s="1"/>
      <c r="D376" s="1"/>
      <c r="E376" s="1"/>
      <c r="F376" s="1"/>
      <c r="G376" s="1"/>
      <c r="H376" s="1"/>
      <c r="I376" s="1"/>
      <c r="J376" s="1"/>
      <c r="K376" s="1"/>
      <c r="L376" s="1"/>
      <c r="M376" s="1"/>
      <c r="N376" s="1"/>
      <c r="O376" s="1"/>
      <c r="P376" s="1"/>
      <c r="Q376" s="1"/>
    </row>
    <row r="377" spans="1:17" x14ac:dyDescent="0.2">
      <c r="A377" s="1"/>
      <c r="B377" s="1"/>
      <c r="C377" s="1"/>
      <c r="D377" s="1"/>
      <c r="E377" s="1"/>
      <c r="F377" s="1"/>
      <c r="G377" s="1"/>
      <c r="H377" s="1"/>
      <c r="I377" s="1"/>
      <c r="J377" s="1"/>
      <c r="K377" s="1"/>
      <c r="L377" s="1"/>
      <c r="M377" s="1"/>
      <c r="N377" s="1"/>
      <c r="O377" s="1"/>
      <c r="P377" s="1"/>
      <c r="Q377" s="1"/>
    </row>
    <row r="378" spans="1:17" x14ac:dyDescent="0.2">
      <c r="A378" s="1"/>
      <c r="B378" s="1"/>
      <c r="C378" s="1"/>
      <c r="D378" s="1"/>
      <c r="E378" s="1"/>
      <c r="F378" s="1"/>
      <c r="G378" s="1"/>
      <c r="H378" s="1"/>
      <c r="I378" s="1"/>
      <c r="J378" s="1"/>
      <c r="K378" s="1"/>
      <c r="L378" s="1"/>
      <c r="M378" s="1"/>
      <c r="N378" s="1"/>
      <c r="O378" s="1"/>
      <c r="P378" s="1"/>
      <c r="Q378" s="1"/>
    </row>
    <row r="379" spans="1:17" x14ac:dyDescent="0.2">
      <c r="A379" s="1"/>
      <c r="B379" s="1"/>
      <c r="C379" s="1"/>
      <c r="D379" s="1"/>
      <c r="E379" s="1"/>
      <c r="F379" s="1"/>
      <c r="G379" s="1"/>
      <c r="H379" s="1"/>
      <c r="I379" s="1"/>
      <c r="J379" s="1"/>
      <c r="K379" s="1"/>
      <c r="L379" s="1"/>
      <c r="M379" s="1"/>
      <c r="N379" s="1"/>
      <c r="O379" s="1"/>
      <c r="P379" s="1"/>
      <c r="Q379" s="1"/>
    </row>
    <row r="380" spans="1:17" x14ac:dyDescent="0.2">
      <c r="A380" s="1"/>
      <c r="B380" s="1"/>
      <c r="C380" s="1"/>
      <c r="D380" s="1"/>
      <c r="E380" s="1"/>
      <c r="F380" s="1"/>
      <c r="G380" s="1"/>
      <c r="H380" s="1"/>
      <c r="I380" s="1"/>
      <c r="J380" s="1"/>
      <c r="K380" s="1"/>
      <c r="L380" s="1"/>
      <c r="M380" s="1"/>
      <c r="N380" s="1"/>
      <c r="O380" s="1"/>
      <c r="P380" s="1"/>
      <c r="Q380" s="1"/>
    </row>
    <row r="381" spans="1:17" x14ac:dyDescent="0.2">
      <c r="A381" s="1"/>
      <c r="B381" s="1"/>
      <c r="C381" s="1"/>
      <c r="D381" s="1"/>
      <c r="E381" s="1"/>
      <c r="F381" s="1"/>
      <c r="G381" s="1"/>
      <c r="H381" s="1"/>
      <c r="I381" s="1"/>
      <c r="J381" s="1"/>
      <c r="K381" s="1"/>
      <c r="L381" s="1"/>
      <c r="M381" s="1"/>
      <c r="N381" s="1"/>
      <c r="O381" s="1"/>
      <c r="P381" s="1"/>
      <c r="Q381" s="1"/>
    </row>
    <row r="382" spans="1:17" x14ac:dyDescent="0.2">
      <c r="A382" s="1"/>
      <c r="B382" s="1"/>
      <c r="C382" s="1"/>
      <c r="D382" s="1"/>
      <c r="E382" s="1"/>
      <c r="F382" s="1"/>
      <c r="G382" s="1"/>
      <c r="H382" s="1"/>
      <c r="I382" s="1"/>
      <c r="J382" s="1"/>
      <c r="K382" s="1"/>
      <c r="L382" s="1"/>
      <c r="M382" s="1"/>
      <c r="N382" s="1"/>
      <c r="O382" s="1"/>
      <c r="P382" s="1"/>
      <c r="Q382" s="1"/>
    </row>
    <row r="383" spans="1:17" x14ac:dyDescent="0.2">
      <c r="A383" s="1"/>
      <c r="B383" s="1"/>
      <c r="C383" s="1"/>
      <c r="D383" s="1"/>
      <c r="E383" s="1"/>
      <c r="F383" s="1"/>
      <c r="G383" s="1"/>
      <c r="H383" s="1"/>
      <c r="I383" s="1"/>
      <c r="J383" s="1"/>
      <c r="K383" s="1"/>
      <c r="L383" s="1"/>
      <c r="M383" s="1"/>
      <c r="N383" s="1"/>
      <c r="O383" s="1"/>
      <c r="P383" s="1"/>
      <c r="Q383" s="1"/>
    </row>
    <row r="384" spans="1:17" x14ac:dyDescent="0.2">
      <c r="A384" s="1"/>
      <c r="B384" s="1"/>
      <c r="C384" s="1"/>
      <c r="D384" s="1"/>
      <c r="E384" s="1"/>
      <c r="F384" s="1"/>
      <c r="G384" s="1"/>
      <c r="H384" s="1"/>
      <c r="I384" s="1"/>
      <c r="J384" s="1"/>
      <c r="K384" s="1"/>
      <c r="L384" s="1"/>
      <c r="M384" s="1"/>
      <c r="N384" s="1"/>
      <c r="O384" s="1"/>
      <c r="P384" s="1"/>
      <c r="Q384" s="1"/>
    </row>
    <row r="385" spans="1:17" x14ac:dyDescent="0.2">
      <c r="A385" s="1"/>
      <c r="B385" s="1"/>
      <c r="C385" s="1"/>
      <c r="D385" s="1"/>
      <c r="E385" s="1"/>
      <c r="F385" s="1"/>
      <c r="G385" s="1"/>
      <c r="H385" s="1"/>
      <c r="I385" s="1"/>
      <c r="J385" s="1"/>
      <c r="K385" s="1"/>
      <c r="L385" s="1"/>
      <c r="M385" s="1"/>
      <c r="N385" s="1"/>
      <c r="O385" s="1"/>
      <c r="P385" s="1"/>
      <c r="Q385" s="1"/>
    </row>
    <row r="386" spans="1:17" x14ac:dyDescent="0.2">
      <c r="A386" s="1"/>
      <c r="B386" s="1"/>
      <c r="C386" s="1"/>
      <c r="D386" s="1"/>
      <c r="E386" s="1"/>
      <c r="F386" s="1"/>
      <c r="G386" s="1"/>
      <c r="H386" s="1"/>
      <c r="I386" s="1"/>
      <c r="J386" s="1"/>
      <c r="K386" s="1"/>
      <c r="L386" s="1"/>
      <c r="M386" s="1"/>
      <c r="N386" s="1"/>
      <c r="O386" s="1"/>
      <c r="P386" s="1"/>
      <c r="Q386" s="1"/>
    </row>
    <row r="387" spans="1:17" x14ac:dyDescent="0.2">
      <c r="A387" s="1"/>
      <c r="B387" s="1"/>
      <c r="C387" s="1"/>
      <c r="D387" s="1"/>
      <c r="E387" s="1"/>
      <c r="F387" s="1"/>
      <c r="G387" s="1"/>
      <c r="H387" s="1"/>
      <c r="I387" s="1"/>
      <c r="J387" s="1"/>
      <c r="K387" s="1"/>
      <c r="L387" s="1"/>
      <c r="M387" s="1"/>
      <c r="N387" s="1"/>
      <c r="O387" s="1"/>
      <c r="P387" s="1"/>
      <c r="Q387" s="1"/>
    </row>
    <row r="388" spans="1:17" x14ac:dyDescent="0.2">
      <c r="A388" s="1"/>
      <c r="B388" s="1"/>
      <c r="C388" s="1"/>
      <c r="D388" s="1"/>
      <c r="E388" s="1"/>
      <c r="F388" s="1"/>
      <c r="G388" s="1"/>
      <c r="H388" s="1"/>
      <c r="I388" s="1"/>
      <c r="J388" s="1"/>
      <c r="K388" s="1"/>
      <c r="L388" s="1"/>
      <c r="M388" s="1"/>
      <c r="N388" s="1"/>
      <c r="O388" s="1"/>
      <c r="P388" s="1"/>
      <c r="Q388" s="1"/>
    </row>
    <row r="389" spans="1:17" x14ac:dyDescent="0.2">
      <c r="A389" s="1"/>
      <c r="B389" s="1"/>
      <c r="C389" s="1"/>
      <c r="D389" s="1"/>
      <c r="E389" s="1"/>
      <c r="F389" s="1"/>
      <c r="G389" s="1"/>
      <c r="H389" s="1"/>
      <c r="I389" s="1"/>
      <c r="J389" s="1"/>
      <c r="K389" s="1"/>
      <c r="L389" s="1"/>
      <c r="M389" s="1"/>
      <c r="N389" s="1"/>
      <c r="O389" s="1"/>
      <c r="P389" s="1"/>
      <c r="Q389" s="1"/>
    </row>
    <row r="390" spans="1:17" x14ac:dyDescent="0.2">
      <c r="A390" s="1"/>
      <c r="B390" s="1"/>
      <c r="C390" s="1"/>
      <c r="D390" s="1"/>
      <c r="E390" s="1"/>
      <c r="F390" s="1"/>
      <c r="G390" s="1"/>
      <c r="H390" s="1"/>
      <c r="I390" s="1"/>
      <c r="J390" s="1"/>
      <c r="K390" s="1"/>
      <c r="L390" s="1"/>
      <c r="M390" s="1"/>
      <c r="N390" s="1"/>
      <c r="O390" s="1"/>
      <c r="P390" s="1"/>
      <c r="Q390" s="1"/>
    </row>
    <row r="391" spans="1:17" x14ac:dyDescent="0.2">
      <c r="A391" s="1"/>
      <c r="B391" s="1"/>
      <c r="C391" s="1"/>
      <c r="D391" s="1"/>
      <c r="E391" s="1"/>
      <c r="F391" s="1"/>
      <c r="G391" s="1"/>
      <c r="H391" s="1"/>
      <c r="I391" s="1"/>
      <c r="J391" s="1"/>
      <c r="K391" s="1"/>
      <c r="L391" s="1"/>
      <c r="M391" s="1"/>
      <c r="N391" s="1"/>
      <c r="O391" s="1"/>
      <c r="P391" s="1"/>
      <c r="Q391" s="1"/>
    </row>
    <row r="392" spans="1:17" x14ac:dyDescent="0.2">
      <c r="A392" s="1"/>
      <c r="B392" s="1"/>
      <c r="C392" s="1"/>
      <c r="D392" s="1"/>
      <c r="E392" s="1"/>
      <c r="F392" s="1"/>
      <c r="G392" s="1"/>
      <c r="H392" s="1"/>
      <c r="I392" s="1"/>
      <c r="J392" s="1"/>
      <c r="K392" s="1"/>
      <c r="L392" s="1"/>
      <c r="M392" s="1"/>
      <c r="N392" s="1"/>
      <c r="O392" s="1"/>
      <c r="P392" s="1"/>
      <c r="Q392" s="1"/>
    </row>
    <row r="393" spans="1:17" x14ac:dyDescent="0.2">
      <c r="A393" s="1"/>
      <c r="B393" s="1"/>
      <c r="C393" s="1"/>
      <c r="D393" s="1"/>
      <c r="E393" s="1"/>
      <c r="F393" s="1"/>
      <c r="G393" s="1"/>
      <c r="H393" s="1"/>
      <c r="I393" s="1"/>
      <c r="J393" s="1"/>
      <c r="K393" s="1"/>
      <c r="L393" s="1"/>
      <c r="M393" s="1"/>
      <c r="N393" s="1"/>
      <c r="O393" s="1"/>
      <c r="P393" s="1"/>
      <c r="Q393" s="1"/>
    </row>
    <row r="394" spans="1:17" x14ac:dyDescent="0.2">
      <c r="A394" s="1"/>
      <c r="B394" s="1"/>
      <c r="C394" s="1"/>
      <c r="D394" s="1"/>
      <c r="E394" s="1"/>
      <c r="F394" s="1"/>
      <c r="G394" s="1"/>
      <c r="H394" s="1"/>
      <c r="I394" s="1"/>
      <c r="J394" s="1"/>
      <c r="K394" s="1"/>
      <c r="L394" s="1"/>
      <c r="M394" s="1"/>
      <c r="N394" s="1"/>
      <c r="O394" s="1"/>
      <c r="P394" s="1"/>
      <c r="Q394" s="1"/>
    </row>
    <row r="395" spans="1:17" x14ac:dyDescent="0.2">
      <c r="A395" s="1"/>
      <c r="B395" s="1"/>
      <c r="C395" s="1"/>
      <c r="D395" s="1"/>
      <c r="E395" s="1"/>
      <c r="F395" s="1"/>
      <c r="G395" s="1"/>
      <c r="H395" s="1"/>
      <c r="I395" s="1"/>
      <c r="J395" s="1"/>
      <c r="K395" s="1"/>
      <c r="L395" s="1"/>
      <c r="M395" s="1"/>
      <c r="N395" s="1"/>
      <c r="O395" s="1"/>
      <c r="P395" s="1"/>
      <c r="Q395" s="1"/>
    </row>
    <row r="396" spans="1:17" x14ac:dyDescent="0.2">
      <c r="A396" s="1"/>
      <c r="B396" s="1"/>
      <c r="C396" s="1"/>
      <c r="D396" s="1"/>
      <c r="E396" s="1"/>
      <c r="F396" s="1"/>
      <c r="G396" s="1"/>
      <c r="H396" s="1"/>
      <c r="I396" s="1"/>
      <c r="J396" s="1"/>
      <c r="K396" s="1"/>
      <c r="L396" s="1"/>
      <c r="M396" s="1"/>
      <c r="N396" s="1"/>
      <c r="O396" s="1"/>
      <c r="P396" s="1"/>
      <c r="Q396" s="1"/>
    </row>
    <row r="397" spans="1:17" x14ac:dyDescent="0.2">
      <c r="A397" s="1"/>
      <c r="B397" s="1"/>
      <c r="C397" s="1"/>
      <c r="D397" s="1"/>
      <c r="E397" s="1"/>
      <c r="F397" s="1"/>
      <c r="G397" s="1"/>
      <c r="H397" s="1"/>
      <c r="I397" s="1"/>
      <c r="J397" s="1"/>
      <c r="K397" s="1"/>
      <c r="L397" s="1"/>
      <c r="M397" s="1"/>
      <c r="N397" s="1"/>
      <c r="O397" s="1"/>
      <c r="P397" s="1"/>
      <c r="Q397" s="1"/>
    </row>
    <row r="398" spans="1:17" x14ac:dyDescent="0.2">
      <c r="A398" s="1"/>
      <c r="B398" s="1"/>
      <c r="C398" s="1"/>
      <c r="D398" s="1"/>
      <c r="E398" s="1"/>
      <c r="F398" s="1"/>
      <c r="G398" s="1"/>
      <c r="H398" s="1"/>
      <c r="I398" s="1"/>
      <c r="J398" s="1"/>
      <c r="K398" s="1"/>
      <c r="L398" s="1"/>
      <c r="M398" s="1"/>
      <c r="N398" s="1"/>
      <c r="O398" s="1"/>
      <c r="P398" s="1"/>
      <c r="Q398" s="1"/>
    </row>
    <row r="399" spans="1:17" x14ac:dyDescent="0.2">
      <c r="A399" s="1"/>
      <c r="B399" s="1"/>
      <c r="C399" s="1"/>
      <c r="D399" s="1"/>
      <c r="E399" s="1"/>
      <c r="F399" s="1"/>
      <c r="G399" s="1"/>
      <c r="H399" s="1"/>
      <c r="I399" s="1"/>
      <c r="J399" s="1"/>
      <c r="K399" s="1"/>
      <c r="L399" s="1"/>
      <c r="M399" s="1"/>
      <c r="N399" s="1"/>
      <c r="O399" s="1"/>
      <c r="P399" s="1"/>
      <c r="Q399" s="1"/>
    </row>
    <row r="400" spans="1:17" x14ac:dyDescent="0.2">
      <c r="A400" s="1"/>
      <c r="B400" s="1"/>
      <c r="C400" s="1"/>
      <c r="D400" s="1"/>
      <c r="E400" s="1"/>
      <c r="F400" s="1"/>
      <c r="G400" s="1"/>
      <c r="H400" s="1"/>
      <c r="I400" s="1"/>
      <c r="J400" s="1"/>
      <c r="K400" s="1"/>
      <c r="L400" s="1"/>
      <c r="M400" s="1"/>
      <c r="N400" s="1"/>
      <c r="O400" s="1"/>
      <c r="P400" s="1"/>
      <c r="Q400" s="1"/>
    </row>
    <row r="401" spans="1:17" x14ac:dyDescent="0.2">
      <c r="A401" s="1"/>
      <c r="B401" s="1"/>
      <c r="C401" s="1"/>
      <c r="D401" s="1"/>
      <c r="E401" s="1"/>
      <c r="F401" s="1"/>
      <c r="G401" s="1"/>
      <c r="H401" s="1"/>
      <c r="I401" s="1"/>
      <c r="J401" s="1"/>
      <c r="K401" s="1"/>
      <c r="L401" s="1"/>
      <c r="M401" s="1"/>
      <c r="N401" s="1"/>
      <c r="O401" s="1"/>
      <c r="P401" s="1"/>
      <c r="Q401" s="1"/>
    </row>
    <row r="402" spans="1:17" x14ac:dyDescent="0.2">
      <c r="A402" s="1"/>
      <c r="B402" s="1"/>
      <c r="C402" s="1"/>
      <c r="D402" s="1"/>
      <c r="E402" s="1"/>
      <c r="F402" s="1"/>
      <c r="G402" s="1"/>
      <c r="H402" s="1"/>
      <c r="I402" s="1"/>
      <c r="J402" s="1"/>
      <c r="K402" s="1"/>
      <c r="L402" s="1"/>
      <c r="M402" s="1"/>
      <c r="N402" s="1"/>
      <c r="O402" s="1"/>
      <c r="P402" s="1"/>
      <c r="Q402" s="1"/>
    </row>
    <row r="403" spans="1:17" x14ac:dyDescent="0.2">
      <c r="A403" s="1"/>
      <c r="B403" s="1"/>
      <c r="C403" s="1"/>
      <c r="D403" s="1"/>
      <c r="E403" s="1"/>
      <c r="F403" s="1"/>
      <c r="G403" s="1"/>
      <c r="H403" s="1"/>
      <c r="I403" s="1"/>
      <c r="J403" s="1"/>
      <c r="K403" s="1"/>
      <c r="L403" s="1"/>
      <c r="M403" s="1"/>
      <c r="N403" s="1"/>
      <c r="O403" s="1"/>
      <c r="P403" s="1"/>
      <c r="Q403" s="1"/>
    </row>
    <row r="404" spans="1:17" x14ac:dyDescent="0.2">
      <c r="A404" s="1"/>
      <c r="B404" s="1"/>
      <c r="C404" s="1"/>
      <c r="D404" s="1"/>
      <c r="E404" s="1"/>
      <c r="F404" s="1"/>
      <c r="G404" s="1"/>
      <c r="H404" s="1"/>
      <c r="I404" s="1"/>
      <c r="J404" s="1"/>
      <c r="K404" s="1"/>
      <c r="L404" s="1"/>
      <c r="M404" s="1"/>
      <c r="N404" s="1"/>
      <c r="O404" s="1"/>
      <c r="P404" s="1"/>
      <c r="Q404" s="1"/>
    </row>
    <row r="405" spans="1:17" x14ac:dyDescent="0.2">
      <c r="A405" s="1"/>
      <c r="B405" s="1"/>
      <c r="C405" s="1"/>
      <c r="D405" s="1"/>
      <c r="E405" s="1"/>
      <c r="F405" s="1"/>
      <c r="G405" s="1"/>
      <c r="H405" s="1"/>
      <c r="I405" s="1"/>
      <c r="J405" s="1"/>
      <c r="K405" s="1"/>
      <c r="L405" s="1"/>
      <c r="M405" s="1"/>
      <c r="N405" s="1"/>
      <c r="O405" s="1"/>
      <c r="P405" s="1"/>
      <c r="Q405" s="1"/>
    </row>
    <row r="406" spans="1:17" x14ac:dyDescent="0.2">
      <c r="A406" s="1"/>
      <c r="B406" s="1"/>
      <c r="C406" s="1"/>
      <c r="D406" s="1"/>
      <c r="E406" s="1"/>
      <c r="F406" s="1"/>
      <c r="G406" s="1"/>
      <c r="H406" s="1"/>
      <c r="I406" s="1"/>
      <c r="J406" s="1"/>
      <c r="K406" s="1"/>
      <c r="L406" s="1"/>
      <c r="M406" s="1"/>
      <c r="N406" s="1"/>
      <c r="O406" s="1"/>
      <c r="P406" s="1"/>
      <c r="Q406" s="1"/>
    </row>
    <row r="407" spans="1:17" x14ac:dyDescent="0.2">
      <c r="A407" s="1"/>
      <c r="B407" s="1"/>
      <c r="C407" s="1"/>
      <c r="D407" s="1"/>
      <c r="E407" s="1"/>
      <c r="F407" s="1"/>
      <c r="G407" s="1"/>
      <c r="H407" s="1"/>
      <c r="I407" s="1"/>
      <c r="J407" s="1"/>
      <c r="K407" s="1"/>
      <c r="L407" s="1"/>
      <c r="M407" s="1"/>
      <c r="N407" s="1"/>
      <c r="O407" s="1"/>
      <c r="P407" s="1"/>
      <c r="Q407" s="1"/>
    </row>
    <row r="408" spans="1:17" x14ac:dyDescent="0.2">
      <c r="A408" s="1"/>
      <c r="B408" s="1"/>
      <c r="C408" s="1"/>
      <c r="D408" s="1"/>
      <c r="E408" s="1"/>
      <c r="F408" s="1"/>
      <c r="G408" s="1"/>
      <c r="H408" s="1"/>
      <c r="I408" s="1"/>
      <c r="J408" s="1"/>
      <c r="K408" s="1"/>
      <c r="L408" s="1"/>
      <c r="M408" s="1"/>
      <c r="N408" s="1"/>
      <c r="O408" s="1"/>
      <c r="P408" s="1"/>
      <c r="Q408" s="1"/>
    </row>
    <row r="409" spans="1:17" x14ac:dyDescent="0.2">
      <c r="A409" s="1"/>
      <c r="B409" s="1"/>
      <c r="C409" s="1"/>
      <c r="D409" s="1"/>
      <c r="E409" s="1"/>
      <c r="F409" s="1"/>
      <c r="G409" s="1"/>
      <c r="H409" s="1"/>
      <c r="I409" s="1"/>
      <c r="J409" s="1"/>
      <c r="K409" s="1"/>
      <c r="L409" s="1"/>
      <c r="M409" s="1"/>
      <c r="N409" s="1"/>
      <c r="O409" s="1"/>
      <c r="P409" s="1"/>
      <c r="Q409" s="1"/>
    </row>
    <row r="410" spans="1:17" x14ac:dyDescent="0.2">
      <c r="A410" s="1"/>
      <c r="B410" s="1"/>
      <c r="C410" s="1"/>
      <c r="D410" s="1"/>
      <c r="E410" s="1"/>
      <c r="F410" s="1"/>
      <c r="G410" s="1"/>
      <c r="H410" s="1"/>
      <c r="I410" s="1"/>
      <c r="J410" s="1"/>
      <c r="K410" s="1"/>
      <c r="L410" s="1"/>
      <c r="M410" s="1"/>
      <c r="N410" s="1"/>
      <c r="O410" s="1"/>
      <c r="P410" s="1"/>
      <c r="Q410" s="1"/>
    </row>
    <row r="411" spans="1:17" x14ac:dyDescent="0.2">
      <c r="A411" s="1"/>
      <c r="B411" s="1"/>
      <c r="C411" s="1"/>
      <c r="D411" s="1"/>
      <c r="E411" s="1"/>
      <c r="F411" s="1"/>
      <c r="G411" s="1"/>
      <c r="H411" s="1"/>
      <c r="I411" s="1"/>
      <c r="J411" s="1"/>
      <c r="K411" s="1"/>
      <c r="L411" s="1"/>
      <c r="M411" s="1"/>
      <c r="N411" s="1"/>
      <c r="O411" s="1"/>
      <c r="P411" s="1"/>
      <c r="Q411" s="1"/>
    </row>
    <row r="412" spans="1:17" x14ac:dyDescent="0.2">
      <c r="A412" s="1"/>
      <c r="B412" s="1"/>
      <c r="C412" s="1"/>
      <c r="D412" s="1"/>
      <c r="E412" s="1"/>
      <c r="F412" s="1"/>
      <c r="G412" s="1"/>
      <c r="H412" s="1"/>
      <c r="I412" s="1"/>
      <c r="J412" s="1"/>
      <c r="K412" s="1"/>
      <c r="L412" s="1"/>
      <c r="M412" s="1"/>
      <c r="N412" s="1"/>
      <c r="O412" s="1"/>
      <c r="P412" s="1"/>
      <c r="Q412" s="1"/>
    </row>
    <row r="413" spans="1:17" x14ac:dyDescent="0.2">
      <c r="A413" s="1"/>
      <c r="B413" s="1"/>
      <c r="C413" s="1"/>
      <c r="D413" s="1"/>
      <c r="E413" s="1"/>
      <c r="F413" s="1"/>
      <c r="G413" s="1"/>
      <c r="H413" s="1"/>
      <c r="I413" s="1"/>
      <c r="J413" s="1"/>
      <c r="K413" s="1"/>
      <c r="L413" s="1"/>
      <c r="M413" s="1"/>
      <c r="N413" s="1"/>
      <c r="O413" s="1"/>
      <c r="P413" s="1"/>
      <c r="Q413" s="1"/>
    </row>
    <row r="414" spans="1:17" x14ac:dyDescent="0.2">
      <c r="A414" s="1"/>
      <c r="B414" s="1"/>
      <c r="C414" s="1"/>
      <c r="D414" s="1"/>
      <c r="E414" s="1"/>
      <c r="F414" s="1"/>
      <c r="G414" s="1"/>
      <c r="H414" s="1"/>
      <c r="I414" s="1"/>
      <c r="J414" s="1"/>
      <c r="K414" s="1"/>
      <c r="L414" s="1"/>
      <c r="M414" s="1"/>
      <c r="N414" s="1"/>
      <c r="O414" s="1"/>
      <c r="P414" s="1"/>
      <c r="Q414" s="1"/>
    </row>
    <row r="415" spans="1:17" x14ac:dyDescent="0.2">
      <c r="A415" s="1"/>
      <c r="B415" s="1"/>
      <c r="C415" s="1"/>
      <c r="D415" s="1"/>
      <c r="E415" s="1"/>
      <c r="F415" s="1"/>
      <c r="G415" s="1"/>
      <c r="H415" s="1"/>
      <c r="I415" s="1"/>
      <c r="J415" s="1"/>
      <c r="K415" s="1"/>
      <c r="L415" s="1"/>
      <c r="M415" s="1"/>
      <c r="N415" s="1"/>
      <c r="O415" s="1"/>
      <c r="P415" s="1"/>
      <c r="Q415" s="1"/>
    </row>
    <row r="416" spans="1:17" x14ac:dyDescent="0.2">
      <c r="A416" s="1"/>
      <c r="B416" s="1"/>
      <c r="C416" s="1"/>
      <c r="D416" s="1"/>
      <c r="E416" s="1"/>
      <c r="F416" s="1"/>
      <c r="G416" s="1"/>
      <c r="H416" s="1"/>
      <c r="I416" s="1"/>
      <c r="J416" s="1"/>
      <c r="K416" s="1"/>
      <c r="L416" s="1"/>
      <c r="M416" s="1"/>
      <c r="N416" s="1"/>
      <c r="O416" s="1"/>
      <c r="P416" s="1"/>
      <c r="Q416" s="1"/>
    </row>
    <row r="417" spans="1:17" x14ac:dyDescent="0.2">
      <c r="A417" s="1"/>
      <c r="B417" s="1"/>
      <c r="C417" s="1"/>
      <c r="D417" s="1"/>
      <c r="E417" s="1"/>
      <c r="F417" s="1"/>
      <c r="G417" s="1"/>
      <c r="H417" s="1"/>
      <c r="I417" s="1"/>
      <c r="J417" s="1"/>
      <c r="K417" s="1"/>
      <c r="L417" s="1"/>
      <c r="M417" s="1"/>
      <c r="N417" s="1"/>
      <c r="O417" s="1"/>
      <c r="P417" s="1"/>
      <c r="Q417" s="1"/>
    </row>
    <row r="418" spans="1:17" x14ac:dyDescent="0.2">
      <c r="A418" s="1"/>
      <c r="B418" s="1"/>
      <c r="C418" s="1"/>
      <c r="D418" s="1"/>
      <c r="E418" s="1"/>
      <c r="F418" s="1"/>
      <c r="G418" s="1"/>
      <c r="H418" s="1"/>
      <c r="I418" s="1"/>
      <c r="J418" s="1"/>
      <c r="K418" s="1"/>
      <c r="L418" s="1"/>
      <c r="M418" s="1"/>
      <c r="N418" s="1"/>
      <c r="O418" s="1"/>
      <c r="P418" s="1"/>
      <c r="Q418" s="1"/>
    </row>
    <row r="419" spans="1:17" x14ac:dyDescent="0.2">
      <c r="A419" s="1"/>
      <c r="B419" s="1"/>
      <c r="C419" s="1"/>
      <c r="D419" s="1"/>
      <c r="E419" s="1"/>
      <c r="F419" s="1"/>
      <c r="G419" s="1"/>
      <c r="H419" s="1"/>
      <c r="I419" s="1"/>
      <c r="J419" s="1"/>
      <c r="K419" s="1"/>
      <c r="L419" s="1"/>
      <c r="M419" s="1"/>
      <c r="N419" s="1"/>
      <c r="O419" s="1"/>
      <c r="P419" s="1"/>
      <c r="Q419" s="1"/>
    </row>
    <row r="420" spans="1:17" x14ac:dyDescent="0.2">
      <c r="A420" s="1"/>
      <c r="B420" s="1"/>
      <c r="C420" s="1"/>
      <c r="D420" s="1"/>
      <c r="E420" s="1"/>
      <c r="F420" s="1"/>
      <c r="G420" s="1"/>
      <c r="H420" s="1"/>
      <c r="I420" s="1"/>
      <c r="J420" s="1"/>
      <c r="K420" s="1"/>
      <c r="L420" s="1"/>
      <c r="M420" s="1"/>
      <c r="N420" s="1"/>
      <c r="O420" s="1"/>
      <c r="P420" s="1"/>
      <c r="Q420" s="1"/>
    </row>
    <row r="421" spans="1:17" x14ac:dyDescent="0.2">
      <c r="A421" s="1"/>
      <c r="B421" s="1"/>
      <c r="C421" s="1"/>
      <c r="D421" s="1"/>
      <c r="E421" s="1"/>
      <c r="F421" s="1"/>
      <c r="G421" s="1"/>
      <c r="H421" s="1"/>
      <c r="I421" s="1"/>
      <c r="J421" s="1"/>
      <c r="K421" s="1"/>
      <c r="L421" s="1"/>
      <c r="M421" s="1"/>
      <c r="N421" s="1"/>
      <c r="O421" s="1"/>
      <c r="P421" s="1"/>
      <c r="Q421" s="1"/>
    </row>
    <row r="422" spans="1:17" x14ac:dyDescent="0.2">
      <c r="A422" s="1"/>
      <c r="B422" s="1"/>
      <c r="C422" s="1"/>
      <c r="D422" s="1"/>
      <c r="E422" s="1"/>
      <c r="F422" s="1"/>
      <c r="G422" s="1"/>
      <c r="H422" s="1"/>
      <c r="I422" s="1"/>
      <c r="J422" s="1"/>
      <c r="K422" s="1"/>
      <c r="L422" s="1"/>
      <c r="M422" s="1"/>
      <c r="N422" s="1"/>
      <c r="O422" s="1"/>
      <c r="P422" s="1"/>
      <c r="Q422" s="1"/>
    </row>
    <row r="423" spans="1:17" x14ac:dyDescent="0.2">
      <c r="A423" s="1"/>
      <c r="B423" s="1"/>
      <c r="C423" s="1"/>
      <c r="D423" s="1"/>
      <c r="E423" s="1"/>
      <c r="F423" s="1"/>
      <c r="G423" s="1"/>
      <c r="H423" s="1"/>
      <c r="I423" s="1"/>
      <c r="J423" s="1"/>
      <c r="K423" s="1"/>
      <c r="L423" s="1"/>
      <c r="M423" s="1"/>
      <c r="N423" s="1"/>
      <c r="O423" s="1"/>
      <c r="P423" s="1"/>
      <c r="Q423" s="1"/>
    </row>
    <row r="424" spans="1:17" x14ac:dyDescent="0.2">
      <c r="A424" s="1"/>
      <c r="B424" s="1"/>
      <c r="C424" s="1"/>
      <c r="D424" s="1"/>
      <c r="E424" s="1"/>
      <c r="F424" s="1"/>
      <c r="G424" s="1"/>
      <c r="H424" s="1"/>
      <c r="I424" s="1"/>
      <c r="J424" s="1"/>
      <c r="K424" s="1"/>
      <c r="L424" s="1"/>
      <c r="M424" s="1"/>
      <c r="N424" s="1"/>
      <c r="O424" s="1"/>
      <c r="P424" s="1"/>
      <c r="Q424" s="1"/>
    </row>
    <row r="425" spans="1:17" x14ac:dyDescent="0.2">
      <c r="A425" s="1"/>
      <c r="B425" s="1"/>
      <c r="C425" s="1"/>
      <c r="D425" s="1"/>
      <c r="E425" s="1"/>
      <c r="F425" s="1"/>
      <c r="G425" s="1"/>
      <c r="H425" s="1"/>
      <c r="I425" s="1"/>
      <c r="J425" s="1"/>
      <c r="K425" s="1"/>
      <c r="L425" s="1"/>
      <c r="M425" s="1"/>
      <c r="N425" s="1"/>
      <c r="O425" s="1"/>
      <c r="P425" s="1"/>
      <c r="Q425" s="1"/>
    </row>
    <row r="426" spans="1:17" x14ac:dyDescent="0.2">
      <c r="A426" s="1"/>
      <c r="B426" s="1"/>
      <c r="C426" s="1"/>
      <c r="D426" s="1"/>
      <c r="E426" s="1"/>
      <c r="F426" s="1"/>
      <c r="G426" s="1"/>
      <c r="H426" s="1"/>
      <c r="I426" s="1"/>
      <c r="J426" s="1"/>
      <c r="K426" s="1"/>
      <c r="L426" s="1"/>
      <c r="M426" s="1"/>
      <c r="N426" s="1"/>
      <c r="O426" s="1"/>
      <c r="P426" s="1"/>
      <c r="Q426" s="1"/>
    </row>
    <row r="427" spans="1:17" x14ac:dyDescent="0.2">
      <c r="A427" s="1"/>
      <c r="B427" s="1"/>
      <c r="C427" s="1"/>
      <c r="D427" s="1"/>
      <c r="E427" s="1"/>
      <c r="F427" s="1"/>
      <c r="G427" s="1"/>
      <c r="H427" s="1"/>
      <c r="I427" s="1"/>
      <c r="J427" s="1"/>
      <c r="K427" s="1"/>
      <c r="L427" s="1"/>
      <c r="M427" s="1"/>
      <c r="N427" s="1"/>
      <c r="O427" s="1"/>
      <c r="P427" s="1"/>
      <c r="Q427" s="1"/>
    </row>
    <row r="428" spans="1:17" x14ac:dyDescent="0.2">
      <c r="A428" s="1"/>
      <c r="B428" s="1"/>
      <c r="C428" s="1"/>
      <c r="D428" s="1"/>
      <c r="E428" s="1"/>
      <c r="F428" s="1"/>
      <c r="G428" s="1"/>
      <c r="H428" s="1"/>
      <c r="I428" s="1"/>
      <c r="J428" s="1"/>
      <c r="K428" s="1"/>
      <c r="L428" s="1"/>
      <c r="M428" s="1"/>
      <c r="N428" s="1"/>
      <c r="O428" s="1"/>
      <c r="P428" s="1"/>
      <c r="Q428" s="1"/>
    </row>
    <row r="429" spans="1:17" x14ac:dyDescent="0.2">
      <c r="A429" s="1"/>
      <c r="B429" s="1"/>
      <c r="C429" s="1"/>
      <c r="D429" s="1"/>
      <c r="E429" s="1"/>
      <c r="F429" s="1"/>
      <c r="G429" s="1"/>
      <c r="H429" s="1"/>
      <c r="I429" s="1"/>
      <c r="J429" s="1"/>
      <c r="K429" s="1"/>
      <c r="L429" s="1"/>
      <c r="M429" s="1"/>
      <c r="N429" s="1"/>
      <c r="O429" s="1"/>
      <c r="P429" s="1"/>
      <c r="Q429" s="1"/>
    </row>
    <row r="430" spans="1:17" x14ac:dyDescent="0.2">
      <c r="A430" s="1"/>
      <c r="B430" s="1"/>
      <c r="C430" s="1"/>
      <c r="D430" s="1"/>
      <c r="E430" s="1"/>
      <c r="F430" s="1"/>
      <c r="G430" s="1"/>
      <c r="H430" s="1"/>
      <c r="I430" s="1"/>
      <c r="J430" s="1"/>
      <c r="K430" s="1"/>
      <c r="L430" s="1"/>
      <c r="M430" s="1"/>
      <c r="N430" s="1"/>
      <c r="O430" s="1"/>
      <c r="P430" s="1"/>
      <c r="Q430" s="1"/>
    </row>
    <row r="431" spans="1:17" x14ac:dyDescent="0.2">
      <c r="A431" s="1"/>
      <c r="B431" s="1"/>
      <c r="C431" s="1"/>
      <c r="D431" s="1"/>
      <c r="E431" s="1"/>
      <c r="F431" s="1"/>
      <c r="G431" s="1"/>
      <c r="H431" s="1"/>
      <c r="I431" s="1"/>
      <c r="J431" s="1"/>
      <c r="K431" s="1"/>
      <c r="L431" s="1"/>
      <c r="M431" s="1"/>
      <c r="N431" s="1"/>
      <c r="O431" s="1"/>
      <c r="P431" s="1"/>
      <c r="Q431" s="1"/>
    </row>
    <row r="432" spans="1:17" x14ac:dyDescent="0.2">
      <c r="A432" s="1"/>
      <c r="B432" s="1"/>
      <c r="C432" s="1"/>
      <c r="D432" s="1"/>
      <c r="E432" s="1"/>
      <c r="F432" s="1"/>
      <c r="G432" s="1"/>
      <c r="H432" s="1"/>
      <c r="I432" s="1"/>
      <c r="J432" s="1"/>
      <c r="K432" s="1"/>
      <c r="L432" s="1"/>
      <c r="M432" s="1"/>
      <c r="N432" s="1"/>
      <c r="O432" s="1"/>
      <c r="P432" s="1"/>
      <c r="Q432" s="1"/>
    </row>
    <row r="433" spans="1:17" x14ac:dyDescent="0.2">
      <c r="A433" s="1"/>
      <c r="B433" s="1"/>
      <c r="C433" s="1"/>
      <c r="D433" s="1"/>
      <c r="E433" s="1"/>
      <c r="F433" s="1"/>
      <c r="G433" s="1"/>
      <c r="H433" s="1"/>
      <c r="I433" s="1"/>
      <c r="J433" s="1"/>
      <c r="K433" s="1"/>
      <c r="L433" s="1"/>
      <c r="M433" s="1"/>
      <c r="N433" s="1"/>
      <c r="O433" s="1"/>
      <c r="P433" s="1"/>
      <c r="Q433" s="1"/>
    </row>
    <row r="434" spans="1:17" x14ac:dyDescent="0.2">
      <c r="A434" s="1"/>
      <c r="B434" s="1"/>
      <c r="C434" s="1"/>
      <c r="D434" s="1"/>
      <c r="E434" s="1"/>
      <c r="F434" s="1"/>
      <c r="G434" s="1"/>
      <c r="H434" s="1"/>
      <c r="I434" s="1"/>
      <c r="J434" s="1"/>
      <c r="K434" s="1"/>
      <c r="L434" s="1"/>
      <c r="M434" s="1"/>
      <c r="N434" s="1"/>
      <c r="O434" s="1"/>
      <c r="P434" s="1"/>
      <c r="Q434" s="1"/>
    </row>
    <row r="435" spans="1:17" x14ac:dyDescent="0.2">
      <c r="A435" s="1"/>
      <c r="B435" s="1"/>
      <c r="C435" s="1"/>
      <c r="D435" s="1"/>
      <c r="E435" s="1"/>
      <c r="F435" s="1"/>
      <c r="G435" s="1"/>
      <c r="H435" s="1"/>
      <c r="I435" s="1"/>
      <c r="J435" s="1"/>
      <c r="K435" s="1"/>
      <c r="L435" s="1"/>
      <c r="M435" s="1"/>
      <c r="N435" s="1"/>
      <c r="O435" s="1"/>
      <c r="P435" s="1"/>
      <c r="Q435" s="1"/>
    </row>
    <row r="436" spans="1:17" x14ac:dyDescent="0.2">
      <c r="A436" s="1"/>
      <c r="B436" s="1"/>
      <c r="C436" s="1"/>
      <c r="D436" s="1"/>
      <c r="E436" s="1"/>
      <c r="F436" s="1"/>
      <c r="G436" s="1"/>
      <c r="H436" s="1"/>
      <c r="I436" s="1"/>
      <c r="J436" s="1"/>
      <c r="K436" s="1"/>
      <c r="L436" s="1"/>
      <c r="M436" s="1"/>
      <c r="N436" s="1"/>
      <c r="O436" s="1"/>
      <c r="P436" s="1"/>
      <c r="Q436" s="1"/>
    </row>
    <row r="437" spans="1:17" x14ac:dyDescent="0.2">
      <c r="A437" s="1"/>
      <c r="B437" s="1"/>
      <c r="C437" s="1"/>
      <c r="D437" s="1"/>
      <c r="E437" s="1"/>
      <c r="F437" s="1"/>
      <c r="G437" s="1"/>
      <c r="H437" s="1"/>
      <c r="I437" s="1"/>
      <c r="J437" s="1"/>
      <c r="K437" s="1"/>
      <c r="L437" s="1"/>
      <c r="M437" s="1"/>
      <c r="N437" s="1"/>
      <c r="O437" s="1"/>
      <c r="P437" s="1"/>
      <c r="Q437" s="1"/>
    </row>
    <row r="438" spans="1:17" x14ac:dyDescent="0.2">
      <c r="A438" s="1"/>
      <c r="B438" s="1"/>
      <c r="C438" s="1"/>
      <c r="D438" s="1"/>
      <c r="E438" s="1"/>
      <c r="F438" s="1"/>
      <c r="G438" s="1"/>
      <c r="H438" s="1"/>
      <c r="I438" s="1"/>
      <c r="J438" s="1"/>
      <c r="K438" s="1"/>
      <c r="L438" s="1"/>
      <c r="M438" s="1"/>
      <c r="N438" s="1"/>
      <c r="O438" s="1"/>
      <c r="P438" s="1"/>
      <c r="Q438" s="1"/>
    </row>
    <row r="439" spans="1:17" x14ac:dyDescent="0.2">
      <c r="A439" s="1"/>
      <c r="B439" s="1"/>
      <c r="C439" s="1"/>
      <c r="D439" s="1"/>
      <c r="E439" s="1"/>
      <c r="F439" s="1"/>
      <c r="G439" s="1"/>
      <c r="H439" s="1"/>
      <c r="I439" s="1"/>
      <c r="J439" s="1"/>
      <c r="K439" s="1"/>
      <c r="L439" s="1"/>
      <c r="M439" s="1"/>
      <c r="N439" s="1"/>
      <c r="O439" s="1"/>
      <c r="P439" s="1"/>
      <c r="Q439" s="1"/>
    </row>
    <row r="440" spans="1:17" x14ac:dyDescent="0.2">
      <c r="A440" s="1"/>
      <c r="B440" s="1"/>
      <c r="C440" s="1"/>
      <c r="D440" s="1"/>
      <c r="E440" s="1"/>
      <c r="F440" s="1"/>
      <c r="G440" s="1"/>
      <c r="H440" s="1"/>
      <c r="I440" s="1"/>
      <c r="J440" s="1"/>
      <c r="K440" s="1"/>
      <c r="L440" s="1"/>
      <c r="M440" s="1"/>
      <c r="N440" s="1"/>
      <c r="O440" s="1"/>
      <c r="P440" s="1"/>
      <c r="Q440" s="1"/>
    </row>
    <row r="441" spans="1:17" x14ac:dyDescent="0.2">
      <c r="A441" s="1"/>
      <c r="B441" s="1"/>
      <c r="C441" s="1"/>
      <c r="D441" s="1"/>
      <c r="E441" s="1"/>
      <c r="F441" s="1"/>
      <c r="G441" s="1"/>
      <c r="H441" s="1"/>
      <c r="I441" s="1"/>
      <c r="J441" s="1"/>
      <c r="K441" s="1"/>
      <c r="L441" s="1"/>
      <c r="M441" s="1"/>
      <c r="N441" s="1"/>
      <c r="O441" s="1"/>
      <c r="P441" s="1"/>
      <c r="Q441" s="1"/>
    </row>
    <row r="442" spans="1:17" x14ac:dyDescent="0.2">
      <c r="A442" s="1"/>
      <c r="B442" s="1"/>
      <c r="C442" s="1"/>
      <c r="D442" s="1"/>
      <c r="E442" s="1"/>
      <c r="F442" s="1"/>
      <c r="G442" s="1"/>
      <c r="H442" s="1"/>
      <c r="I442" s="1"/>
      <c r="J442" s="1"/>
      <c r="K442" s="1"/>
      <c r="L442" s="1"/>
      <c r="M442" s="1"/>
      <c r="N442" s="1"/>
      <c r="O442" s="1"/>
      <c r="P442" s="1"/>
      <c r="Q442" s="1"/>
    </row>
    <row r="443" spans="1:17" x14ac:dyDescent="0.2">
      <c r="A443" s="1"/>
      <c r="B443" s="1"/>
      <c r="C443" s="1"/>
      <c r="D443" s="1"/>
      <c r="E443" s="1"/>
      <c r="F443" s="1"/>
      <c r="G443" s="1"/>
      <c r="H443" s="1"/>
      <c r="I443" s="1"/>
      <c r="J443" s="1"/>
      <c r="K443" s="1"/>
      <c r="L443" s="1"/>
      <c r="M443" s="1"/>
      <c r="N443" s="1"/>
      <c r="O443" s="1"/>
      <c r="P443" s="1"/>
      <c r="Q443" s="1"/>
    </row>
    <row r="444" spans="1:17" x14ac:dyDescent="0.2">
      <c r="A444" s="1"/>
      <c r="B444" s="1"/>
      <c r="C444" s="1"/>
      <c r="D444" s="1"/>
      <c r="E444" s="1"/>
      <c r="F444" s="1"/>
      <c r="G444" s="1"/>
      <c r="H444" s="1"/>
      <c r="I444" s="1"/>
      <c r="J444" s="1"/>
      <c r="K444" s="1"/>
      <c r="L444" s="1"/>
      <c r="M444" s="1"/>
      <c r="N444" s="1"/>
      <c r="O444" s="1"/>
      <c r="P444" s="1"/>
      <c r="Q444" s="1"/>
    </row>
    <row r="445" spans="1:17" x14ac:dyDescent="0.2">
      <c r="A445" s="1"/>
      <c r="B445" s="1"/>
      <c r="C445" s="1"/>
      <c r="D445" s="1"/>
      <c r="E445" s="1"/>
      <c r="F445" s="1"/>
      <c r="G445" s="1"/>
      <c r="H445" s="1"/>
      <c r="I445" s="1"/>
      <c r="J445" s="1"/>
      <c r="K445" s="1"/>
      <c r="L445" s="1"/>
      <c r="M445" s="1"/>
      <c r="N445" s="1"/>
      <c r="O445" s="1"/>
      <c r="P445" s="1"/>
      <c r="Q445" s="1"/>
    </row>
    <row r="446" spans="1:17" x14ac:dyDescent="0.2">
      <c r="A446" s="1"/>
      <c r="B446" s="1"/>
      <c r="C446" s="1"/>
      <c r="D446" s="1"/>
      <c r="E446" s="1"/>
      <c r="F446" s="1"/>
      <c r="G446" s="1"/>
      <c r="H446" s="1"/>
      <c r="I446" s="1"/>
      <c r="J446" s="1"/>
      <c r="K446" s="1"/>
      <c r="L446" s="1"/>
      <c r="M446" s="1"/>
      <c r="N446" s="1"/>
      <c r="O446" s="1"/>
      <c r="P446" s="1"/>
      <c r="Q446" s="1"/>
    </row>
    <row r="447" spans="1:17" x14ac:dyDescent="0.2">
      <c r="A447" s="1"/>
      <c r="B447" s="1"/>
      <c r="C447" s="1"/>
      <c r="D447" s="1"/>
      <c r="E447" s="1"/>
      <c r="F447" s="1"/>
      <c r="G447" s="1"/>
      <c r="H447" s="1"/>
      <c r="I447" s="1"/>
      <c r="J447" s="1"/>
      <c r="K447" s="1"/>
      <c r="L447" s="1"/>
      <c r="M447" s="1"/>
      <c r="N447" s="1"/>
      <c r="O447" s="1"/>
      <c r="P447" s="1"/>
      <c r="Q447" s="1"/>
    </row>
    <row r="448" spans="1:17" x14ac:dyDescent="0.2">
      <c r="A448" s="1"/>
      <c r="B448" s="1"/>
      <c r="C448" s="1"/>
      <c r="D448" s="1"/>
      <c r="E448" s="1"/>
      <c r="F448" s="1"/>
      <c r="G448" s="1"/>
      <c r="H448" s="1"/>
      <c r="I448" s="1"/>
      <c r="J448" s="1"/>
      <c r="K448" s="1"/>
      <c r="L448" s="1"/>
      <c r="M448" s="1"/>
      <c r="N448" s="1"/>
      <c r="O448" s="1"/>
      <c r="P448" s="1"/>
      <c r="Q448" s="1"/>
    </row>
    <row r="449" spans="1:17" x14ac:dyDescent="0.2">
      <c r="A449" s="1"/>
      <c r="B449" s="1"/>
      <c r="C449" s="1"/>
      <c r="D449" s="1"/>
      <c r="E449" s="1"/>
      <c r="F449" s="1"/>
      <c r="G449" s="1"/>
      <c r="H449" s="1"/>
      <c r="I449" s="1"/>
      <c r="J449" s="1"/>
      <c r="K449" s="1"/>
      <c r="L449" s="1"/>
      <c r="M449" s="1"/>
      <c r="N449" s="1"/>
      <c r="O449" s="1"/>
      <c r="P449" s="1"/>
      <c r="Q449" s="1"/>
    </row>
    <row r="450" spans="1:17" x14ac:dyDescent="0.2">
      <c r="A450" s="1"/>
      <c r="B450" s="1"/>
      <c r="C450" s="1"/>
      <c r="D450" s="1"/>
      <c r="E450" s="1"/>
      <c r="F450" s="1"/>
      <c r="G450" s="1"/>
      <c r="H450" s="1"/>
      <c r="I450" s="1"/>
      <c r="J450" s="1"/>
      <c r="K450" s="1"/>
      <c r="L450" s="1"/>
      <c r="M450" s="1"/>
      <c r="N450" s="1"/>
      <c r="O450" s="1"/>
      <c r="P450" s="1"/>
      <c r="Q450" s="1"/>
    </row>
    <row r="451" spans="1:17" x14ac:dyDescent="0.2">
      <c r="A451" s="1"/>
      <c r="B451" s="1"/>
      <c r="C451" s="1"/>
      <c r="D451" s="1"/>
      <c r="E451" s="1"/>
      <c r="F451" s="1"/>
      <c r="G451" s="1"/>
      <c r="H451" s="1"/>
      <c r="I451" s="1"/>
      <c r="J451" s="1"/>
      <c r="K451" s="1"/>
      <c r="L451" s="1"/>
      <c r="M451" s="1"/>
      <c r="N451" s="1"/>
      <c r="O451" s="1"/>
      <c r="P451" s="1"/>
      <c r="Q451" s="1"/>
    </row>
    <row r="452" spans="1:17" x14ac:dyDescent="0.2">
      <c r="A452" s="1"/>
      <c r="B452" s="1"/>
      <c r="C452" s="1"/>
      <c r="D452" s="1"/>
      <c r="E452" s="1"/>
      <c r="F452" s="1"/>
      <c r="G452" s="1"/>
      <c r="H452" s="1"/>
      <c r="I452" s="1"/>
      <c r="J452" s="1"/>
      <c r="K452" s="1"/>
      <c r="L452" s="1"/>
      <c r="M452" s="1"/>
      <c r="N452" s="1"/>
      <c r="O452" s="1"/>
      <c r="P452" s="1"/>
      <c r="Q452" s="1"/>
    </row>
    <row r="453" spans="1:17" x14ac:dyDescent="0.2">
      <c r="A453" s="1"/>
      <c r="B453" s="1"/>
      <c r="C453" s="1"/>
      <c r="D453" s="1"/>
      <c r="E453" s="1"/>
      <c r="F453" s="1"/>
      <c r="G453" s="1"/>
      <c r="H453" s="1"/>
      <c r="I453" s="1"/>
      <c r="J453" s="1"/>
      <c r="K453" s="1"/>
      <c r="L453" s="1"/>
      <c r="M453" s="1"/>
      <c r="N453" s="1"/>
      <c r="O453" s="1"/>
      <c r="P453" s="1"/>
      <c r="Q453" s="1"/>
    </row>
    <row r="454" spans="1:17" x14ac:dyDescent="0.2">
      <c r="A454" s="1"/>
      <c r="B454" s="1"/>
      <c r="C454" s="1"/>
      <c r="D454" s="1"/>
      <c r="E454" s="1"/>
      <c r="F454" s="1"/>
      <c r="G454" s="1"/>
      <c r="H454" s="1"/>
      <c r="I454" s="1"/>
      <c r="J454" s="1"/>
      <c r="K454" s="1"/>
      <c r="L454" s="1"/>
      <c r="M454" s="1"/>
      <c r="N454" s="1"/>
      <c r="O454" s="1"/>
      <c r="P454" s="1"/>
      <c r="Q454" s="1"/>
    </row>
    <row r="455" spans="1:17" x14ac:dyDescent="0.2">
      <c r="A455" s="1"/>
      <c r="B455" s="1"/>
      <c r="C455" s="1"/>
      <c r="D455" s="1"/>
      <c r="E455" s="1"/>
      <c r="F455" s="1"/>
      <c r="G455" s="1"/>
      <c r="H455" s="1"/>
      <c r="I455" s="1"/>
      <c r="J455" s="1"/>
      <c r="K455" s="1"/>
      <c r="L455" s="1"/>
      <c r="M455" s="1"/>
      <c r="N455" s="1"/>
      <c r="O455" s="1"/>
      <c r="P455" s="1"/>
      <c r="Q455" s="1"/>
    </row>
    <row r="456" spans="1:17" x14ac:dyDescent="0.2">
      <c r="A456" s="1"/>
      <c r="B456" s="1"/>
      <c r="C456" s="1"/>
      <c r="D456" s="1"/>
      <c r="E456" s="1"/>
      <c r="F456" s="1"/>
      <c r="G456" s="1"/>
      <c r="H456" s="1"/>
      <c r="I456" s="1"/>
      <c r="J456" s="1"/>
      <c r="K456" s="1"/>
      <c r="L456" s="1"/>
      <c r="M456" s="1"/>
      <c r="N456" s="1"/>
      <c r="O456" s="1"/>
      <c r="P456" s="1"/>
      <c r="Q456" s="1"/>
    </row>
    <row r="457" spans="1:17" x14ac:dyDescent="0.2">
      <c r="A457" s="1"/>
      <c r="B457" s="1"/>
      <c r="C457" s="1"/>
      <c r="D457" s="1"/>
      <c r="E457" s="1"/>
      <c r="F457" s="1"/>
      <c r="G457" s="1"/>
      <c r="H457" s="1"/>
      <c r="I457" s="1"/>
      <c r="J457" s="1"/>
      <c r="K457" s="1"/>
      <c r="L457" s="1"/>
      <c r="M457" s="1"/>
      <c r="N457" s="1"/>
      <c r="O457" s="1"/>
      <c r="P457" s="1"/>
      <c r="Q457" s="1"/>
    </row>
    <row r="458" spans="1:17" x14ac:dyDescent="0.2">
      <c r="A458" s="1"/>
      <c r="B458" s="1"/>
      <c r="C458" s="1"/>
      <c r="D458" s="1"/>
      <c r="E458" s="1"/>
      <c r="F458" s="1"/>
      <c r="G458" s="1"/>
      <c r="H458" s="1"/>
      <c r="I458" s="1"/>
      <c r="J458" s="1"/>
      <c r="K458" s="1"/>
      <c r="L458" s="1"/>
      <c r="M458" s="1"/>
      <c r="N458" s="1"/>
      <c r="O458" s="1"/>
      <c r="P458" s="1"/>
      <c r="Q458" s="1"/>
    </row>
    <row r="459" spans="1:17" x14ac:dyDescent="0.2">
      <c r="A459" s="1"/>
      <c r="B459" s="1"/>
      <c r="C459" s="1"/>
      <c r="D459" s="1"/>
      <c r="E459" s="1"/>
      <c r="F459" s="1"/>
      <c r="G459" s="1"/>
      <c r="H459" s="1"/>
      <c r="I459" s="1"/>
      <c r="J459" s="1"/>
      <c r="K459" s="1"/>
      <c r="L459" s="1"/>
      <c r="M459" s="1"/>
      <c r="N459" s="1"/>
      <c r="O459" s="1"/>
      <c r="P459" s="1"/>
      <c r="Q459" s="1"/>
    </row>
    <row r="460" spans="1:17" x14ac:dyDescent="0.2">
      <c r="A460" s="1"/>
      <c r="B460" s="1"/>
      <c r="C460" s="1"/>
      <c r="D460" s="1"/>
      <c r="E460" s="1"/>
      <c r="F460" s="1"/>
      <c r="G460" s="1"/>
      <c r="H460" s="1"/>
      <c r="I460" s="1"/>
      <c r="J460" s="1"/>
      <c r="K460" s="1"/>
      <c r="L460" s="1"/>
      <c r="M460" s="1"/>
      <c r="N460" s="1"/>
      <c r="O460" s="1"/>
      <c r="P460" s="1"/>
      <c r="Q460" s="1"/>
    </row>
    <row r="461" spans="1:17" x14ac:dyDescent="0.2">
      <c r="A461" s="1"/>
      <c r="B461" s="1"/>
      <c r="C461" s="1"/>
      <c r="D461" s="1"/>
      <c r="E461" s="1"/>
      <c r="F461" s="1"/>
      <c r="G461" s="1"/>
      <c r="H461" s="1"/>
      <c r="I461" s="1"/>
      <c r="J461" s="1"/>
      <c r="K461" s="1"/>
      <c r="L461" s="1"/>
      <c r="M461" s="1"/>
      <c r="N461" s="1"/>
      <c r="O461" s="1"/>
      <c r="P461" s="1"/>
      <c r="Q461" s="1"/>
    </row>
    <row r="462" spans="1:17" x14ac:dyDescent="0.2">
      <c r="A462" s="1"/>
      <c r="B462" s="1"/>
      <c r="C462" s="1"/>
      <c r="D462" s="1"/>
      <c r="E462" s="1"/>
      <c r="F462" s="1"/>
      <c r="G462" s="1"/>
      <c r="H462" s="1"/>
      <c r="I462" s="1"/>
      <c r="J462" s="1"/>
      <c r="K462" s="1"/>
      <c r="L462" s="1"/>
      <c r="M462" s="1"/>
      <c r="N462" s="1"/>
      <c r="O462" s="1"/>
      <c r="P462" s="1"/>
      <c r="Q462" s="1"/>
    </row>
    <row r="463" spans="1:17" x14ac:dyDescent="0.2">
      <c r="A463" s="1"/>
      <c r="B463" s="1"/>
      <c r="C463" s="1"/>
      <c r="D463" s="1"/>
      <c r="E463" s="1"/>
      <c r="F463" s="1"/>
      <c r="G463" s="1"/>
      <c r="H463" s="1"/>
      <c r="I463" s="1"/>
      <c r="J463" s="1"/>
      <c r="K463" s="1"/>
      <c r="L463" s="1"/>
      <c r="M463" s="1"/>
      <c r="N463" s="1"/>
      <c r="O463" s="1"/>
      <c r="P463" s="1"/>
      <c r="Q463" s="1"/>
    </row>
    <row r="464" spans="1:17" x14ac:dyDescent="0.2">
      <c r="A464" s="1"/>
      <c r="B464" s="1"/>
      <c r="C464" s="1"/>
      <c r="D464" s="1"/>
      <c r="E464" s="1"/>
      <c r="F464" s="1"/>
      <c r="G464" s="1"/>
      <c r="H464" s="1"/>
      <c r="I464" s="1"/>
      <c r="J464" s="1"/>
      <c r="K464" s="1"/>
      <c r="L464" s="1"/>
      <c r="M464" s="1"/>
      <c r="N464" s="1"/>
      <c r="O464" s="1"/>
      <c r="P464" s="1"/>
      <c r="Q464" s="1"/>
    </row>
    <row r="465" spans="1:17" x14ac:dyDescent="0.2">
      <c r="A465" s="1"/>
      <c r="B465" s="1"/>
      <c r="C465" s="1"/>
      <c r="D465" s="1"/>
      <c r="E465" s="1"/>
      <c r="F465" s="1"/>
      <c r="G465" s="1"/>
      <c r="H465" s="1"/>
      <c r="I465" s="1"/>
      <c r="J465" s="1"/>
      <c r="K465" s="1"/>
      <c r="L465" s="1"/>
      <c r="M465" s="1"/>
      <c r="N465" s="1"/>
      <c r="O465" s="1"/>
      <c r="P465" s="1"/>
      <c r="Q465" s="1"/>
    </row>
    <row r="466" spans="1:17" x14ac:dyDescent="0.2">
      <c r="A466" s="1"/>
      <c r="B466" s="1"/>
      <c r="C466" s="1"/>
      <c r="D466" s="1"/>
      <c r="E466" s="1"/>
      <c r="F466" s="1"/>
      <c r="G466" s="1"/>
      <c r="H466" s="1"/>
      <c r="I466" s="1"/>
      <c r="J466" s="1"/>
      <c r="K466" s="1"/>
      <c r="L466" s="1"/>
      <c r="M466" s="1"/>
      <c r="N466" s="1"/>
      <c r="O466" s="1"/>
      <c r="P466" s="1"/>
      <c r="Q466" s="1"/>
    </row>
    <row r="467" spans="1:17" x14ac:dyDescent="0.2">
      <c r="A467" s="1"/>
      <c r="B467" s="1"/>
      <c r="C467" s="1"/>
      <c r="D467" s="1"/>
      <c r="E467" s="1"/>
      <c r="F467" s="1"/>
      <c r="G467" s="1"/>
      <c r="H467" s="1"/>
      <c r="I467" s="1"/>
      <c r="J467" s="1"/>
      <c r="K467" s="1"/>
      <c r="L467" s="1"/>
      <c r="M467" s="1"/>
      <c r="N467" s="1"/>
      <c r="O467" s="1"/>
      <c r="P467" s="1"/>
      <c r="Q467" s="1"/>
    </row>
    <row r="468" spans="1:17" x14ac:dyDescent="0.2">
      <c r="A468" s="1"/>
      <c r="B468" s="1"/>
      <c r="C468" s="1"/>
      <c r="D468" s="1"/>
      <c r="E468" s="1"/>
      <c r="F468" s="1"/>
      <c r="G468" s="1"/>
      <c r="H468" s="1"/>
      <c r="I468" s="1"/>
      <c r="J468" s="1"/>
      <c r="K468" s="1"/>
      <c r="L468" s="1"/>
      <c r="M468" s="1"/>
      <c r="N468" s="1"/>
      <c r="O468" s="1"/>
      <c r="P468" s="1"/>
      <c r="Q468" s="1"/>
    </row>
    <row r="469" spans="1:17" x14ac:dyDescent="0.2">
      <c r="A469" s="1"/>
      <c r="B469" s="1"/>
      <c r="C469" s="1"/>
      <c r="D469" s="1"/>
      <c r="E469" s="1"/>
      <c r="F469" s="1"/>
      <c r="G469" s="1"/>
      <c r="H469" s="1"/>
      <c r="I469" s="1"/>
      <c r="J469" s="1"/>
      <c r="K469" s="1"/>
      <c r="L469" s="1"/>
      <c r="M469" s="1"/>
      <c r="N469" s="1"/>
      <c r="O469" s="1"/>
      <c r="P469" s="1"/>
      <c r="Q469" s="1"/>
    </row>
    <row r="470" spans="1:17" x14ac:dyDescent="0.2">
      <c r="A470" s="1"/>
      <c r="B470" s="1"/>
      <c r="C470" s="1"/>
      <c r="D470" s="1"/>
      <c r="E470" s="1"/>
      <c r="F470" s="1"/>
      <c r="G470" s="1"/>
      <c r="H470" s="1"/>
      <c r="I470" s="1"/>
      <c r="J470" s="1"/>
      <c r="K470" s="1"/>
      <c r="L470" s="1"/>
      <c r="M470" s="1"/>
      <c r="N470" s="1"/>
      <c r="O470" s="1"/>
      <c r="P470" s="1"/>
      <c r="Q470" s="1"/>
    </row>
    <row r="471" spans="1:17" x14ac:dyDescent="0.2">
      <c r="A471" s="1"/>
      <c r="B471" s="1"/>
      <c r="C471" s="1"/>
      <c r="D471" s="1"/>
      <c r="E471" s="1"/>
      <c r="F471" s="1"/>
      <c r="G471" s="1"/>
      <c r="H471" s="1"/>
      <c r="I471" s="1"/>
      <c r="J471" s="1"/>
      <c r="K471" s="1"/>
      <c r="L471" s="1"/>
      <c r="M471" s="1"/>
      <c r="N471" s="1"/>
      <c r="O471" s="1"/>
      <c r="P471" s="1"/>
      <c r="Q471" s="1"/>
    </row>
    <row r="472" spans="1:17" x14ac:dyDescent="0.2">
      <c r="A472" s="1"/>
      <c r="B472" s="1"/>
      <c r="C472" s="1"/>
      <c r="D472" s="1"/>
      <c r="E472" s="1"/>
      <c r="F472" s="1"/>
      <c r="G472" s="1"/>
      <c r="H472" s="1"/>
      <c r="I472" s="1"/>
      <c r="J472" s="1"/>
      <c r="K472" s="1"/>
      <c r="L472" s="1"/>
      <c r="M472" s="1"/>
      <c r="N472" s="1"/>
      <c r="O472" s="1"/>
      <c r="P472" s="1"/>
      <c r="Q472" s="1"/>
    </row>
    <row r="473" spans="1:17" x14ac:dyDescent="0.2">
      <c r="A473" s="1"/>
      <c r="B473" s="1"/>
      <c r="C473" s="1"/>
      <c r="D473" s="1"/>
      <c r="E473" s="1"/>
      <c r="F473" s="1"/>
      <c r="G473" s="1"/>
      <c r="H473" s="1"/>
      <c r="I473" s="1"/>
      <c r="J473" s="1"/>
      <c r="K473" s="1"/>
      <c r="L473" s="1"/>
      <c r="M473" s="1"/>
      <c r="N473" s="1"/>
      <c r="O473" s="1"/>
      <c r="P473" s="1"/>
      <c r="Q473" s="1"/>
    </row>
    <row r="474" spans="1:17" x14ac:dyDescent="0.2">
      <c r="A474" s="1"/>
      <c r="B474" s="1"/>
      <c r="C474" s="1"/>
      <c r="D474" s="1"/>
      <c r="E474" s="1"/>
      <c r="F474" s="1"/>
      <c r="G474" s="1"/>
      <c r="H474" s="1"/>
      <c r="I474" s="1"/>
      <c r="J474" s="1"/>
      <c r="K474" s="1"/>
      <c r="L474" s="1"/>
      <c r="M474" s="1"/>
      <c r="N474" s="1"/>
      <c r="O474" s="1"/>
      <c r="P474" s="1"/>
      <c r="Q474" s="1"/>
    </row>
    <row r="475" spans="1:17" x14ac:dyDescent="0.2">
      <c r="A475" s="1"/>
      <c r="B475" s="1"/>
      <c r="C475" s="1"/>
      <c r="D475" s="1"/>
      <c r="E475" s="1"/>
      <c r="F475" s="1"/>
      <c r="G475" s="1"/>
      <c r="H475" s="1"/>
      <c r="I475" s="1"/>
      <c r="J475" s="1"/>
      <c r="K475" s="1"/>
      <c r="L475" s="1"/>
      <c r="M475" s="1"/>
      <c r="N475" s="1"/>
      <c r="O475" s="1"/>
      <c r="P475" s="1"/>
      <c r="Q475" s="1"/>
    </row>
    <row r="476" spans="1:17" x14ac:dyDescent="0.2">
      <c r="A476" s="1"/>
      <c r="B476" s="1"/>
      <c r="C476" s="1"/>
      <c r="D476" s="1"/>
      <c r="E476" s="1"/>
      <c r="F476" s="1"/>
      <c r="G476" s="1"/>
      <c r="H476" s="1"/>
      <c r="I476" s="1"/>
      <c r="J476" s="1"/>
      <c r="K476" s="1"/>
      <c r="L476" s="1"/>
      <c r="M476" s="1"/>
      <c r="N476" s="1"/>
      <c r="O476" s="1"/>
      <c r="P476" s="1"/>
      <c r="Q476" s="1"/>
    </row>
    <row r="477" spans="1:17" x14ac:dyDescent="0.2">
      <c r="A477" s="1"/>
      <c r="B477" s="1"/>
      <c r="C477" s="1"/>
      <c r="D477" s="1"/>
      <c r="E477" s="1"/>
      <c r="F477" s="1"/>
      <c r="G477" s="1"/>
      <c r="H477" s="1"/>
      <c r="I477" s="1"/>
      <c r="J477" s="1"/>
      <c r="K477" s="1"/>
      <c r="L477" s="1"/>
      <c r="M477" s="1"/>
      <c r="N477" s="1"/>
      <c r="O477" s="1"/>
      <c r="P477" s="1"/>
      <c r="Q477" s="1"/>
    </row>
    <row r="478" spans="1:17" x14ac:dyDescent="0.2">
      <c r="A478" s="1"/>
      <c r="B478" s="1"/>
      <c r="C478" s="1"/>
      <c r="D478" s="1"/>
      <c r="E478" s="1"/>
      <c r="F478" s="1"/>
      <c r="G478" s="1"/>
      <c r="H478" s="1"/>
      <c r="I478" s="1"/>
      <c r="J478" s="1"/>
      <c r="K478" s="1"/>
      <c r="L478" s="1"/>
      <c r="M478" s="1"/>
      <c r="N478" s="1"/>
      <c r="O478" s="1"/>
      <c r="P478" s="1"/>
      <c r="Q478" s="1"/>
    </row>
    <row r="479" spans="1:17" x14ac:dyDescent="0.2">
      <c r="A479" s="1"/>
      <c r="B479" s="1"/>
      <c r="C479" s="1"/>
      <c r="D479" s="1"/>
      <c r="E479" s="1"/>
      <c r="F479" s="1"/>
      <c r="G479" s="1"/>
      <c r="H479" s="1"/>
      <c r="I479" s="1"/>
      <c r="J479" s="1"/>
      <c r="K479" s="1"/>
      <c r="L479" s="1"/>
      <c r="M479" s="1"/>
      <c r="N479" s="1"/>
      <c r="O479" s="1"/>
      <c r="P479" s="1"/>
      <c r="Q479" s="1"/>
    </row>
    <row r="480" spans="1:17" x14ac:dyDescent="0.2">
      <c r="A480" s="1"/>
      <c r="B480" s="1"/>
      <c r="C480" s="1"/>
      <c r="D480" s="1"/>
      <c r="E480" s="1"/>
      <c r="F480" s="1"/>
      <c r="G480" s="1"/>
      <c r="H480" s="1"/>
      <c r="I480" s="1"/>
      <c r="J480" s="1"/>
      <c r="K480" s="1"/>
      <c r="L480" s="1"/>
      <c r="M480" s="1"/>
      <c r="N480" s="1"/>
      <c r="O480" s="1"/>
      <c r="P480" s="1"/>
      <c r="Q480" s="1"/>
    </row>
    <row r="481" spans="1:17" x14ac:dyDescent="0.2">
      <c r="A481" s="1"/>
      <c r="B481" s="1"/>
      <c r="C481" s="1"/>
      <c r="D481" s="1"/>
      <c r="E481" s="1"/>
      <c r="F481" s="1"/>
      <c r="G481" s="1"/>
      <c r="H481" s="1"/>
      <c r="I481" s="1"/>
      <c r="J481" s="1"/>
      <c r="K481" s="1"/>
      <c r="L481" s="1"/>
      <c r="M481" s="1"/>
      <c r="N481" s="1"/>
      <c r="O481" s="1"/>
      <c r="P481" s="1"/>
      <c r="Q481" s="1"/>
    </row>
    <row r="482" spans="1:17" x14ac:dyDescent="0.2">
      <c r="A482" s="1"/>
      <c r="B482" s="1"/>
      <c r="C482" s="1"/>
      <c r="D482" s="1"/>
      <c r="E482" s="1"/>
      <c r="F482" s="1"/>
      <c r="G482" s="1"/>
      <c r="H482" s="1"/>
      <c r="I482" s="1"/>
      <c r="J482" s="1"/>
      <c r="K482" s="1"/>
      <c r="L482" s="1"/>
      <c r="M482" s="1"/>
      <c r="N482" s="1"/>
      <c r="O482" s="1"/>
      <c r="P482" s="1"/>
      <c r="Q482" s="1"/>
    </row>
    <row r="483" spans="1:17" x14ac:dyDescent="0.2">
      <c r="A483" s="1"/>
      <c r="B483" s="1"/>
      <c r="C483" s="1"/>
      <c r="D483" s="1"/>
      <c r="E483" s="1"/>
      <c r="F483" s="1"/>
      <c r="G483" s="1"/>
      <c r="H483" s="1"/>
      <c r="I483" s="1"/>
      <c r="J483" s="1"/>
      <c r="K483" s="1"/>
      <c r="L483" s="1"/>
      <c r="M483" s="1"/>
      <c r="N483" s="1"/>
      <c r="O483" s="1"/>
      <c r="P483" s="1"/>
      <c r="Q483" s="1"/>
    </row>
    <row r="484" spans="1:17" x14ac:dyDescent="0.2">
      <c r="A484" s="1"/>
      <c r="B484" s="1"/>
      <c r="C484" s="1"/>
      <c r="D484" s="1"/>
      <c r="E484" s="1"/>
      <c r="F484" s="1"/>
      <c r="G484" s="1"/>
      <c r="H484" s="1"/>
      <c r="I484" s="1"/>
      <c r="J484" s="1"/>
      <c r="K484" s="1"/>
      <c r="L484" s="1"/>
      <c r="M484" s="1"/>
      <c r="N484" s="1"/>
      <c r="O484" s="1"/>
      <c r="P484" s="1"/>
      <c r="Q484" s="1"/>
    </row>
    <row r="485" spans="1:17" x14ac:dyDescent="0.2">
      <c r="A485" s="1"/>
      <c r="B485" s="1"/>
      <c r="C485" s="1"/>
      <c r="D485" s="1"/>
      <c r="E485" s="1"/>
      <c r="F485" s="1"/>
      <c r="G485" s="1"/>
      <c r="H485" s="1"/>
      <c r="I485" s="1"/>
      <c r="J485" s="1"/>
      <c r="K485" s="1"/>
      <c r="L485" s="1"/>
      <c r="M485" s="1"/>
      <c r="N485" s="1"/>
      <c r="O485" s="1"/>
      <c r="P485" s="1"/>
      <c r="Q485" s="1"/>
    </row>
    <row r="486" spans="1:17" x14ac:dyDescent="0.2">
      <c r="A486" s="1"/>
      <c r="B486" s="1"/>
      <c r="C486" s="1"/>
      <c r="D486" s="1"/>
      <c r="E486" s="1"/>
      <c r="F486" s="1"/>
      <c r="G486" s="1"/>
      <c r="H486" s="1"/>
      <c r="I486" s="1"/>
      <c r="J486" s="1"/>
      <c r="K486" s="1"/>
      <c r="L486" s="1"/>
      <c r="M486" s="1"/>
      <c r="N486" s="1"/>
      <c r="O486" s="1"/>
      <c r="P486" s="1"/>
      <c r="Q486" s="1"/>
    </row>
    <row r="487" spans="1:17" x14ac:dyDescent="0.2">
      <c r="A487" s="1"/>
      <c r="B487" s="1"/>
      <c r="C487" s="1"/>
      <c r="D487" s="1"/>
      <c r="E487" s="1"/>
      <c r="F487" s="1"/>
      <c r="G487" s="1"/>
      <c r="H487" s="1"/>
      <c r="I487" s="1"/>
      <c r="J487" s="1"/>
      <c r="K487" s="1"/>
      <c r="L487" s="1"/>
      <c r="M487" s="1"/>
      <c r="N487" s="1"/>
      <c r="O487" s="1"/>
      <c r="P487" s="1"/>
      <c r="Q487" s="1"/>
    </row>
    <row r="488" spans="1:17" x14ac:dyDescent="0.2">
      <c r="A488" s="1"/>
      <c r="B488" s="1"/>
      <c r="C488" s="1"/>
      <c r="D488" s="1"/>
      <c r="E488" s="1"/>
      <c r="F488" s="1"/>
      <c r="G488" s="1"/>
      <c r="H488" s="1"/>
      <c r="I488" s="1"/>
      <c r="J488" s="1"/>
      <c r="K488" s="1"/>
      <c r="L488" s="1"/>
      <c r="M488" s="1"/>
      <c r="N488" s="1"/>
      <c r="O488" s="1"/>
      <c r="P488" s="1"/>
      <c r="Q488" s="1"/>
    </row>
    <row r="489" spans="1:17" x14ac:dyDescent="0.2">
      <c r="A489" s="1"/>
      <c r="B489" s="1"/>
      <c r="C489" s="1"/>
      <c r="D489" s="1"/>
      <c r="E489" s="1"/>
      <c r="F489" s="1"/>
      <c r="G489" s="1"/>
      <c r="H489" s="1"/>
      <c r="I489" s="1"/>
      <c r="J489" s="1"/>
      <c r="K489" s="1"/>
      <c r="L489" s="1"/>
      <c r="M489" s="1"/>
      <c r="N489" s="1"/>
      <c r="O489" s="1"/>
      <c r="P489" s="1"/>
      <c r="Q489" s="1"/>
    </row>
    <row r="490" spans="1:17" x14ac:dyDescent="0.2">
      <c r="A490" s="1"/>
      <c r="B490" s="1"/>
      <c r="C490" s="1"/>
      <c r="D490" s="1"/>
      <c r="E490" s="1"/>
      <c r="F490" s="1"/>
      <c r="G490" s="1"/>
      <c r="H490" s="1"/>
      <c r="I490" s="1"/>
      <c r="J490" s="1"/>
      <c r="K490" s="1"/>
      <c r="L490" s="1"/>
      <c r="M490" s="1"/>
      <c r="N490" s="1"/>
      <c r="O490" s="1"/>
      <c r="P490" s="1"/>
      <c r="Q490" s="1"/>
    </row>
    <row r="491" spans="1:17" x14ac:dyDescent="0.2">
      <c r="A491" s="1"/>
      <c r="B491" s="1"/>
      <c r="C491" s="1"/>
      <c r="D491" s="1"/>
      <c r="E491" s="1"/>
      <c r="F491" s="1"/>
      <c r="G491" s="1"/>
      <c r="H491" s="1"/>
      <c r="I491" s="1"/>
      <c r="J491" s="1"/>
      <c r="K491" s="1"/>
      <c r="L491" s="1"/>
      <c r="M491" s="1"/>
      <c r="N491" s="1"/>
      <c r="O491" s="1"/>
      <c r="P491" s="1"/>
      <c r="Q491" s="1"/>
    </row>
    <row r="492" spans="1:17" x14ac:dyDescent="0.2">
      <c r="A492" s="1"/>
      <c r="B492" s="1"/>
      <c r="C492" s="1"/>
      <c r="D492" s="1"/>
      <c r="E492" s="1"/>
      <c r="F492" s="1"/>
      <c r="G492" s="1"/>
      <c r="H492" s="1"/>
      <c r="I492" s="1"/>
      <c r="J492" s="1"/>
      <c r="K492" s="1"/>
      <c r="L492" s="1"/>
      <c r="M492" s="1"/>
      <c r="N492" s="1"/>
      <c r="O492" s="1"/>
      <c r="P492" s="1"/>
      <c r="Q492" s="1"/>
    </row>
    <row r="493" spans="1:17" x14ac:dyDescent="0.2">
      <c r="A493" s="1"/>
      <c r="B493" s="1"/>
      <c r="C493" s="1"/>
      <c r="D493" s="1"/>
      <c r="E493" s="1"/>
      <c r="F493" s="1"/>
      <c r="G493" s="1"/>
      <c r="H493" s="1"/>
      <c r="I493" s="1"/>
      <c r="J493" s="1"/>
      <c r="K493" s="1"/>
      <c r="L493" s="1"/>
      <c r="M493" s="1"/>
      <c r="N493" s="1"/>
      <c r="O493" s="1"/>
      <c r="P493" s="1"/>
      <c r="Q493" s="1"/>
    </row>
    <row r="494" spans="1:17" x14ac:dyDescent="0.2">
      <c r="A494" s="1"/>
      <c r="B494" s="1"/>
      <c r="C494" s="1"/>
      <c r="D494" s="1"/>
      <c r="E494" s="1"/>
      <c r="F494" s="1"/>
      <c r="G494" s="1"/>
      <c r="H494" s="1"/>
      <c r="I494" s="1"/>
      <c r="J494" s="1"/>
      <c r="K494" s="1"/>
      <c r="L494" s="1"/>
      <c r="M494" s="1"/>
      <c r="N494" s="1"/>
      <c r="O494" s="1"/>
      <c r="P494" s="1"/>
      <c r="Q494" s="1"/>
    </row>
    <row r="495" spans="1:17" x14ac:dyDescent="0.2">
      <c r="A495" s="1"/>
      <c r="B495" s="1"/>
      <c r="C495" s="1"/>
      <c r="D495" s="1"/>
      <c r="E495" s="1"/>
      <c r="F495" s="1"/>
      <c r="G495" s="1"/>
      <c r="H495" s="1"/>
      <c r="I495" s="1"/>
      <c r="J495" s="1"/>
      <c r="K495" s="1"/>
      <c r="L495" s="1"/>
      <c r="M495" s="1"/>
      <c r="N495" s="1"/>
      <c r="O495" s="1"/>
      <c r="P495" s="1"/>
      <c r="Q495" s="1"/>
    </row>
    <row r="496" spans="1:17" x14ac:dyDescent="0.2">
      <c r="A496" s="1"/>
      <c r="B496" s="1"/>
      <c r="C496" s="1"/>
      <c r="D496" s="1"/>
      <c r="E496" s="1"/>
      <c r="F496" s="1"/>
      <c r="G496" s="1"/>
      <c r="H496" s="1"/>
      <c r="I496" s="1"/>
      <c r="J496" s="1"/>
      <c r="K496" s="1"/>
      <c r="L496" s="1"/>
      <c r="M496" s="1"/>
      <c r="N496" s="1"/>
      <c r="O496" s="1"/>
      <c r="P496" s="1"/>
      <c r="Q496" s="1"/>
    </row>
    <row r="497" spans="1:17" x14ac:dyDescent="0.2">
      <c r="A497" s="1"/>
      <c r="B497" s="1"/>
      <c r="C497" s="1"/>
      <c r="D497" s="1"/>
      <c r="E497" s="1"/>
      <c r="F497" s="1"/>
      <c r="G497" s="1"/>
      <c r="H497" s="1"/>
      <c r="I497" s="1"/>
      <c r="J497" s="1"/>
      <c r="K497" s="1"/>
      <c r="L497" s="1"/>
      <c r="M497" s="1"/>
      <c r="N497" s="1"/>
      <c r="O497" s="1"/>
      <c r="P497" s="1"/>
      <c r="Q497" s="1"/>
    </row>
    <row r="498" spans="1:17" x14ac:dyDescent="0.2">
      <c r="A498" s="1"/>
      <c r="B498" s="1"/>
      <c r="C498" s="1"/>
      <c r="D498" s="1"/>
      <c r="E498" s="1"/>
      <c r="F498" s="1"/>
      <c r="G498" s="1"/>
      <c r="H498" s="1"/>
      <c r="I498" s="1"/>
      <c r="J498" s="1"/>
      <c r="K498" s="1"/>
      <c r="L498" s="1"/>
      <c r="M498" s="1"/>
      <c r="N498" s="1"/>
      <c r="O498" s="1"/>
      <c r="P498" s="1"/>
      <c r="Q498" s="1"/>
    </row>
    <row r="499" spans="1:17" x14ac:dyDescent="0.2">
      <c r="A499" s="1"/>
      <c r="B499" s="1"/>
      <c r="C499" s="1"/>
      <c r="D499" s="1"/>
      <c r="E499" s="1"/>
      <c r="F499" s="1"/>
      <c r="G499" s="1"/>
      <c r="H499" s="1"/>
      <c r="I499" s="1"/>
      <c r="J499" s="1"/>
      <c r="K499" s="1"/>
      <c r="L499" s="1"/>
      <c r="M499" s="1"/>
      <c r="N499" s="1"/>
      <c r="O499" s="1"/>
      <c r="P499" s="1"/>
      <c r="Q499" s="1"/>
    </row>
    <row r="500" spans="1:17" x14ac:dyDescent="0.2">
      <c r="A500" s="1"/>
      <c r="B500" s="1"/>
      <c r="C500" s="1"/>
      <c r="D500" s="1"/>
      <c r="E500" s="1"/>
      <c r="F500" s="1"/>
      <c r="G500" s="1"/>
      <c r="H500" s="1"/>
      <c r="I500" s="1"/>
      <c r="J500" s="1"/>
      <c r="K500" s="1"/>
      <c r="L500" s="1"/>
      <c r="M500" s="1"/>
      <c r="N500" s="1"/>
      <c r="O500" s="1"/>
      <c r="P500" s="1"/>
      <c r="Q500" s="1"/>
    </row>
    <row r="501" spans="1:17" x14ac:dyDescent="0.2">
      <c r="A501" s="1"/>
      <c r="B501" s="1"/>
      <c r="C501" s="1"/>
      <c r="D501" s="1"/>
      <c r="E501" s="1"/>
      <c r="F501" s="1"/>
      <c r="G501" s="1"/>
      <c r="H501" s="1"/>
      <c r="I501" s="1"/>
      <c r="J501" s="1"/>
      <c r="K501" s="1"/>
      <c r="L501" s="1"/>
      <c r="M501" s="1"/>
      <c r="N501" s="1"/>
      <c r="O501" s="1"/>
      <c r="P501" s="1"/>
      <c r="Q501" s="1"/>
    </row>
    <row r="502" spans="1:17" x14ac:dyDescent="0.2">
      <c r="A502" s="1"/>
      <c r="B502" s="1"/>
      <c r="C502" s="1"/>
      <c r="D502" s="1"/>
      <c r="E502" s="1"/>
      <c r="F502" s="1"/>
      <c r="G502" s="1"/>
      <c r="H502" s="1"/>
      <c r="I502" s="1"/>
      <c r="J502" s="1"/>
      <c r="K502" s="1"/>
      <c r="L502" s="1"/>
      <c r="M502" s="1"/>
      <c r="N502" s="1"/>
      <c r="O502" s="1"/>
      <c r="P502" s="1"/>
      <c r="Q502" s="1"/>
    </row>
    <row r="503" spans="1:17" x14ac:dyDescent="0.2">
      <c r="A503" s="1"/>
      <c r="B503" s="1"/>
      <c r="C503" s="1"/>
      <c r="D503" s="1"/>
      <c r="E503" s="1"/>
      <c r="F503" s="1"/>
      <c r="G503" s="1"/>
      <c r="H503" s="1"/>
      <c r="I503" s="1"/>
      <c r="J503" s="1"/>
      <c r="K503" s="1"/>
      <c r="L503" s="1"/>
      <c r="M503" s="1"/>
      <c r="N503" s="1"/>
      <c r="O503" s="1"/>
      <c r="P503" s="1"/>
      <c r="Q503" s="1"/>
    </row>
    <row r="504" spans="1:17" x14ac:dyDescent="0.2">
      <c r="A504" s="1"/>
      <c r="B504" s="1"/>
      <c r="C504" s="1"/>
      <c r="D504" s="1"/>
      <c r="E504" s="1"/>
      <c r="F504" s="1"/>
      <c r="G504" s="1"/>
      <c r="H504" s="1"/>
      <c r="I504" s="1"/>
      <c r="J504" s="1"/>
      <c r="K504" s="1"/>
      <c r="L504" s="1"/>
      <c r="M504" s="1"/>
      <c r="N504" s="1"/>
      <c r="O504" s="1"/>
      <c r="P504" s="1"/>
      <c r="Q504" s="1"/>
    </row>
    <row r="505" spans="1:17" x14ac:dyDescent="0.2">
      <c r="A505" s="1"/>
      <c r="B505" s="1"/>
      <c r="C505" s="1"/>
      <c r="D505" s="1"/>
      <c r="E505" s="1"/>
      <c r="F505" s="1"/>
      <c r="G505" s="1"/>
      <c r="H505" s="1"/>
      <c r="I505" s="1"/>
      <c r="J505" s="1"/>
      <c r="K505" s="1"/>
      <c r="L505" s="1"/>
      <c r="M505" s="1"/>
      <c r="N505" s="1"/>
      <c r="O505" s="1"/>
      <c r="P505" s="1"/>
      <c r="Q505" s="1"/>
    </row>
  </sheetData>
  <mergeCells count="9">
    <mergeCell ref="G20:K22"/>
    <mergeCell ref="A5:E6"/>
    <mergeCell ref="A20:E22"/>
    <mergeCell ref="A1:C1"/>
    <mergeCell ref="A3:B3"/>
    <mergeCell ref="G3:H3"/>
    <mergeCell ref="G5:K6"/>
    <mergeCell ref="A8:B8"/>
    <mergeCell ref="G8:H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A2A11-FF8D-45CF-8838-B4B4119F2004}">
  <dimension ref="A1:G17"/>
  <sheetViews>
    <sheetView workbookViewId="0">
      <selection activeCell="B10" sqref="B10"/>
    </sheetView>
  </sheetViews>
  <sheetFormatPr baseColWidth="10" defaultColWidth="8.83203125" defaultRowHeight="16" x14ac:dyDescent="0.2"/>
  <cols>
    <col min="1" max="1" width="6.83203125" customWidth="1"/>
    <col min="2" max="2" width="12.6640625" bestFit="1" customWidth="1"/>
    <col min="3" max="3" width="11" bestFit="1" customWidth="1"/>
  </cols>
  <sheetData>
    <row r="1" spans="1:7" ht="17" thickBot="1" x14ac:dyDescent="0.25">
      <c r="A1" s="59" t="s">
        <v>1498</v>
      </c>
      <c r="B1" s="60"/>
      <c r="C1" s="60"/>
      <c r="D1" s="60"/>
      <c r="E1" s="61"/>
    </row>
    <row r="2" spans="1:7" ht="17" thickBot="1" x14ac:dyDescent="0.25"/>
    <row r="3" spans="1:7" x14ac:dyDescent="0.2">
      <c r="B3" s="62" t="s">
        <v>1499</v>
      </c>
      <c r="C3" s="63"/>
    </row>
    <row r="4" spans="1:7" ht="17" thickBot="1" x14ac:dyDescent="0.25">
      <c r="B4" s="64"/>
      <c r="C4" s="65"/>
    </row>
    <row r="5" spans="1:7" x14ac:dyDescent="0.2">
      <c r="B5" s="3" t="s">
        <v>1488</v>
      </c>
      <c r="C5" s="5">
        <f>AVERAGE('[1]One Sample Test'!J6:J505)</f>
        <v>57876.078000000001</v>
      </c>
    </row>
    <row r="6" spans="1:7" x14ac:dyDescent="0.2">
      <c r="B6" s="6" t="s">
        <v>1489</v>
      </c>
      <c r="C6" s="7">
        <f>_xlfn.STDEV.S('[1]One Sample Test'!J6:J505)</f>
        <v>15894.292958707867</v>
      </c>
    </row>
    <row r="7" spans="1:7" x14ac:dyDescent="0.2">
      <c r="B7" s="6" t="s">
        <v>1490</v>
      </c>
      <c r="C7" s="7">
        <v>500</v>
      </c>
    </row>
    <row r="8" spans="1:7" x14ac:dyDescent="0.2">
      <c r="B8" s="6" t="s">
        <v>1500</v>
      </c>
      <c r="C8" s="7">
        <v>0.95</v>
      </c>
    </row>
    <row r="9" spans="1:7" x14ac:dyDescent="0.2">
      <c r="B9" s="6" t="s">
        <v>1491</v>
      </c>
      <c r="C9" s="7">
        <f>1-C8</f>
        <v>5.0000000000000044E-2</v>
      </c>
    </row>
    <row r="10" spans="1:7" x14ac:dyDescent="0.2">
      <c r="B10" s="6"/>
      <c r="C10" s="7"/>
    </row>
    <row r="11" spans="1:7" x14ac:dyDescent="0.2">
      <c r="B11" s="6" t="s">
        <v>1500</v>
      </c>
      <c r="C11" s="11">
        <f>C8</f>
        <v>0.95</v>
      </c>
    </row>
    <row r="12" spans="1:7" x14ac:dyDescent="0.2">
      <c r="B12" s="6" t="s">
        <v>1501</v>
      </c>
      <c r="C12" s="12">
        <f>_xlfn.CONFIDENCE.T(C9,C6,C7)</f>
        <v>1396.5579239616316</v>
      </c>
    </row>
    <row r="13" spans="1:7" x14ac:dyDescent="0.2">
      <c r="B13" s="6" t="s">
        <v>1502</v>
      </c>
      <c r="C13" s="13">
        <f>C5-C12</f>
        <v>56479.520076038367</v>
      </c>
    </row>
    <row r="14" spans="1:7" ht="17" thickBot="1" x14ac:dyDescent="0.25">
      <c r="B14" s="8" t="s">
        <v>1503</v>
      </c>
      <c r="C14" s="14">
        <f>C5+C12</f>
        <v>59272.635923961636</v>
      </c>
    </row>
    <row r="15" spans="1:7" ht="14.25" customHeight="1" thickBot="1" x14ac:dyDescent="0.25"/>
    <row r="16" spans="1:7" x14ac:dyDescent="0.2">
      <c r="B16" s="66" t="s">
        <v>1504</v>
      </c>
      <c r="C16" s="67"/>
      <c r="D16" s="67"/>
      <c r="E16" s="67"/>
      <c r="F16" s="67"/>
      <c r="G16" s="68"/>
    </row>
    <row r="17" spans="2:7" ht="17" thickBot="1" x14ac:dyDescent="0.25">
      <c r="B17" s="69"/>
      <c r="C17" s="70"/>
      <c r="D17" s="70"/>
      <c r="E17" s="70"/>
      <c r="F17" s="70"/>
      <c r="G17" s="71"/>
    </row>
  </sheetData>
  <mergeCells count="3">
    <mergeCell ref="A1:E1"/>
    <mergeCell ref="B3:C4"/>
    <mergeCell ref="B16:G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85E6-3232-489D-A7F4-548E7A31AF46}">
  <dimension ref="A1:S46"/>
  <sheetViews>
    <sheetView tabSelected="1" topLeftCell="A18" workbookViewId="0">
      <selection activeCell="B3" sqref="B3:G14"/>
    </sheetView>
  </sheetViews>
  <sheetFormatPr baseColWidth="10" defaultColWidth="8.83203125" defaultRowHeight="16" x14ac:dyDescent="0.2"/>
  <sheetData>
    <row r="1" spans="1:19" ht="17" thickBot="1" x14ac:dyDescent="0.25">
      <c r="A1" s="24" t="s">
        <v>1505</v>
      </c>
      <c r="B1" s="25"/>
      <c r="C1" s="26"/>
    </row>
    <row r="2" spans="1:19" ht="14.25" customHeight="1" thickBot="1" x14ac:dyDescent="0.25"/>
    <row r="3" spans="1:19" x14ac:dyDescent="0.2">
      <c r="B3" s="27" t="s">
        <v>1506</v>
      </c>
      <c r="C3" s="28"/>
      <c r="D3" s="28"/>
      <c r="E3" s="28"/>
      <c r="F3" s="28"/>
      <c r="G3" s="29"/>
      <c r="O3" s="2"/>
      <c r="P3" s="2"/>
      <c r="Q3" s="2"/>
      <c r="R3" s="2"/>
      <c r="S3" s="2"/>
    </row>
    <row r="4" spans="1:19" x14ac:dyDescent="0.2">
      <c r="B4" s="30"/>
      <c r="C4" s="31"/>
      <c r="D4" s="31"/>
      <c r="E4" s="31"/>
      <c r="F4" s="31"/>
      <c r="G4" s="32"/>
      <c r="O4" s="2"/>
      <c r="P4" s="2"/>
      <c r="Q4" s="2"/>
      <c r="R4" s="2"/>
      <c r="S4" s="2"/>
    </row>
    <row r="5" spans="1:19" x14ac:dyDescent="0.2">
      <c r="B5" s="30"/>
      <c r="C5" s="31"/>
      <c r="D5" s="31"/>
      <c r="E5" s="31"/>
      <c r="F5" s="31"/>
      <c r="G5" s="32"/>
      <c r="O5" s="2"/>
      <c r="P5" s="2"/>
      <c r="Q5" s="2"/>
      <c r="R5" s="2"/>
      <c r="S5" s="2"/>
    </row>
    <row r="6" spans="1:19" x14ac:dyDescent="0.2">
      <c r="B6" s="30"/>
      <c r="C6" s="31"/>
      <c r="D6" s="31"/>
      <c r="E6" s="31"/>
      <c r="F6" s="31"/>
      <c r="G6" s="32"/>
      <c r="O6" s="2"/>
      <c r="P6" s="2"/>
      <c r="Q6" s="2"/>
      <c r="R6" s="2"/>
      <c r="S6" s="2"/>
    </row>
    <row r="7" spans="1:19" x14ac:dyDescent="0.2">
      <c r="B7" s="30"/>
      <c r="C7" s="31"/>
      <c r="D7" s="31"/>
      <c r="E7" s="31"/>
      <c r="F7" s="31"/>
      <c r="G7" s="32"/>
      <c r="O7" s="2"/>
      <c r="P7" s="2"/>
      <c r="Q7" s="2"/>
      <c r="R7" s="2"/>
      <c r="S7" s="2"/>
    </row>
    <row r="8" spans="1:19" x14ac:dyDescent="0.2">
      <c r="B8" s="30"/>
      <c r="C8" s="31"/>
      <c r="D8" s="31"/>
      <c r="E8" s="31"/>
      <c r="F8" s="31"/>
      <c r="G8" s="32"/>
      <c r="O8" s="2"/>
      <c r="P8" s="2"/>
      <c r="Q8" s="2"/>
      <c r="R8" s="2"/>
      <c r="S8" s="2"/>
    </row>
    <row r="9" spans="1:19" x14ac:dyDescent="0.2">
      <c r="B9" s="30"/>
      <c r="C9" s="31"/>
      <c r="D9" s="31"/>
      <c r="E9" s="31"/>
      <c r="F9" s="31"/>
      <c r="G9" s="32"/>
      <c r="O9" s="2"/>
      <c r="P9" s="2"/>
      <c r="Q9" s="2"/>
      <c r="R9" s="2"/>
      <c r="S9" s="2"/>
    </row>
    <row r="10" spans="1:19" x14ac:dyDescent="0.2">
      <c r="B10" s="30"/>
      <c r="C10" s="31"/>
      <c r="D10" s="31"/>
      <c r="E10" s="31"/>
      <c r="F10" s="31"/>
      <c r="G10" s="32"/>
      <c r="O10" s="2"/>
      <c r="P10" s="2"/>
      <c r="Q10" s="2"/>
      <c r="R10" s="2"/>
      <c r="S10" s="2"/>
    </row>
    <row r="11" spans="1:19" x14ac:dyDescent="0.2">
      <c r="B11" s="30"/>
      <c r="C11" s="31"/>
      <c r="D11" s="31"/>
      <c r="E11" s="31"/>
      <c r="F11" s="31"/>
      <c r="G11" s="32"/>
    </row>
    <row r="12" spans="1:19" x14ac:dyDescent="0.2">
      <c r="B12" s="30"/>
      <c r="C12" s="31"/>
      <c r="D12" s="31"/>
      <c r="E12" s="31"/>
      <c r="F12" s="31"/>
      <c r="G12" s="32"/>
    </row>
    <row r="13" spans="1:19" x14ac:dyDescent="0.2">
      <c r="B13" s="30"/>
      <c r="C13" s="31"/>
      <c r="D13" s="31"/>
      <c r="E13" s="31"/>
      <c r="F13" s="31"/>
      <c r="G13" s="32"/>
    </row>
    <row r="14" spans="1:19" ht="17" thickBot="1" x14ac:dyDescent="0.25">
      <c r="B14" s="33"/>
      <c r="C14" s="34"/>
      <c r="D14" s="34"/>
      <c r="E14" s="34"/>
      <c r="F14" s="34"/>
      <c r="G14" s="35"/>
    </row>
    <row r="15" spans="1:19" ht="17" thickBot="1" x14ac:dyDescent="0.25"/>
    <row r="16" spans="1:19" x14ac:dyDescent="0.2">
      <c r="B16" s="27" t="s">
        <v>1507</v>
      </c>
      <c r="C16" s="28"/>
      <c r="D16" s="28"/>
      <c r="E16" s="28"/>
      <c r="F16" s="28"/>
      <c r="G16" s="29"/>
      <c r="H16" s="2"/>
      <c r="I16" s="36" t="s">
        <v>1508</v>
      </c>
      <c r="J16" s="37"/>
      <c r="K16" s="37"/>
      <c r="L16" s="37"/>
      <c r="M16" s="37"/>
      <c r="N16" s="37"/>
    </row>
    <row r="17" spans="2:19" x14ac:dyDescent="0.2">
      <c r="B17" s="30"/>
      <c r="C17" s="31"/>
      <c r="D17" s="31"/>
      <c r="E17" s="31"/>
      <c r="F17" s="31"/>
      <c r="G17" s="32"/>
      <c r="H17" s="2"/>
    </row>
    <row r="18" spans="2:19" x14ac:dyDescent="0.2">
      <c r="B18" s="30"/>
      <c r="C18" s="31"/>
      <c r="D18" s="31"/>
      <c r="E18" s="31"/>
      <c r="F18" s="31"/>
      <c r="G18" s="32"/>
      <c r="H18" s="2"/>
      <c r="I18" s="36" t="s">
        <v>1509</v>
      </c>
      <c r="J18" s="37"/>
      <c r="K18" s="37"/>
      <c r="L18" s="37"/>
      <c r="M18" s="37"/>
      <c r="N18" s="37"/>
      <c r="O18" s="37"/>
      <c r="P18" s="37"/>
      <c r="Q18" s="37"/>
      <c r="R18" s="37"/>
      <c r="S18" s="37"/>
    </row>
    <row r="19" spans="2:19" x14ac:dyDescent="0.2">
      <c r="B19" s="30"/>
      <c r="C19" s="31"/>
      <c r="D19" s="31"/>
      <c r="E19" s="31"/>
      <c r="F19" s="31"/>
      <c r="G19" s="32"/>
      <c r="H19" s="2"/>
      <c r="I19" s="2"/>
      <c r="J19" s="2"/>
      <c r="K19" s="2"/>
      <c r="L19" s="2"/>
    </row>
    <row r="20" spans="2:19" x14ac:dyDescent="0.2">
      <c r="B20" s="30"/>
      <c r="C20" s="31"/>
      <c r="D20" s="31"/>
      <c r="E20" s="31"/>
      <c r="F20" s="31"/>
      <c r="G20" s="32"/>
      <c r="H20" s="2"/>
      <c r="I20" s="2"/>
      <c r="J20" s="2"/>
      <c r="K20" s="2"/>
      <c r="L20" s="2"/>
    </row>
    <row r="21" spans="2:19" x14ac:dyDescent="0.2">
      <c r="B21" s="30"/>
      <c r="C21" s="31"/>
      <c r="D21" s="31"/>
      <c r="E21" s="31"/>
      <c r="F21" s="31"/>
      <c r="G21" s="32"/>
      <c r="H21" s="2"/>
      <c r="I21" s="2"/>
      <c r="J21" s="2"/>
      <c r="K21" s="2"/>
      <c r="L21" s="2"/>
    </row>
    <row r="22" spans="2:19" x14ac:dyDescent="0.2">
      <c r="B22" s="30"/>
      <c r="C22" s="31"/>
      <c r="D22" s="31"/>
      <c r="E22" s="31"/>
      <c r="F22" s="31"/>
      <c r="G22" s="32"/>
      <c r="H22" s="2"/>
      <c r="I22" s="2"/>
      <c r="J22" s="2"/>
      <c r="K22" s="2"/>
      <c r="L22" s="2"/>
    </row>
    <row r="23" spans="2:19" x14ac:dyDescent="0.2">
      <c r="B23" s="30"/>
      <c r="C23" s="31"/>
      <c r="D23" s="31"/>
      <c r="E23" s="31"/>
      <c r="F23" s="31"/>
      <c r="G23" s="32"/>
      <c r="H23" s="2"/>
      <c r="I23" s="2"/>
      <c r="J23" s="2"/>
      <c r="K23" s="2"/>
      <c r="L23" s="2"/>
    </row>
    <row r="24" spans="2:19" x14ac:dyDescent="0.2">
      <c r="B24" s="30"/>
      <c r="C24" s="31"/>
      <c r="D24" s="31"/>
      <c r="E24" s="31"/>
      <c r="F24" s="31"/>
      <c r="G24" s="32"/>
      <c r="H24" s="2"/>
      <c r="I24" s="2"/>
      <c r="J24" s="2"/>
      <c r="K24" s="2"/>
      <c r="L24" s="2"/>
    </row>
    <row r="25" spans="2:19" ht="17" thickBot="1" x14ac:dyDescent="0.25">
      <c r="B25" s="33"/>
      <c r="C25" s="34"/>
      <c r="D25" s="34"/>
      <c r="E25" s="34"/>
      <c r="F25" s="34"/>
      <c r="G25" s="35"/>
    </row>
    <row r="26" spans="2:19" ht="15.75" customHeight="1" thickBot="1" x14ac:dyDescent="0.25">
      <c r="H26" s="2"/>
      <c r="I26" s="2"/>
      <c r="J26" s="2"/>
      <c r="K26" s="2"/>
      <c r="L26" s="2"/>
    </row>
    <row r="27" spans="2:19" x14ac:dyDescent="0.2">
      <c r="B27" s="27" t="s">
        <v>1510</v>
      </c>
      <c r="C27" s="28"/>
      <c r="D27" s="28"/>
      <c r="E27" s="28"/>
      <c r="F27" s="28"/>
      <c r="G27" s="29"/>
      <c r="H27" s="2"/>
      <c r="I27" s="2"/>
      <c r="J27" s="2"/>
      <c r="K27" s="2"/>
      <c r="L27" s="2"/>
    </row>
    <row r="28" spans="2:19" x14ac:dyDescent="0.2">
      <c r="B28" s="30"/>
      <c r="C28" s="31"/>
      <c r="D28" s="31"/>
      <c r="E28" s="31"/>
      <c r="F28" s="31"/>
      <c r="G28" s="32"/>
      <c r="H28" s="2"/>
      <c r="I28" s="2"/>
      <c r="J28" s="2"/>
      <c r="K28" s="2"/>
      <c r="L28" s="2"/>
    </row>
    <row r="29" spans="2:19" x14ac:dyDescent="0.2">
      <c r="B29" s="30"/>
      <c r="C29" s="31"/>
      <c r="D29" s="31"/>
      <c r="E29" s="31"/>
      <c r="F29" s="31"/>
      <c r="G29" s="32"/>
      <c r="H29" s="2"/>
      <c r="I29" s="2"/>
      <c r="J29" s="2"/>
      <c r="K29" s="2"/>
      <c r="L29" s="2"/>
    </row>
    <row r="30" spans="2:19" ht="14.25" customHeight="1" x14ac:dyDescent="0.2">
      <c r="B30" s="30"/>
      <c r="C30" s="31"/>
      <c r="D30" s="31"/>
      <c r="E30" s="31"/>
      <c r="F30" s="31"/>
      <c r="G30" s="32"/>
      <c r="H30" s="2"/>
      <c r="I30" s="2"/>
      <c r="J30" s="2"/>
      <c r="K30" s="2"/>
      <c r="L30" s="2"/>
    </row>
    <row r="31" spans="2:19" x14ac:dyDescent="0.2">
      <c r="B31" s="30"/>
      <c r="C31" s="31"/>
      <c r="D31" s="31"/>
      <c r="E31" s="31"/>
      <c r="F31" s="31"/>
      <c r="G31" s="32"/>
      <c r="H31" s="2"/>
      <c r="I31" s="2"/>
      <c r="J31" s="2"/>
      <c r="K31" s="2"/>
      <c r="L31" s="2"/>
    </row>
    <row r="32" spans="2:19" x14ac:dyDescent="0.2">
      <c r="B32" s="30"/>
      <c r="C32" s="31"/>
      <c r="D32" s="31"/>
      <c r="E32" s="31"/>
      <c r="F32" s="31"/>
      <c r="G32" s="32"/>
      <c r="H32" s="2"/>
      <c r="I32" s="2"/>
      <c r="J32" s="2"/>
      <c r="K32" s="2"/>
      <c r="L32" s="2"/>
    </row>
    <row r="33" spans="2:12" x14ac:dyDescent="0.2">
      <c r="B33" s="30"/>
      <c r="C33" s="31"/>
      <c r="D33" s="31"/>
      <c r="E33" s="31"/>
      <c r="F33" s="31"/>
      <c r="G33" s="32"/>
      <c r="H33" s="2"/>
      <c r="I33" s="2"/>
      <c r="J33" s="2"/>
      <c r="K33" s="2"/>
      <c r="L33" s="2"/>
    </row>
    <row r="34" spans="2:12" x14ac:dyDescent="0.2">
      <c r="B34" s="30"/>
      <c r="C34" s="31"/>
      <c r="D34" s="31"/>
      <c r="E34" s="31"/>
      <c r="F34" s="31"/>
      <c r="G34" s="32"/>
    </row>
    <row r="35" spans="2:12" ht="15.75" customHeight="1" x14ac:dyDescent="0.2">
      <c r="B35" s="30"/>
      <c r="C35" s="31"/>
      <c r="D35" s="31"/>
      <c r="E35" s="31"/>
      <c r="F35" s="31"/>
      <c r="G35" s="32"/>
      <c r="H35" s="2"/>
      <c r="I35" s="2"/>
      <c r="J35" s="2"/>
      <c r="K35" s="2"/>
      <c r="L35" s="2"/>
    </row>
    <row r="36" spans="2:12" x14ac:dyDescent="0.2">
      <c r="B36" s="30"/>
      <c r="C36" s="31"/>
      <c r="D36" s="31"/>
      <c r="E36" s="31"/>
      <c r="F36" s="31"/>
      <c r="G36" s="32"/>
      <c r="H36" s="2"/>
      <c r="I36" s="2"/>
      <c r="J36" s="2"/>
      <c r="K36" s="2"/>
      <c r="L36" s="2"/>
    </row>
    <row r="37" spans="2:12" x14ac:dyDescent="0.2">
      <c r="B37" s="30"/>
      <c r="C37" s="31"/>
      <c r="D37" s="31"/>
      <c r="E37" s="31"/>
      <c r="F37" s="31"/>
      <c r="G37" s="32"/>
      <c r="H37" s="2"/>
      <c r="I37" s="2"/>
      <c r="J37" s="2"/>
      <c r="K37" s="2"/>
      <c r="L37" s="2"/>
    </row>
    <row r="38" spans="2:12" ht="17" thickBot="1" x14ac:dyDescent="0.25">
      <c r="B38" s="33"/>
      <c r="C38" s="34"/>
      <c r="D38" s="34"/>
      <c r="E38" s="34"/>
      <c r="F38" s="34"/>
      <c r="G38" s="35"/>
      <c r="H38" s="2"/>
      <c r="I38" s="2"/>
      <c r="J38" s="2"/>
      <c r="K38" s="2"/>
      <c r="L38" s="2"/>
    </row>
    <row r="39" spans="2:12" ht="17" thickBot="1" x14ac:dyDescent="0.25">
      <c r="H39" s="2"/>
      <c r="I39" s="2"/>
      <c r="J39" s="2"/>
      <c r="K39" s="2"/>
      <c r="L39" s="2"/>
    </row>
    <row r="40" spans="2:12" x14ac:dyDescent="0.2">
      <c r="B40" s="15" t="s">
        <v>1511</v>
      </c>
      <c r="C40" s="16"/>
      <c r="D40" s="16"/>
      <c r="E40" s="16"/>
      <c r="F40" s="16"/>
      <c r="G40" s="17"/>
      <c r="H40" s="2"/>
      <c r="I40" s="2"/>
      <c r="J40" s="2"/>
      <c r="K40" s="2"/>
      <c r="L40" s="2"/>
    </row>
    <row r="41" spans="2:12" x14ac:dyDescent="0.2">
      <c r="B41" s="18"/>
      <c r="C41" s="19"/>
      <c r="D41" s="19"/>
      <c r="E41" s="19"/>
      <c r="F41" s="19"/>
      <c r="G41" s="20"/>
      <c r="H41" s="2"/>
      <c r="I41" s="2"/>
      <c r="J41" s="2"/>
      <c r="K41" s="2"/>
      <c r="L41" s="2"/>
    </row>
    <row r="42" spans="2:12" x14ac:dyDescent="0.2">
      <c r="B42" s="18"/>
      <c r="C42" s="19"/>
      <c r="D42" s="19"/>
      <c r="E42" s="19"/>
      <c r="F42" s="19"/>
      <c r="G42" s="20"/>
      <c r="H42" s="2"/>
      <c r="I42" s="2"/>
      <c r="J42" s="2"/>
      <c r="K42" s="2"/>
      <c r="L42" s="2"/>
    </row>
    <row r="43" spans="2:12" x14ac:dyDescent="0.2">
      <c r="B43" s="18"/>
      <c r="C43" s="19"/>
      <c r="D43" s="19"/>
      <c r="E43" s="19"/>
      <c r="F43" s="19"/>
      <c r="G43" s="20"/>
      <c r="H43" s="2"/>
      <c r="I43" s="2"/>
      <c r="J43" s="2"/>
      <c r="K43" s="2"/>
      <c r="L43" s="2"/>
    </row>
    <row r="44" spans="2:12" x14ac:dyDescent="0.2">
      <c r="B44" s="18"/>
      <c r="C44" s="19"/>
      <c r="D44" s="19"/>
      <c r="E44" s="19"/>
      <c r="F44" s="19"/>
      <c r="G44" s="20"/>
    </row>
    <row r="45" spans="2:12" x14ac:dyDescent="0.2">
      <c r="B45" s="18"/>
      <c r="C45" s="19"/>
      <c r="D45" s="19"/>
      <c r="E45" s="19"/>
      <c r="F45" s="19"/>
      <c r="G45" s="20"/>
    </row>
    <row r="46" spans="2:12" ht="17" thickBot="1" x14ac:dyDescent="0.25">
      <c r="B46" s="21"/>
      <c r="C46" s="22"/>
      <c r="D46" s="22"/>
      <c r="E46" s="22"/>
      <c r="F46" s="22"/>
      <c r="G46" s="23"/>
    </row>
  </sheetData>
  <mergeCells count="7">
    <mergeCell ref="B40:G46"/>
    <mergeCell ref="A1:C1"/>
    <mergeCell ref="B3:G14"/>
    <mergeCell ref="B16:G25"/>
    <mergeCell ref="I16:N16"/>
    <mergeCell ref="I18:S18"/>
    <mergeCell ref="B27:G38"/>
  </mergeCells>
  <hyperlinks>
    <hyperlink ref="I16" r:id="rId1" xr:uid="{6CEDDF38-0735-43C8-A15D-E825E8900908}"/>
    <hyperlink ref="I18" r:id="rId2" xr:uid="{523EA724-F606-4FAE-9B1C-94500B616D1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Sample Data</vt:lpstr>
      <vt:lpstr>One Sample Test</vt:lpstr>
      <vt:lpstr>Confidence Interval</vt:lpstr>
      <vt:lpstr>Inference Commentary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Judy, Kylie</dc:creator>
  <cp:keywords/>
  <dc:description/>
  <cp:lastModifiedBy>Judy, Kylie</cp:lastModifiedBy>
  <cp:revision/>
  <dcterms:created xsi:type="dcterms:W3CDTF">2026-07-29T15:07:39Z</dcterms:created>
  <dcterms:modified xsi:type="dcterms:W3CDTF">2026-08-08T18:39:03Z</dcterms:modified>
  <cp:category/>
  <cp:contentStatus/>
</cp:coreProperties>
</file>